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\\CHRB1055.CORP.GWPNET.COM\homes\3\S78Z3Q\Documents\Chamu\Algo trading\STATS-3-Assignment-Chamundeswari Koppisetti\STATS-3-Files\"/>
    </mc:Choice>
  </mc:AlternateContent>
  <bookViews>
    <workbookView xWindow="720" yWindow="936" windowWidth="17952" windowHeight="11532"/>
  </bookViews>
  <sheets>
    <sheet name="Portfolio weights " sheetId="1" r:id="rId1"/>
    <sheet name="Monte Carlo and VaR" sheetId="4" r:id="rId2"/>
    <sheet name="BollingerBand_Nifty" sheetId="6" r:id="rId3"/>
  </sheets>
  <calcPr calcId="152511"/>
</workbook>
</file>

<file path=xl/calcChain.xml><?xml version="1.0" encoding="utf-8"?>
<calcChain xmlns="http://schemas.openxmlformats.org/spreadsheetml/2006/main">
  <c r="E14" i="1" l="1"/>
  <c r="C51" i="6" l="1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D3" i="1"/>
  <c r="D4" i="1"/>
  <c r="D5" i="1"/>
  <c r="F11" i="1" s="1"/>
  <c r="D6" i="1"/>
  <c r="F19" i="1" s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F20" i="1" l="1"/>
  <c r="H20" i="1" s="1"/>
  <c r="J20" i="1" s="1"/>
  <c r="F12" i="1"/>
  <c r="H12" i="1" s="1"/>
  <c r="J12" i="1" s="1"/>
  <c r="H19" i="1"/>
  <c r="J19" i="1" s="1"/>
  <c r="H11" i="1"/>
  <c r="J11" i="1" s="1"/>
  <c r="H3" i="1"/>
  <c r="J3" i="1" s="1"/>
  <c r="F5" i="1"/>
  <c r="H5" i="1" s="1"/>
  <c r="J5" i="1" s="1"/>
  <c r="F9" i="1"/>
  <c r="H9" i="1" s="1"/>
  <c r="J9" i="1" s="1"/>
  <c r="F13" i="1"/>
  <c r="H13" i="1" s="1"/>
  <c r="J13" i="1" s="1"/>
  <c r="F17" i="1"/>
  <c r="H17" i="1" s="1"/>
  <c r="J17" i="1" s="1"/>
  <c r="F21" i="1"/>
  <c r="H21" i="1" s="1"/>
  <c r="J21" i="1" s="1"/>
  <c r="F6" i="1"/>
  <c r="H6" i="1" s="1"/>
  <c r="J6" i="1" s="1"/>
  <c r="F10" i="1"/>
  <c r="H10" i="1" s="1"/>
  <c r="J10" i="1" s="1"/>
  <c r="F14" i="1"/>
  <c r="H14" i="1" s="1"/>
  <c r="J14" i="1" s="1"/>
  <c r="F18" i="1"/>
  <c r="H18" i="1" s="1"/>
  <c r="J18" i="1" s="1"/>
  <c r="F22" i="1"/>
  <c r="H22" i="1" s="1"/>
  <c r="J22" i="1" s="1"/>
  <c r="F3" i="1"/>
  <c r="F15" i="1"/>
  <c r="H15" i="1" s="1"/>
  <c r="J15" i="1" s="1"/>
  <c r="F7" i="1"/>
  <c r="H7" i="1" s="1"/>
  <c r="J7" i="1" s="1"/>
  <c r="F4" i="1"/>
  <c r="H4" i="1" s="1"/>
  <c r="J4" i="1" s="1"/>
  <c r="F16" i="1"/>
  <c r="H16" i="1" s="1"/>
  <c r="J16" i="1" s="1"/>
  <c r="F8" i="1"/>
  <c r="H8" i="1" s="1"/>
  <c r="J8" i="1" s="1"/>
  <c r="E4" i="1"/>
  <c r="E5" i="1"/>
  <c r="E6" i="1"/>
  <c r="E7" i="1"/>
  <c r="E8" i="1"/>
  <c r="E9" i="1"/>
  <c r="E10" i="1"/>
  <c r="E11" i="1"/>
  <c r="E12" i="1"/>
  <c r="E13" i="1"/>
  <c r="E15" i="1"/>
  <c r="E16" i="1"/>
  <c r="E17" i="1"/>
  <c r="E18" i="1"/>
  <c r="E19" i="1"/>
  <c r="E20" i="1"/>
  <c r="E21" i="1"/>
  <c r="E22" i="1"/>
  <c r="E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L4" i="1" l="1"/>
  <c r="L6" i="1"/>
  <c r="L8" i="1"/>
  <c r="L10" i="1"/>
  <c r="L12" i="1"/>
  <c r="L14" i="1"/>
  <c r="L16" i="1"/>
  <c r="L18" i="1"/>
  <c r="L20" i="1"/>
  <c r="L22" i="1"/>
  <c r="L3" i="1"/>
  <c r="L5" i="1"/>
  <c r="L7" i="1"/>
  <c r="L9" i="1"/>
  <c r="L11" i="1"/>
  <c r="L13" i="1"/>
  <c r="L15" i="1"/>
  <c r="L17" i="1"/>
  <c r="L19" i="1"/>
  <c r="L21" i="1"/>
  <c r="G4" i="1"/>
  <c r="G8" i="1"/>
  <c r="I8" i="1" s="1"/>
  <c r="G12" i="1"/>
  <c r="I12" i="1" s="1"/>
  <c r="G16" i="1"/>
  <c r="I16" i="1" s="1"/>
  <c r="G20" i="1"/>
  <c r="I20" i="1" s="1"/>
  <c r="G5" i="1"/>
  <c r="I5" i="1" s="1"/>
  <c r="G9" i="1"/>
  <c r="I9" i="1" s="1"/>
  <c r="G13" i="1"/>
  <c r="I13" i="1" s="1"/>
  <c r="G17" i="1"/>
  <c r="G21" i="1"/>
  <c r="G6" i="1"/>
  <c r="I6" i="1" s="1"/>
  <c r="G3" i="1"/>
  <c r="I3" i="1" s="1"/>
  <c r="G11" i="1"/>
  <c r="G19" i="1"/>
  <c r="I19" i="1" s="1"/>
  <c r="G10" i="1"/>
  <c r="I10" i="1" s="1"/>
  <c r="G18" i="1"/>
  <c r="I18" i="1" s="1"/>
  <c r="G7" i="1"/>
  <c r="I7" i="1" s="1"/>
  <c r="G15" i="1"/>
  <c r="I15" i="1" s="1"/>
  <c r="G14" i="1"/>
  <c r="I14" i="1" s="1"/>
  <c r="G22" i="1"/>
  <c r="I22" i="1" s="1"/>
  <c r="I11" i="1"/>
  <c r="I21" i="1"/>
  <c r="I17" i="1"/>
  <c r="I4" i="1"/>
  <c r="Q306" i="1"/>
  <c r="Q274" i="1"/>
  <c r="Q242" i="1"/>
  <c r="Q178" i="1"/>
  <c r="S178" i="1" s="1"/>
  <c r="Q146" i="1"/>
  <c r="Q460" i="1"/>
  <c r="Q428" i="1"/>
  <c r="Q412" i="1"/>
  <c r="S412" i="1" s="1"/>
  <c r="Q396" i="1"/>
  <c r="Q364" i="1"/>
  <c r="Q444" i="1"/>
  <c r="Q436" i="1"/>
  <c r="Q119" i="1"/>
  <c r="Q404" i="1"/>
  <c r="Q372" i="1"/>
  <c r="Q332" i="1"/>
  <c r="Q300" i="1"/>
  <c r="Q268" i="1"/>
  <c r="Q236" i="1"/>
  <c r="Q204" i="1"/>
  <c r="Q172" i="1"/>
  <c r="Q140" i="1"/>
  <c r="Q343" i="1"/>
  <c r="Q311" i="1"/>
  <c r="Q279" i="1"/>
  <c r="Q247" i="1"/>
  <c r="Q215" i="1"/>
  <c r="Q183" i="1"/>
  <c r="Q151" i="1"/>
  <c r="Q95" i="1"/>
  <c r="Q79" i="1"/>
  <c r="Q63" i="1"/>
  <c r="Q47" i="1"/>
  <c r="Q31" i="1"/>
  <c r="Q458" i="1"/>
  <c r="Q442" i="1"/>
  <c r="Q434" i="1"/>
  <c r="Q426" i="1"/>
  <c r="Q410" i="1"/>
  <c r="Q402" i="1"/>
  <c r="Q394" i="1"/>
  <c r="Q378" i="1"/>
  <c r="Q370" i="1"/>
  <c r="Q362" i="1"/>
  <c r="Q354" i="1"/>
  <c r="Q346" i="1"/>
  <c r="Q338" i="1"/>
  <c r="Q322" i="1"/>
  <c r="Q298" i="1"/>
  <c r="Q290" i="1"/>
  <c r="Q282" i="1"/>
  <c r="Q266" i="1"/>
  <c r="Q250" i="1"/>
  <c r="Q226" i="1"/>
  <c r="Q206" i="1"/>
  <c r="Q202" i="1"/>
  <c r="Q198" i="1"/>
  <c r="Q194" i="1"/>
  <c r="Q190" i="1"/>
  <c r="Q186" i="1"/>
  <c r="Q182" i="1"/>
  <c r="Q174" i="1"/>
  <c r="Q170" i="1"/>
  <c r="Q166" i="1"/>
  <c r="Q162" i="1"/>
  <c r="Q158" i="1"/>
  <c r="Q154" i="1"/>
  <c r="Q150" i="1"/>
  <c r="Q142" i="1"/>
  <c r="Q138" i="1"/>
  <c r="Q134" i="1"/>
  <c r="Q130" i="1"/>
  <c r="Q126" i="1"/>
  <c r="Q122" i="1"/>
  <c r="Q118" i="1"/>
  <c r="Q114" i="1"/>
  <c r="Q110" i="1"/>
  <c r="Q106" i="1"/>
  <c r="Q102" i="1"/>
  <c r="Q98" i="1"/>
  <c r="Q94" i="1"/>
  <c r="Q90" i="1"/>
  <c r="Q86" i="1"/>
  <c r="Q82" i="1"/>
  <c r="Q78" i="1"/>
  <c r="Q74" i="1"/>
  <c r="Q70" i="1"/>
  <c r="Q66" i="1"/>
  <c r="Q62" i="1"/>
  <c r="Q58" i="1"/>
  <c r="Q54" i="1"/>
  <c r="Q50" i="1"/>
  <c r="Q46" i="1"/>
  <c r="Q42" i="1"/>
  <c r="Q38" i="1"/>
  <c r="Q34" i="1"/>
  <c r="Q30" i="1"/>
  <c r="Q26" i="1"/>
  <c r="Q348" i="1"/>
  <c r="Q312" i="1"/>
  <c r="Q296" i="1"/>
  <c r="Q292" i="1"/>
  <c r="Q280" i="1"/>
  <c r="Q264" i="1"/>
  <c r="Q252" i="1"/>
  <c r="Q200" i="1"/>
  <c r="Q184" i="1"/>
  <c r="Q168" i="1"/>
  <c r="Q156" i="1"/>
  <c r="Q152" i="1"/>
  <c r="Q461" i="1"/>
  <c r="Q457" i="1"/>
  <c r="Q453" i="1"/>
  <c r="Q449" i="1"/>
  <c r="Q445" i="1"/>
  <c r="Q441" i="1"/>
  <c r="Q437" i="1"/>
  <c r="Q433" i="1"/>
  <c r="Q429" i="1"/>
  <c r="Q425" i="1"/>
  <c r="Q421" i="1"/>
  <c r="Q417" i="1"/>
  <c r="Q413" i="1"/>
  <c r="Q409" i="1"/>
  <c r="Q405" i="1"/>
  <c r="Q401" i="1"/>
  <c r="Q397" i="1"/>
  <c r="Q393" i="1"/>
  <c r="Q389" i="1"/>
  <c r="Q385" i="1"/>
  <c r="Q381" i="1"/>
  <c r="Q377" i="1"/>
  <c r="Q373" i="1"/>
  <c r="Q369" i="1"/>
  <c r="Q365" i="1"/>
  <c r="Q360" i="1"/>
  <c r="Q344" i="1"/>
  <c r="Q328" i="1"/>
  <c r="Q260" i="1"/>
  <c r="Q248" i="1"/>
  <c r="Q232" i="1"/>
  <c r="Q216" i="1"/>
  <c r="Q136" i="1"/>
  <c r="Q124" i="1"/>
  <c r="Q359" i="1"/>
  <c r="Q355" i="1"/>
  <c r="Q339" i="1"/>
  <c r="Q327" i="1"/>
  <c r="Q323" i="1"/>
  <c r="Q307" i="1"/>
  <c r="Q295" i="1"/>
  <c r="Q291" i="1"/>
  <c r="Q275" i="1"/>
  <c r="Q263" i="1"/>
  <c r="Q259" i="1"/>
  <c r="Q243" i="1"/>
  <c r="Q231" i="1"/>
  <c r="Q227" i="1"/>
  <c r="Q211" i="1"/>
  <c r="Q199" i="1"/>
  <c r="Q195" i="1"/>
  <c r="Q179" i="1"/>
  <c r="Q167" i="1"/>
  <c r="Q163" i="1"/>
  <c r="Q147" i="1"/>
  <c r="Q135" i="1"/>
  <c r="Q131" i="1"/>
  <c r="Q111" i="1"/>
  <c r="Q103" i="1"/>
  <c r="Q87" i="1"/>
  <c r="Q71" i="1"/>
  <c r="Q55" i="1"/>
  <c r="Q39" i="1"/>
  <c r="Q350" i="1"/>
  <c r="Q334" i="1"/>
  <c r="Q318" i="1"/>
  <c r="Q302" i="1"/>
  <c r="Q286" i="1"/>
  <c r="Q270" i="1"/>
  <c r="Q254" i="1"/>
  <c r="Q238" i="1"/>
  <c r="Q222" i="1"/>
  <c r="Q214" i="1"/>
  <c r="Q258" i="1"/>
  <c r="Q210" i="1"/>
  <c r="Q356" i="1"/>
  <c r="Q340" i="1"/>
  <c r="Q304" i="1"/>
  <c r="Q196" i="1"/>
  <c r="Q176" i="1"/>
  <c r="Q148" i="1"/>
  <c r="Q132" i="1"/>
  <c r="Q128" i="1"/>
  <c r="Q116" i="1"/>
  <c r="Q104" i="1"/>
  <c r="Q92" i="1"/>
  <c r="Q84" i="1"/>
  <c r="Q76" i="1"/>
  <c r="Q68" i="1"/>
  <c r="Q60" i="1"/>
  <c r="Q48" i="1"/>
  <c r="Q40" i="1"/>
  <c r="Q32" i="1"/>
  <c r="Q456" i="1"/>
  <c r="Q424" i="1"/>
  <c r="Q380" i="1"/>
  <c r="Q459" i="1"/>
  <c r="Q451" i="1"/>
  <c r="Q443" i="1"/>
  <c r="Q439" i="1"/>
  <c r="Q431" i="1"/>
  <c r="Q419" i="1"/>
  <c r="Q411" i="1"/>
  <c r="Q403" i="1"/>
  <c r="Q395" i="1"/>
  <c r="Q391" i="1"/>
  <c r="Q383" i="1"/>
  <c r="Q379" i="1"/>
  <c r="Q371" i="1"/>
  <c r="Q367" i="1"/>
  <c r="Q347" i="1"/>
  <c r="Q315" i="1"/>
  <c r="Q303" i="1"/>
  <c r="Q299" i="1"/>
  <c r="Q287" i="1"/>
  <c r="Q283" i="1"/>
  <c r="Q271" i="1"/>
  <c r="Q267" i="1"/>
  <c r="Q255" i="1"/>
  <c r="Q251" i="1"/>
  <c r="Q239" i="1"/>
  <c r="Q235" i="1"/>
  <c r="Q223" i="1"/>
  <c r="Q219" i="1"/>
  <c r="Q207" i="1"/>
  <c r="Q203" i="1"/>
  <c r="Q191" i="1"/>
  <c r="Q187" i="1"/>
  <c r="Q175" i="1"/>
  <c r="Q171" i="1"/>
  <c r="Q159" i="1"/>
  <c r="Q155" i="1"/>
  <c r="Q143" i="1"/>
  <c r="Q139" i="1"/>
  <c r="Q127" i="1"/>
  <c r="Q123" i="1"/>
  <c r="Q115" i="1"/>
  <c r="Q107" i="1"/>
  <c r="Q99" i="1"/>
  <c r="Q91" i="1"/>
  <c r="Q83" i="1"/>
  <c r="Q75" i="1"/>
  <c r="Q67" i="1"/>
  <c r="Q59" i="1"/>
  <c r="Q51" i="1"/>
  <c r="Q43" i="1"/>
  <c r="Q35" i="1"/>
  <c r="Q27" i="1"/>
  <c r="Q464" i="1"/>
  <c r="Q452" i="1"/>
  <c r="Q432" i="1"/>
  <c r="Q420" i="1"/>
  <c r="Q400" i="1"/>
  <c r="Q388" i="1"/>
  <c r="Q368" i="1"/>
  <c r="Q316" i="1"/>
  <c r="Q220" i="1"/>
  <c r="Q164" i="1"/>
  <c r="Q462" i="1"/>
  <c r="Q454" i="1"/>
  <c r="Q446" i="1"/>
  <c r="Q438" i="1"/>
  <c r="Q430" i="1"/>
  <c r="Q422" i="1"/>
  <c r="Q414" i="1"/>
  <c r="Q406" i="1"/>
  <c r="Q398" i="1"/>
  <c r="Q390" i="1"/>
  <c r="Q382" i="1"/>
  <c r="Q374" i="1"/>
  <c r="Q366" i="1"/>
  <c r="Q358" i="1"/>
  <c r="Q342" i="1"/>
  <c r="Q330" i="1"/>
  <c r="Q326" i="1"/>
  <c r="Q310" i="1"/>
  <c r="Q294" i="1"/>
  <c r="Q278" i="1"/>
  <c r="Q262" i="1"/>
  <c r="Q246" i="1"/>
  <c r="Q234" i="1"/>
  <c r="Q230" i="1"/>
  <c r="Q450" i="1"/>
  <c r="Q440" i="1"/>
  <c r="Q418" i="1"/>
  <c r="Q408" i="1"/>
  <c r="Q386" i="1"/>
  <c r="Q376" i="1"/>
  <c r="Q314" i="1"/>
  <c r="Q284" i="1"/>
  <c r="Q188" i="1"/>
  <c r="Q352" i="1"/>
  <c r="Q336" i="1"/>
  <c r="Q324" i="1"/>
  <c r="Q320" i="1"/>
  <c r="Q308" i="1"/>
  <c r="Q288" i="1"/>
  <c r="Q276" i="1"/>
  <c r="Q272" i="1"/>
  <c r="Q256" i="1"/>
  <c r="Q244" i="1"/>
  <c r="Q240" i="1"/>
  <c r="Q224" i="1"/>
  <c r="Q212" i="1"/>
  <c r="Q208" i="1"/>
  <c r="Q192" i="1"/>
  <c r="Q180" i="1"/>
  <c r="Q160" i="1"/>
  <c r="Q144" i="1"/>
  <c r="Q120" i="1"/>
  <c r="Q112" i="1"/>
  <c r="Q108" i="1"/>
  <c r="Q100" i="1"/>
  <c r="Q96" i="1"/>
  <c r="Q88" i="1"/>
  <c r="Q80" i="1"/>
  <c r="Q72" i="1"/>
  <c r="Q64" i="1"/>
  <c r="Q56" i="1"/>
  <c r="Q52" i="1"/>
  <c r="Q44" i="1"/>
  <c r="Q36" i="1"/>
  <c r="Q28" i="1"/>
  <c r="Q24" i="1"/>
  <c r="Q392" i="1"/>
  <c r="Q463" i="1"/>
  <c r="Q455" i="1"/>
  <c r="Q447" i="1"/>
  <c r="Q435" i="1"/>
  <c r="Q427" i="1"/>
  <c r="Q423" i="1"/>
  <c r="Q415" i="1"/>
  <c r="Q407" i="1"/>
  <c r="Q399" i="1"/>
  <c r="Q387" i="1"/>
  <c r="Q375" i="1"/>
  <c r="Q363" i="1"/>
  <c r="Q351" i="1"/>
  <c r="Q335" i="1"/>
  <c r="Q331" i="1"/>
  <c r="Q319" i="1"/>
  <c r="Q361" i="1"/>
  <c r="Q357" i="1"/>
  <c r="Q353" i="1"/>
  <c r="Q349" i="1"/>
  <c r="Q345" i="1"/>
  <c r="Q341" i="1"/>
  <c r="Q337" i="1"/>
  <c r="Q333" i="1"/>
  <c r="Q329" i="1"/>
  <c r="Q325" i="1"/>
  <c r="Q321" i="1"/>
  <c r="Q317" i="1"/>
  <c r="Q313" i="1"/>
  <c r="Q309" i="1"/>
  <c r="Q305" i="1"/>
  <c r="Q301" i="1"/>
  <c r="Q297" i="1"/>
  <c r="Q293" i="1"/>
  <c r="Q289" i="1"/>
  <c r="Q285" i="1"/>
  <c r="Q281" i="1"/>
  <c r="Q277" i="1"/>
  <c r="Q273" i="1"/>
  <c r="Q269" i="1"/>
  <c r="Q265" i="1"/>
  <c r="Q261" i="1"/>
  <c r="Q257" i="1"/>
  <c r="Q253" i="1"/>
  <c r="Q249" i="1"/>
  <c r="Q245" i="1"/>
  <c r="Q241" i="1"/>
  <c r="Q237" i="1"/>
  <c r="Q233" i="1"/>
  <c r="Q229" i="1"/>
  <c r="Q225" i="1"/>
  <c r="Q221" i="1"/>
  <c r="Q217" i="1"/>
  <c r="Q213" i="1"/>
  <c r="Q209" i="1"/>
  <c r="Q205" i="1"/>
  <c r="Q201" i="1"/>
  <c r="Q197" i="1"/>
  <c r="Q193" i="1"/>
  <c r="Q189" i="1"/>
  <c r="Q185" i="1"/>
  <c r="Q181" i="1"/>
  <c r="Q177" i="1"/>
  <c r="Q173" i="1"/>
  <c r="Q169" i="1"/>
  <c r="Q165" i="1"/>
  <c r="Q161" i="1"/>
  <c r="Q157" i="1"/>
  <c r="Q153" i="1"/>
  <c r="Q149" i="1"/>
  <c r="Q145" i="1"/>
  <c r="Q141" i="1"/>
  <c r="Q137" i="1"/>
  <c r="Q133" i="1"/>
  <c r="Q129" i="1"/>
  <c r="Q125" i="1"/>
  <c r="Q121" i="1"/>
  <c r="Q117" i="1"/>
  <c r="Q113" i="1"/>
  <c r="Q109" i="1"/>
  <c r="Q105" i="1"/>
  <c r="Q101" i="1"/>
  <c r="Q97" i="1"/>
  <c r="Q93" i="1"/>
  <c r="Q89" i="1"/>
  <c r="Q85" i="1"/>
  <c r="Q81" i="1"/>
  <c r="Q77" i="1"/>
  <c r="Q73" i="1"/>
  <c r="Q69" i="1"/>
  <c r="Q65" i="1"/>
  <c r="Q61" i="1"/>
  <c r="Q57" i="1"/>
  <c r="Q53" i="1"/>
  <c r="Q49" i="1"/>
  <c r="Q45" i="1"/>
  <c r="Q41" i="1"/>
  <c r="Q37" i="1"/>
  <c r="Q33" i="1"/>
  <c r="Q29" i="1"/>
  <c r="Q25" i="1"/>
  <c r="Q448" i="1"/>
  <c r="Q416" i="1"/>
  <c r="Q384" i="1"/>
  <c r="Q228" i="1"/>
  <c r="Q218" i="1"/>
  <c r="C3" i="4"/>
  <c r="E21" i="6"/>
  <c r="D22" i="6"/>
  <c r="D23" i="6"/>
  <c r="D24" i="6"/>
  <c r="D25" i="6"/>
  <c r="E25" i="6" s="1"/>
  <c r="D26" i="6"/>
  <c r="D27" i="6"/>
  <c r="D28" i="6"/>
  <c r="D29" i="6"/>
  <c r="D30" i="6"/>
  <c r="D31" i="6"/>
  <c r="D32" i="6"/>
  <c r="D33" i="6"/>
  <c r="E33" i="6" s="1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21" i="6"/>
  <c r="C22" i="6"/>
  <c r="E22" i="6" s="1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F36" i="6" s="1"/>
  <c r="C37" i="6"/>
  <c r="C38" i="6"/>
  <c r="C39" i="6"/>
  <c r="C40" i="6"/>
  <c r="F40" i="6" s="1"/>
  <c r="C41" i="6"/>
  <c r="C42" i="6"/>
  <c r="C43" i="6"/>
  <c r="C44" i="6"/>
  <c r="F44" i="6" s="1"/>
  <c r="C45" i="6"/>
  <c r="C46" i="6"/>
  <c r="F46" i="6" s="1"/>
  <c r="C47" i="6"/>
  <c r="C48" i="6"/>
  <c r="C49" i="6"/>
  <c r="C50" i="6"/>
  <c r="F50" i="6" s="1"/>
  <c r="C21" i="6"/>
  <c r="F21" i="6" s="1"/>
  <c r="S364" i="1" l="1"/>
  <c r="S460" i="1"/>
  <c r="S172" i="1"/>
  <c r="S300" i="1"/>
  <c r="S306" i="1"/>
  <c r="F42" i="6"/>
  <c r="E42" i="6"/>
  <c r="F34" i="6"/>
  <c r="E34" i="6"/>
  <c r="E46" i="6"/>
  <c r="F22" i="6"/>
  <c r="F49" i="6"/>
  <c r="E49" i="6"/>
  <c r="F45" i="6"/>
  <c r="E45" i="6"/>
  <c r="F41" i="6"/>
  <c r="E41" i="6"/>
  <c r="F37" i="6"/>
  <c r="E37" i="6"/>
  <c r="F33" i="6"/>
  <c r="F29" i="6"/>
  <c r="F25" i="6"/>
  <c r="E44" i="6"/>
  <c r="E29" i="6"/>
  <c r="F38" i="6"/>
  <c r="E38" i="6"/>
  <c r="F30" i="6"/>
  <c r="E30" i="6"/>
  <c r="F26" i="6"/>
  <c r="E26" i="6"/>
  <c r="F48" i="6"/>
  <c r="E48" i="6"/>
  <c r="F32" i="6"/>
  <c r="E32" i="6"/>
  <c r="F28" i="6"/>
  <c r="E28" i="6"/>
  <c r="F24" i="6"/>
  <c r="E24" i="6"/>
  <c r="E40" i="6"/>
  <c r="F47" i="6"/>
  <c r="E47" i="6"/>
  <c r="F43" i="6"/>
  <c r="E43" i="6"/>
  <c r="F39" i="6"/>
  <c r="E39" i="6"/>
  <c r="F35" i="6"/>
  <c r="E35" i="6"/>
  <c r="F31" i="6"/>
  <c r="E31" i="6"/>
  <c r="F27" i="6"/>
  <c r="E27" i="6"/>
  <c r="F23" i="6"/>
  <c r="E23" i="6"/>
  <c r="E50" i="6"/>
  <c r="E36" i="6"/>
  <c r="S271" i="1"/>
  <c r="S134" i="1"/>
  <c r="S236" i="1"/>
  <c r="S372" i="1"/>
  <c r="S444" i="1"/>
  <c r="S428" i="1"/>
  <c r="S242" i="1"/>
  <c r="S146" i="1"/>
  <c r="S174" i="1"/>
  <c r="S301" i="1"/>
  <c r="S148" i="1"/>
  <c r="S274" i="1"/>
  <c r="S77" i="1"/>
  <c r="S288" i="1"/>
  <c r="S83" i="1"/>
  <c r="S113" i="1"/>
  <c r="S123" i="1"/>
  <c r="S380" i="1"/>
  <c r="S378" i="1"/>
  <c r="S81" i="1"/>
  <c r="S95" i="1"/>
  <c r="S129" i="1"/>
  <c r="S305" i="1"/>
  <c r="S251" i="1"/>
  <c r="S160" i="1"/>
  <c r="S292" i="1"/>
  <c r="S45" i="1"/>
  <c r="S109" i="1"/>
  <c r="S175" i="1"/>
  <c r="S237" i="1"/>
  <c r="S381" i="1"/>
  <c r="S363" i="1"/>
  <c r="S244" i="1"/>
  <c r="S336" i="1"/>
  <c r="S464" i="1"/>
  <c r="S222" i="1"/>
  <c r="S49" i="1"/>
  <c r="S31" i="1"/>
  <c r="S247" i="1"/>
  <c r="S241" i="1"/>
  <c r="S58" i="1"/>
  <c r="S52" i="1"/>
  <c r="S256" i="1"/>
  <c r="S420" i="1"/>
  <c r="S350" i="1"/>
  <c r="S170" i="1"/>
  <c r="S310" i="1"/>
  <c r="S235" i="1"/>
  <c r="S192" i="1"/>
  <c r="S377" i="1"/>
  <c r="S51" i="1"/>
  <c r="S207" i="1"/>
  <c r="S391" i="1"/>
  <c r="S100" i="1"/>
  <c r="S208" i="1"/>
  <c r="S340" i="1"/>
  <c r="S408" i="1"/>
  <c r="S29" i="1"/>
  <c r="S61" i="1"/>
  <c r="S93" i="1"/>
  <c r="S173" i="1"/>
  <c r="S63" i="1"/>
  <c r="S111" i="1"/>
  <c r="S215" i="1"/>
  <c r="S303" i="1"/>
  <c r="S177" i="1"/>
  <c r="S257" i="1"/>
  <c r="S321" i="1"/>
  <c r="S445" i="1"/>
  <c r="S171" i="1"/>
  <c r="S299" i="1"/>
  <c r="S431" i="1"/>
  <c r="S68" i="1"/>
  <c r="S116" i="1"/>
  <c r="S212" i="1"/>
  <c r="S260" i="1"/>
  <c r="S304" i="1"/>
  <c r="S352" i="1"/>
  <c r="S384" i="1"/>
  <c r="S436" i="1"/>
  <c r="S314" i="1"/>
  <c r="S410" i="1"/>
  <c r="S249" i="1"/>
  <c r="S433" i="1"/>
  <c r="S154" i="1"/>
  <c r="S294" i="1"/>
  <c r="S346" i="1"/>
  <c r="S96" i="1"/>
  <c r="S438" i="1"/>
  <c r="S141" i="1"/>
  <c r="S413" i="1"/>
  <c r="S64" i="1"/>
  <c r="S254" i="1"/>
  <c r="S446" i="1"/>
  <c r="S425" i="1"/>
  <c r="S234" i="1"/>
  <c r="S338" i="1"/>
  <c r="S33" i="1"/>
  <c r="S65" i="1"/>
  <c r="S97" i="1"/>
  <c r="S205" i="1"/>
  <c r="S79" i="1"/>
  <c r="S143" i="1"/>
  <c r="S239" i="1"/>
  <c r="S343" i="1"/>
  <c r="S193" i="1"/>
  <c r="S285" i="1"/>
  <c r="S349" i="1"/>
  <c r="S26" i="1"/>
  <c r="S187" i="1"/>
  <c r="S315" i="1"/>
  <c r="S32" i="1"/>
  <c r="S80" i="1"/>
  <c r="S144" i="1"/>
  <c r="S176" i="1"/>
  <c r="S240" i="1"/>
  <c r="S268" i="1"/>
  <c r="S308" i="1"/>
  <c r="S356" i="1"/>
  <c r="S396" i="1"/>
  <c r="S342" i="1"/>
  <c r="S418" i="1"/>
  <c r="S329" i="1"/>
  <c r="S38" i="1"/>
  <c r="S158" i="1"/>
  <c r="S214" i="1"/>
  <c r="S370" i="1"/>
  <c r="S411" i="1"/>
  <c r="S47" i="1"/>
  <c r="S335" i="1"/>
  <c r="S373" i="1"/>
  <c r="S455" i="1"/>
  <c r="S48" i="1"/>
  <c r="S112" i="1"/>
  <c r="S272" i="1"/>
  <c r="S432" i="1"/>
  <c r="S302" i="1"/>
  <c r="S62" i="1"/>
  <c r="S94" i="1"/>
  <c r="S126" i="1"/>
  <c r="S182" i="1"/>
  <c r="S250" i="1"/>
  <c r="S430" i="1"/>
  <c r="S121" i="1"/>
  <c r="S153" i="1"/>
  <c r="S169" i="1"/>
  <c r="S201" i="1"/>
  <c r="S233" i="1"/>
  <c r="S427" i="1"/>
  <c r="S451" i="1"/>
  <c r="S291" i="1"/>
  <c r="S149" i="1"/>
  <c r="S213" i="1"/>
  <c r="S35" i="1"/>
  <c r="S119" i="1"/>
  <c r="S183" i="1"/>
  <c r="S311" i="1"/>
  <c r="S325" i="1"/>
  <c r="S367" i="1"/>
  <c r="S36" i="1"/>
  <c r="S132" i="1"/>
  <c r="S164" i="1"/>
  <c r="S196" i="1"/>
  <c r="S228" i="1"/>
  <c r="S276" i="1"/>
  <c r="S424" i="1"/>
  <c r="S452" i="1"/>
  <c r="S266" i="1"/>
  <c r="S265" i="1"/>
  <c r="S393" i="1"/>
  <c r="S82" i="1"/>
  <c r="S98" i="1"/>
  <c r="S130" i="1"/>
  <c r="S186" i="1"/>
  <c r="S202" i="1"/>
  <c r="S258" i="1"/>
  <c r="S298" i="1"/>
  <c r="S318" i="1"/>
  <c r="S374" i="1"/>
  <c r="S442" i="1"/>
  <c r="S435" i="1"/>
  <c r="S115" i="1"/>
  <c r="S371" i="1"/>
  <c r="S395" i="1"/>
  <c r="S459" i="1"/>
  <c r="S131" i="1"/>
  <c r="S211" i="1"/>
  <c r="S259" i="1"/>
  <c r="S339" i="1"/>
  <c r="S27" i="1"/>
  <c r="S37" i="1"/>
  <c r="S53" i="1"/>
  <c r="S69" i="1"/>
  <c r="S85" i="1"/>
  <c r="S101" i="1"/>
  <c r="S125" i="1"/>
  <c r="S157" i="1"/>
  <c r="S189" i="1"/>
  <c r="S221" i="1"/>
  <c r="S39" i="1"/>
  <c r="S55" i="1"/>
  <c r="S71" i="1"/>
  <c r="S87" i="1"/>
  <c r="S103" i="1"/>
  <c r="S127" i="1"/>
  <c r="S159" i="1"/>
  <c r="S191" i="1"/>
  <c r="S223" i="1"/>
  <c r="S255" i="1"/>
  <c r="S287" i="1"/>
  <c r="S319" i="1"/>
  <c r="S351" i="1"/>
  <c r="S145" i="1"/>
  <c r="S209" i="1"/>
  <c r="S245" i="1"/>
  <c r="S269" i="1"/>
  <c r="S289" i="1"/>
  <c r="S309" i="1"/>
  <c r="S333" i="1"/>
  <c r="S353" i="1"/>
  <c r="S389" i="1"/>
  <c r="S421" i="1"/>
  <c r="S453" i="1"/>
  <c r="S42" i="1"/>
  <c r="S139" i="1"/>
  <c r="S203" i="1"/>
  <c r="S267" i="1"/>
  <c r="S331" i="1"/>
  <c r="S375" i="1"/>
  <c r="S407" i="1"/>
  <c r="S439" i="1"/>
  <c r="S24" i="1"/>
  <c r="S40" i="1"/>
  <c r="S56" i="1"/>
  <c r="S72" i="1"/>
  <c r="S88" i="1"/>
  <c r="S104" i="1"/>
  <c r="S120" i="1"/>
  <c r="S136" i="1"/>
  <c r="S152" i="1"/>
  <c r="S168" i="1"/>
  <c r="S184" i="1"/>
  <c r="S200" i="1"/>
  <c r="S216" i="1"/>
  <c r="S232" i="1"/>
  <c r="S248" i="1"/>
  <c r="S264" i="1"/>
  <c r="S280" i="1"/>
  <c r="S296" i="1"/>
  <c r="S312" i="1"/>
  <c r="S328" i="1"/>
  <c r="S344" i="1"/>
  <c r="S360" i="1"/>
  <c r="S388" i="1"/>
  <c r="S400" i="1"/>
  <c r="S440" i="1"/>
  <c r="S456" i="1"/>
  <c r="S218" i="1"/>
  <c r="S278" i="1"/>
  <c r="S322" i="1"/>
  <c r="S358" i="1"/>
  <c r="S394" i="1"/>
  <c r="S426" i="1"/>
  <c r="S454" i="1"/>
  <c r="S281" i="1"/>
  <c r="S365" i="1"/>
  <c r="S401" i="1"/>
  <c r="S441" i="1"/>
  <c r="S46" i="1"/>
  <c r="S70" i="1"/>
  <c r="S86" i="1"/>
  <c r="S102" i="1"/>
  <c r="S118" i="1"/>
  <c r="S162" i="1"/>
  <c r="S190" i="1"/>
  <c r="S206" i="1"/>
  <c r="S226" i="1"/>
  <c r="S262" i="1"/>
  <c r="S282" i="1"/>
  <c r="S326" i="1"/>
  <c r="S354" i="1"/>
  <c r="S382" i="1"/>
  <c r="S414" i="1"/>
  <c r="S450" i="1"/>
  <c r="S387" i="1"/>
  <c r="S443" i="1"/>
  <c r="S147" i="1"/>
  <c r="S195" i="1"/>
  <c r="S275" i="1"/>
  <c r="S323" i="1"/>
  <c r="S277" i="1"/>
  <c r="S341" i="1"/>
  <c r="S405" i="1"/>
  <c r="S437" i="1"/>
  <c r="S423" i="1"/>
  <c r="S128" i="1"/>
  <c r="S224" i="1"/>
  <c r="S320" i="1"/>
  <c r="S448" i="1"/>
  <c r="S30" i="1"/>
  <c r="S78" i="1"/>
  <c r="S110" i="1"/>
  <c r="S142" i="1"/>
  <c r="S198" i="1"/>
  <c r="S398" i="1"/>
  <c r="S137" i="1"/>
  <c r="S185" i="1"/>
  <c r="S217" i="1"/>
  <c r="S297" i="1"/>
  <c r="S361" i="1"/>
  <c r="S419" i="1"/>
  <c r="S163" i="1"/>
  <c r="S243" i="1"/>
  <c r="S117" i="1"/>
  <c r="S181" i="1"/>
  <c r="S67" i="1"/>
  <c r="S99" i="1"/>
  <c r="S151" i="1"/>
  <c r="S279" i="1"/>
  <c r="S261" i="1"/>
  <c r="S34" i="1"/>
  <c r="S399" i="1"/>
  <c r="S463" i="1"/>
  <c r="S84" i="1"/>
  <c r="S180" i="1"/>
  <c r="S324" i="1"/>
  <c r="S368" i="1"/>
  <c r="S386" i="1"/>
  <c r="S345" i="1"/>
  <c r="S66" i="1"/>
  <c r="S114" i="1"/>
  <c r="S406" i="1"/>
  <c r="S379" i="1"/>
  <c r="S403" i="1"/>
  <c r="S179" i="1"/>
  <c r="S227" i="1"/>
  <c r="S307" i="1"/>
  <c r="S355" i="1"/>
  <c r="S385" i="1"/>
  <c r="S417" i="1"/>
  <c r="S449" i="1"/>
  <c r="S25" i="1"/>
  <c r="S41" i="1"/>
  <c r="S57" i="1"/>
  <c r="S73" i="1"/>
  <c r="S89" i="1"/>
  <c r="S105" i="1"/>
  <c r="S133" i="1"/>
  <c r="S165" i="1"/>
  <c r="S197" i="1"/>
  <c r="S229" i="1"/>
  <c r="S43" i="1"/>
  <c r="S59" i="1"/>
  <c r="S75" i="1"/>
  <c r="S91" i="1"/>
  <c r="S107" i="1"/>
  <c r="S135" i="1"/>
  <c r="S167" i="1"/>
  <c r="S199" i="1"/>
  <c r="S231" i="1"/>
  <c r="S263" i="1"/>
  <c r="S295" i="1"/>
  <c r="S327" i="1"/>
  <c r="S359" i="1"/>
  <c r="S161" i="1"/>
  <c r="S225" i="1"/>
  <c r="S253" i="1"/>
  <c r="S273" i="1"/>
  <c r="S293" i="1"/>
  <c r="S317" i="1"/>
  <c r="S337" i="1"/>
  <c r="S357" i="1"/>
  <c r="S397" i="1"/>
  <c r="S429" i="1"/>
  <c r="S461" i="1"/>
  <c r="S50" i="1"/>
  <c r="S155" i="1"/>
  <c r="S219" i="1"/>
  <c r="S283" i="1"/>
  <c r="S347" i="1"/>
  <c r="S383" i="1"/>
  <c r="S415" i="1"/>
  <c r="S447" i="1"/>
  <c r="S28" i="1"/>
  <c r="S44" i="1"/>
  <c r="S60" i="1"/>
  <c r="S76" i="1"/>
  <c r="S92" i="1"/>
  <c r="S108" i="1"/>
  <c r="S124" i="1"/>
  <c r="S140" i="1"/>
  <c r="S156" i="1"/>
  <c r="S188" i="1"/>
  <c r="S204" i="1"/>
  <c r="S220" i="1"/>
  <c r="S252" i="1"/>
  <c r="S284" i="1"/>
  <c r="S316" i="1"/>
  <c r="S332" i="1"/>
  <c r="S348" i="1"/>
  <c r="S376" i="1"/>
  <c r="S392" i="1"/>
  <c r="S404" i="1"/>
  <c r="S416" i="1"/>
  <c r="S238" i="1"/>
  <c r="S290" i="1"/>
  <c r="S334" i="1"/>
  <c r="S366" i="1"/>
  <c r="S402" i="1"/>
  <c r="S434" i="1"/>
  <c r="S462" i="1"/>
  <c r="S313" i="1"/>
  <c r="S369" i="1"/>
  <c r="S409" i="1"/>
  <c r="S457" i="1"/>
  <c r="S54" i="1"/>
  <c r="S74" i="1"/>
  <c r="S90" i="1"/>
  <c r="S106" i="1"/>
  <c r="S122" i="1"/>
  <c r="S138" i="1"/>
  <c r="S150" i="1"/>
  <c r="S166" i="1"/>
  <c r="S194" i="1"/>
  <c r="S210" i="1"/>
  <c r="S230" i="1"/>
  <c r="S246" i="1"/>
  <c r="S270" i="1"/>
  <c r="S286" i="1"/>
  <c r="S330" i="1"/>
  <c r="S362" i="1"/>
  <c r="S390" i="1"/>
  <c r="S422" i="1"/>
  <c r="S458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F3" i="4" l="1"/>
  <c r="E3" i="4"/>
  <c r="G3" i="4"/>
  <c r="F57" i="6" l="1"/>
  <c r="E57" i="6"/>
  <c r="F61" i="6"/>
  <c r="E61" i="6"/>
  <c r="F65" i="6"/>
  <c r="E65" i="6"/>
  <c r="F69" i="6"/>
  <c r="E69" i="6"/>
  <c r="F77" i="6"/>
  <c r="E77" i="6"/>
  <c r="F81" i="6"/>
  <c r="E81" i="6"/>
  <c r="F85" i="6"/>
  <c r="E85" i="6"/>
  <c r="F93" i="6"/>
  <c r="E93" i="6"/>
  <c r="F97" i="6"/>
  <c r="E97" i="6"/>
  <c r="F101" i="6"/>
  <c r="E101" i="6"/>
  <c r="F105" i="6"/>
  <c r="E105" i="6"/>
  <c r="F113" i="6"/>
  <c r="E113" i="6"/>
  <c r="F117" i="6"/>
  <c r="E117" i="6"/>
  <c r="F121" i="6"/>
  <c r="E121" i="6"/>
  <c r="F125" i="6"/>
  <c r="E125" i="6"/>
  <c r="F133" i="6"/>
  <c r="E133" i="6"/>
  <c r="F137" i="6"/>
  <c r="E137" i="6"/>
  <c r="F141" i="6"/>
  <c r="E141" i="6"/>
  <c r="F149" i="6"/>
  <c r="E149" i="6"/>
  <c r="F153" i="6"/>
  <c r="E153" i="6"/>
  <c r="F157" i="6"/>
  <c r="E157" i="6"/>
  <c r="F161" i="6"/>
  <c r="E161" i="6"/>
  <c r="F169" i="6"/>
  <c r="E169" i="6"/>
  <c r="F173" i="6"/>
  <c r="E173" i="6"/>
  <c r="F177" i="6"/>
  <c r="E177" i="6"/>
  <c r="F185" i="6"/>
  <c r="E185" i="6"/>
  <c r="F189" i="6"/>
  <c r="E189" i="6"/>
  <c r="F193" i="6"/>
  <c r="E193" i="6"/>
  <c r="F201" i="6"/>
  <c r="E201" i="6"/>
  <c r="F205" i="6"/>
  <c r="E205" i="6"/>
  <c r="F213" i="6"/>
  <c r="E213" i="6"/>
  <c r="F217" i="6"/>
  <c r="E217" i="6"/>
  <c r="F225" i="6"/>
  <c r="E225" i="6"/>
  <c r="F229" i="6"/>
  <c r="E229" i="6"/>
  <c r="F237" i="6"/>
  <c r="E237" i="6"/>
  <c r="F253" i="6"/>
  <c r="E253" i="6"/>
  <c r="F51" i="6"/>
  <c r="E51" i="6"/>
  <c r="F55" i="6"/>
  <c r="E55" i="6"/>
  <c r="F59" i="6"/>
  <c r="E59" i="6"/>
  <c r="F63" i="6"/>
  <c r="E63" i="6"/>
  <c r="F67" i="6"/>
  <c r="E67" i="6"/>
  <c r="F71" i="6"/>
  <c r="E71" i="6"/>
  <c r="F75" i="6"/>
  <c r="E75" i="6"/>
  <c r="F79" i="6"/>
  <c r="E79" i="6"/>
  <c r="F83" i="6"/>
  <c r="E83" i="6"/>
  <c r="F87" i="6"/>
  <c r="E87" i="6"/>
  <c r="F91" i="6"/>
  <c r="E91" i="6"/>
  <c r="F95" i="6"/>
  <c r="E95" i="6"/>
  <c r="E99" i="6"/>
  <c r="F99" i="6"/>
  <c r="F103" i="6"/>
  <c r="E103" i="6"/>
  <c r="F107" i="6"/>
  <c r="E107" i="6"/>
  <c r="F111" i="6"/>
  <c r="E111" i="6"/>
  <c r="F115" i="6"/>
  <c r="E115" i="6"/>
  <c r="F119" i="6"/>
  <c r="E119" i="6"/>
  <c r="F123" i="6"/>
  <c r="E123" i="6"/>
  <c r="F127" i="6"/>
  <c r="E127" i="6"/>
  <c r="E131" i="6"/>
  <c r="F131" i="6"/>
  <c r="F135" i="6"/>
  <c r="E135" i="6"/>
  <c r="F139" i="6"/>
  <c r="E139" i="6"/>
  <c r="F143" i="6"/>
  <c r="E143" i="6"/>
  <c r="F147" i="6"/>
  <c r="E147" i="6"/>
  <c r="F151" i="6"/>
  <c r="E151" i="6"/>
  <c r="F155" i="6"/>
  <c r="E155" i="6"/>
  <c r="F159" i="6"/>
  <c r="E159" i="6"/>
  <c r="F163" i="6"/>
  <c r="E163" i="6"/>
  <c r="F167" i="6"/>
  <c r="E167" i="6"/>
  <c r="F171" i="6"/>
  <c r="E171" i="6"/>
  <c r="F175" i="6"/>
  <c r="E175" i="6"/>
  <c r="F179" i="6"/>
  <c r="E179" i="6"/>
  <c r="F183" i="6"/>
  <c r="E183" i="6"/>
  <c r="F187" i="6"/>
  <c r="E187" i="6"/>
  <c r="F191" i="6"/>
  <c r="E191" i="6"/>
  <c r="F195" i="6"/>
  <c r="E195" i="6"/>
  <c r="F199" i="6"/>
  <c r="E199" i="6"/>
  <c r="F203" i="6"/>
  <c r="E203" i="6"/>
  <c r="F207" i="6"/>
  <c r="E207" i="6"/>
  <c r="F211" i="6"/>
  <c r="E211" i="6"/>
  <c r="F215" i="6"/>
  <c r="E215" i="6"/>
  <c r="F219" i="6"/>
  <c r="E219" i="6"/>
  <c r="F223" i="6"/>
  <c r="E223" i="6"/>
  <c r="F227" i="6"/>
  <c r="E227" i="6"/>
  <c r="F231" i="6"/>
  <c r="E231" i="6"/>
  <c r="F235" i="6"/>
  <c r="E235" i="6"/>
  <c r="F239" i="6"/>
  <c r="E239" i="6"/>
  <c r="F243" i="6"/>
  <c r="E243" i="6"/>
  <c r="F247" i="6"/>
  <c r="E247" i="6"/>
  <c r="F251" i="6"/>
  <c r="E251" i="6"/>
  <c r="F255" i="6"/>
  <c r="E255" i="6"/>
  <c r="F259" i="6"/>
  <c r="E259" i="6"/>
  <c r="F263" i="6"/>
  <c r="E263" i="6"/>
  <c r="F267" i="6"/>
  <c r="E267" i="6"/>
  <c r="F271" i="6"/>
  <c r="E271" i="6"/>
  <c r="F275" i="6"/>
  <c r="E275" i="6"/>
  <c r="F279" i="6"/>
  <c r="E279" i="6"/>
  <c r="F283" i="6"/>
  <c r="E283" i="6"/>
  <c r="F287" i="6"/>
  <c r="E287" i="6"/>
  <c r="F291" i="6"/>
  <c r="E291" i="6"/>
  <c r="F295" i="6"/>
  <c r="E295" i="6"/>
  <c r="F299" i="6"/>
  <c r="E299" i="6"/>
  <c r="F303" i="6"/>
  <c r="E303" i="6"/>
  <c r="F307" i="6"/>
  <c r="E307" i="6"/>
  <c r="F311" i="6"/>
  <c r="E311" i="6"/>
  <c r="F315" i="6"/>
  <c r="E315" i="6"/>
  <c r="F319" i="6"/>
  <c r="E319" i="6"/>
  <c r="F323" i="6"/>
  <c r="E323" i="6"/>
  <c r="F327" i="6"/>
  <c r="E327" i="6"/>
  <c r="F331" i="6"/>
  <c r="E331" i="6"/>
  <c r="F335" i="6"/>
  <c r="E335" i="6"/>
  <c r="F339" i="6"/>
  <c r="E339" i="6"/>
  <c r="F343" i="6"/>
  <c r="E343" i="6"/>
  <c r="F347" i="6"/>
  <c r="E347" i="6"/>
  <c r="F351" i="6"/>
  <c r="E351" i="6"/>
  <c r="F355" i="6"/>
  <c r="E355" i="6"/>
  <c r="F359" i="6"/>
  <c r="E359" i="6"/>
  <c r="F363" i="6"/>
  <c r="E363" i="6"/>
  <c r="F367" i="6"/>
  <c r="E367" i="6"/>
  <c r="F371" i="6"/>
  <c r="E371" i="6"/>
  <c r="F375" i="6"/>
  <c r="E375" i="6"/>
  <c r="F379" i="6"/>
  <c r="E379" i="6"/>
  <c r="F383" i="6"/>
  <c r="E383" i="6"/>
  <c r="F387" i="6"/>
  <c r="E387" i="6"/>
  <c r="F391" i="6"/>
  <c r="E391" i="6"/>
  <c r="F395" i="6"/>
  <c r="E395" i="6"/>
  <c r="F399" i="6"/>
  <c r="E399" i="6"/>
  <c r="F403" i="6"/>
  <c r="E403" i="6"/>
  <c r="F407" i="6"/>
  <c r="E407" i="6"/>
  <c r="F411" i="6"/>
  <c r="E411" i="6"/>
  <c r="F415" i="6"/>
  <c r="E415" i="6"/>
  <c r="F419" i="6"/>
  <c r="E419" i="6"/>
  <c r="F423" i="6"/>
  <c r="E423" i="6"/>
  <c r="F427" i="6"/>
  <c r="E427" i="6"/>
  <c r="F431" i="6"/>
  <c r="E431" i="6"/>
  <c r="F435" i="6"/>
  <c r="E435" i="6"/>
  <c r="F439" i="6"/>
  <c r="E439" i="6"/>
  <c r="F443" i="6"/>
  <c r="E443" i="6"/>
  <c r="F447" i="6"/>
  <c r="E447" i="6"/>
  <c r="F451" i="6"/>
  <c r="E451" i="6"/>
  <c r="F455" i="6"/>
  <c r="E455" i="6"/>
  <c r="F459" i="6"/>
  <c r="E459" i="6"/>
  <c r="F463" i="6"/>
  <c r="E463" i="6"/>
  <c r="F467" i="6"/>
  <c r="E467" i="6"/>
  <c r="F471" i="6"/>
  <c r="E471" i="6"/>
  <c r="F475" i="6"/>
  <c r="E475" i="6"/>
  <c r="F479" i="6"/>
  <c r="E479" i="6"/>
  <c r="F483" i="6"/>
  <c r="E483" i="6"/>
  <c r="F487" i="6"/>
  <c r="E487" i="6"/>
  <c r="F491" i="6"/>
  <c r="E491" i="6"/>
  <c r="F495" i="6"/>
  <c r="E495" i="6"/>
  <c r="F499" i="6"/>
  <c r="E499" i="6"/>
  <c r="F503" i="6"/>
  <c r="E503" i="6"/>
  <c r="F507" i="6"/>
  <c r="E507" i="6"/>
  <c r="F511" i="6"/>
  <c r="E511" i="6"/>
  <c r="F515" i="6"/>
  <c r="E515" i="6"/>
  <c r="F519" i="6"/>
  <c r="E519" i="6"/>
  <c r="F523" i="6"/>
  <c r="E523" i="6"/>
  <c r="F527" i="6"/>
  <c r="E527" i="6"/>
  <c r="F531" i="6"/>
  <c r="E531" i="6"/>
  <c r="F535" i="6"/>
  <c r="E535" i="6"/>
  <c r="F539" i="6"/>
  <c r="E539" i="6"/>
  <c r="F543" i="6"/>
  <c r="E543" i="6"/>
  <c r="F547" i="6"/>
  <c r="E547" i="6"/>
  <c r="F551" i="6"/>
  <c r="E551" i="6"/>
  <c r="F555" i="6"/>
  <c r="E555" i="6"/>
  <c r="F559" i="6"/>
  <c r="E559" i="6"/>
  <c r="F563" i="6"/>
  <c r="E563" i="6"/>
  <c r="F567" i="6"/>
  <c r="E567" i="6"/>
  <c r="F571" i="6"/>
  <c r="E571" i="6"/>
  <c r="F575" i="6"/>
  <c r="E575" i="6"/>
  <c r="F579" i="6"/>
  <c r="E579" i="6"/>
  <c r="F583" i="6"/>
  <c r="E583" i="6"/>
  <c r="F587" i="6"/>
  <c r="E587" i="6"/>
  <c r="F591" i="6"/>
  <c r="E591" i="6"/>
  <c r="F595" i="6"/>
  <c r="E595" i="6"/>
  <c r="F599" i="6"/>
  <c r="E599" i="6"/>
  <c r="F603" i="6"/>
  <c r="E603" i="6"/>
  <c r="F607" i="6"/>
  <c r="E607" i="6"/>
  <c r="F611" i="6"/>
  <c r="E611" i="6"/>
  <c r="F615" i="6"/>
  <c r="E615" i="6"/>
  <c r="F619" i="6"/>
  <c r="E619" i="6"/>
  <c r="F623" i="6"/>
  <c r="E623" i="6"/>
  <c r="F627" i="6"/>
  <c r="E627" i="6"/>
  <c r="F631" i="6"/>
  <c r="E631" i="6"/>
  <c r="F635" i="6"/>
  <c r="E635" i="6"/>
  <c r="F639" i="6"/>
  <c r="E639" i="6"/>
  <c r="F643" i="6"/>
  <c r="E643" i="6"/>
  <c r="F647" i="6"/>
  <c r="E647" i="6"/>
  <c r="F651" i="6"/>
  <c r="E651" i="6"/>
  <c r="F655" i="6"/>
  <c r="E655" i="6"/>
  <c r="F659" i="6"/>
  <c r="E659" i="6"/>
  <c r="F663" i="6"/>
  <c r="E663" i="6"/>
  <c r="F667" i="6"/>
  <c r="E667" i="6"/>
  <c r="F671" i="6"/>
  <c r="E671" i="6"/>
  <c r="F675" i="6"/>
  <c r="E675" i="6"/>
  <c r="F679" i="6"/>
  <c r="E679" i="6"/>
  <c r="F683" i="6"/>
  <c r="E683" i="6"/>
  <c r="F687" i="6"/>
  <c r="E687" i="6"/>
  <c r="F691" i="6"/>
  <c r="E691" i="6"/>
  <c r="F695" i="6"/>
  <c r="E695" i="6"/>
  <c r="F699" i="6"/>
  <c r="E699" i="6"/>
  <c r="F703" i="6"/>
  <c r="E703" i="6"/>
  <c r="F707" i="6"/>
  <c r="E707" i="6"/>
  <c r="F711" i="6"/>
  <c r="E711" i="6"/>
  <c r="F715" i="6"/>
  <c r="E715" i="6"/>
  <c r="F719" i="6"/>
  <c r="E719" i="6"/>
  <c r="F723" i="6"/>
  <c r="E723" i="6"/>
  <c r="F727" i="6"/>
  <c r="E727" i="6"/>
  <c r="F731" i="6"/>
  <c r="E731" i="6"/>
  <c r="F735" i="6"/>
  <c r="E735" i="6"/>
  <c r="F739" i="6"/>
  <c r="E739" i="6"/>
  <c r="F743" i="6"/>
  <c r="E743" i="6"/>
  <c r="F747" i="6"/>
  <c r="E747" i="6"/>
  <c r="F751" i="6"/>
  <c r="E751" i="6"/>
  <c r="F755" i="6"/>
  <c r="E755" i="6"/>
  <c r="F759" i="6"/>
  <c r="E759" i="6"/>
  <c r="F763" i="6"/>
  <c r="E763" i="6"/>
  <c r="F767" i="6"/>
  <c r="E767" i="6"/>
  <c r="F771" i="6"/>
  <c r="E771" i="6"/>
  <c r="F775" i="6"/>
  <c r="E775" i="6"/>
  <c r="F779" i="6"/>
  <c r="E779" i="6"/>
  <c r="F783" i="6"/>
  <c r="E783" i="6"/>
  <c r="F787" i="6"/>
  <c r="E787" i="6"/>
  <c r="F791" i="6"/>
  <c r="E791" i="6"/>
  <c r="F795" i="6"/>
  <c r="E795" i="6"/>
  <c r="F799" i="6"/>
  <c r="E799" i="6"/>
  <c r="F803" i="6"/>
  <c r="E803" i="6"/>
  <c r="F807" i="6"/>
  <c r="E807" i="6"/>
  <c r="F811" i="6"/>
  <c r="E811" i="6"/>
  <c r="F815" i="6"/>
  <c r="E815" i="6"/>
  <c r="F819" i="6"/>
  <c r="E819" i="6"/>
  <c r="F823" i="6"/>
  <c r="E823" i="6"/>
  <c r="F827" i="6"/>
  <c r="E827" i="6"/>
  <c r="F831" i="6"/>
  <c r="E831" i="6"/>
  <c r="F835" i="6"/>
  <c r="E835" i="6"/>
  <c r="F839" i="6"/>
  <c r="E839" i="6"/>
  <c r="F843" i="6"/>
  <c r="E843" i="6"/>
  <c r="F847" i="6"/>
  <c r="E847" i="6"/>
  <c r="F851" i="6"/>
  <c r="E851" i="6"/>
  <c r="F855" i="6"/>
  <c r="E855" i="6"/>
  <c r="F859" i="6"/>
  <c r="E859" i="6"/>
  <c r="F863" i="6"/>
  <c r="E863" i="6"/>
  <c r="F867" i="6"/>
  <c r="E867" i="6"/>
  <c r="F871" i="6"/>
  <c r="E871" i="6"/>
  <c r="F875" i="6"/>
  <c r="E875" i="6"/>
  <c r="F879" i="6"/>
  <c r="E879" i="6"/>
  <c r="F883" i="6"/>
  <c r="E883" i="6"/>
  <c r="F887" i="6"/>
  <c r="E887" i="6"/>
  <c r="F891" i="6"/>
  <c r="E891" i="6"/>
  <c r="F895" i="6"/>
  <c r="E895" i="6"/>
  <c r="F899" i="6"/>
  <c r="E899" i="6"/>
  <c r="F903" i="6"/>
  <c r="E903" i="6"/>
  <c r="F907" i="6"/>
  <c r="E907" i="6"/>
  <c r="F911" i="6"/>
  <c r="E911" i="6"/>
  <c r="F915" i="6"/>
  <c r="E915" i="6"/>
  <c r="F919" i="6"/>
  <c r="E919" i="6"/>
  <c r="F923" i="6"/>
  <c r="E923" i="6"/>
  <c r="F927" i="6"/>
  <c r="E927" i="6"/>
  <c r="F931" i="6"/>
  <c r="E931" i="6"/>
  <c r="F935" i="6"/>
  <c r="E935" i="6"/>
  <c r="F939" i="6"/>
  <c r="E939" i="6"/>
  <c r="F943" i="6"/>
  <c r="E943" i="6"/>
  <c r="F947" i="6"/>
  <c r="E947" i="6"/>
  <c r="F951" i="6"/>
  <c r="E951" i="6"/>
  <c r="F955" i="6"/>
  <c r="E955" i="6"/>
  <c r="F959" i="6"/>
  <c r="E959" i="6"/>
  <c r="F963" i="6"/>
  <c r="E963" i="6"/>
  <c r="F967" i="6"/>
  <c r="E967" i="6"/>
  <c r="E971" i="6"/>
  <c r="F971" i="6"/>
  <c r="F975" i="6"/>
  <c r="E975" i="6"/>
  <c r="F979" i="6"/>
  <c r="E979" i="6"/>
  <c r="F983" i="6"/>
  <c r="E983" i="6"/>
  <c r="F987" i="6"/>
  <c r="E987" i="6"/>
  <c r="F991" i="6"/>
  <c r="E991" i="6"/>
  <c r="F995" i="6"/>
  <c r="E995" i="6"/>
  <c r="F999" i="6"/>
  <c r="E999" i="6"/>
  <c r="E1003" i="6"/>
  <c r="F1003" i="6"/>
  <c r="F1007" i="6"/>
  <c r="E1007" i="6"/>
  <c r="F1011" i="6"/>
  <c r="E1011" i="6"/>
  <c r="F1015" i="6"/>
  <c r="E1015" i="6"/>
  <c r="E1019" i="6"/>
  <c r="F1019" i="6"/>
  <c r="F1023" i="6"/>
  <c r="E1023" i="6"/>
  <c r="F1027" i="6"/>
  <c r="E1027" i="6"/>
  <c r="F1031" i="6"/>
  <c r="E1031" i="6"/>
  <c r="E1035" i="6"/>
  <c r="F1035" i="6"/>
  <c r="F1039" i="6"/>
  <c r="E1039" i="6"/>
  <c r="F1043" i="6"/>
  <c r="E1043" i="6"/>
  <c r="F1047" i="6"/>
  <c r="E1047" i="6"/>
  <c r="F1051" i="6"/>
  <c r="E1051" i="6"/>
  <c r="F1055" i="6"/>
  <c r="E1055" i="6"/>
  <c r="F1059" i="6"/>
  <c r="E1059" i="6"/>
  <c r="F1063" i="6"/>
  <c r="E1063" i="6"/>
  <c r="F1067" i="6"/>
  <c r="E1067" i="6"/>
  <c r="F1071" i="6"/>
  <c r="E1071" i="6"/>
  <c r="E1075" i="6"/>
  <c r="F1075" i="6"/>
  <c r="F1079" i="6"/>
  <c r="E1079" i="6"/>
  <c r="E1083" i="6"/>
  <c r="F1083" i="6"/>
  <c r="F1087" i="6"/>
  <c r="E1087" i="6"/>
  <c r="F1091" i="6"/>
  <c r="E1091" i="6"/>
  <c r="F52" i="6"/>
  <c r="E52" i="6"/>
  <c r="F56" i="6"/>
  <c r="E56" i="6"/>
  <c r="F60" i="6"/>
  <c r="E60" i="6"/>
  <c r="F64" i="6"/>
  <c r="E64" i="6"/>
  <c r="F68" i="6"/>
  <c r="E68" i="6"/>
  <c r="F72" i="6"/>
  <c r="E72" i="6"/>
  <c r="F76" i="6"/>
  <c r="E76" i="6"/>
  <c r="F80" i="6"/>
  <c r="E80" i="6"/>
  <c r="F84" i="6"/>
  <c r="E84" i="6"/>
  <c r="F88" i="6"/>
  <c r="E88" i="6"/>
  <c r="F92" i="6"/>
  <c r="E92" i="6"/>
  <c r="F96" i="6"/>
  <c r="E96" i="6"/>
  <c r="F100" i="6"/>
  <c r="E100" i="6"/>
  <c r="F104" i="6"/>
  <c r="E104" i="6"/>
  <c r="F108" i="6"/>
  <c r="E108" i="6"/>
  <c r="F112" i="6"/>
  <c r="E112" i="6"/>
  <c r="F116" i="6"/>
  <c r="E116" i="6"/>
  <c r="F120" i="6"/>
  <c r="E120" i="6"/>
  <c r="F124" i="6"/>
  <c r="E124" i="6"/>
  <c r="F128" i="6"/>
  <c r="E128" i="6"/>
  <c r="F132" i="6"/>
  <c r="E132" i="6"/>
  <c r="F136" i="6"/>
  <c r="E136" i="6"/>
  <c r="F140" i="6"/>
  <c r="E140" i="6"/>
  <c r="F144" i="6"/>
  <c r="E144" i="6"/>
  <c r="F148" i="6"/>
  <c r="E148" i="6"/>
  <c r="F152" i="6"/>
  <c r="E152" i="6"/>
  <c r="F156" i="6"/>
  <c r="E156" i="6"/>
  <c r="F160" i="6"/>
  <c r="E160" i="6"/>
  <c r="F164" i="6"/>
  <c r="E164" i="6"/>
  <c r="F168" i="6"/>
  <c r="E168" i="6"/>
  <c r="F172" i="6"/>
  <c r="E172" i="6"/>
  <c r="F176" i="6"/>
  <c r="E176" i="6"/>
  <c r="F180" i="6"/>
  <c r="E180" i="6"/>
  <c r="F184" i="6"/>
  <c r="E184" i="6"/>
  <c r="F188" i="6"/>
  <c r="E188" i="6"/>
  <c r="F192" i="6"/>
  <c r="E192" i="6"/>
  <c r="F196" i="6"/>
  <c r="E196" i="6"/>
  <c r="F200" i="6"/>
  <c r="E200" i="6"/>
  <c r="F204" i="6"/>
  <c r="E204" i="6"/>
  <c r="F208" i="6"/>
  <c r="E208" i="6"/>
  <c r="F212" i="6"/>
  <c r="E212" i="6"/>
  <c r="E216" i="6"/>
  <c r="F216" i="6"/>
  <c r="F220" i="6"/>
  <c r="E220" i="6"/>
  <c r="F224" i="6"/>
  <c r="E224" i="6"/>
  <c r="F228" i="6"/>
  <c r="E228" i="6"/>
  <c r="F232" i="6"/>
  <c r="E232" i="6"/>
  <c r="F236" i="6"/>
  <c r="E236" i="6"/>
  <c r="F240" i="6"/>
  <c r="E240" i="6"/>
  <c r="F244" i="6"/>
  <c r="E244" i="6"/>
  <c r="F248" i="6"/>
  <c r="E248" i="6"/>
  <c r="F252" i="6"/>
  <c r="E252" i="6"/>
  <c r="F256" i="6"/>
  <c r="E256" i="6"/>
  <c r="F260" i="6"/>
  <c r="E260" i="6"/>
  <c r="F264" i="6"/>
  <c r="E264" i="6"/>
  <c r="F268" i="6"/>
  <c r="E268" i="6"/>
  <c r="F272" i="6"/>
  <c r="E272" i="6"/>
  <c r="F276" i="6"/>
  <c r="E276" i="6"/>
  <c r="F280" i="6"/>
  <c r="E280" i="6"/>
  <c r="F284" i="6"/>
  <c r="E284" i="6"/>
  <c r="F288" i="6"/>
  <c r="E288" i="6"/>
  <c r="F292" i="6"/>
  <c r="E292" i="6"/>
  <c r="F296" i="6"/>
  <c r="E296" i="6"/>
  <c r="F300" i="6"/>
  <c r="E300" i="6"/>
  <c r="F304" i="6"/>
  <c r="E304" i="6"/>
  <c r="F308" i="6"/>
  <c r="E308" i="6"/>
  <c r="F312" i="6"/>
  <c r="E312" i="6"/>
  <c r="F316" i="6"/>
  <c r="E316" i="6"/>
  <c r="F320" i="6"/>
  <c r="E320" i="6"/>
  <c r="F324" i="6"/>
  <c r="E324" i="6"/>
  <c r="F328" i="6"/>
  <c r="E328" i="6"/>
  <c r="F332" i="6"/>
  <c r="E332" i="6"/>
  <c r="F336" i="6"/>
  <c r="E336" i="6"/>
  <c r="F340" i="6"/>
  <c r="E340" i="6"/>
  <c r="E344" i="6"/>
  <c r="F344" i="6"/>
  <c r="F348" i="6"/>
  <c r="E348" i="6"/>
  <c r="F352" i="6"/>
  <c r="E352" i="6"/>
  <c r="F356" i="6"/>
  <c r="E356" i="6"/>
  <c r="F360" i="6"/>
  <c r="E360" i="6"/>
  <c r="F364" i="6"/>
  <c r="E364" i="6"/>
  <c r="F368" i="6"/>
  <c r="E368" i="6"/>
  <c r="F372" i="6"/>
  <c r="E372" i="6"/>
  <c r="F376" i="6"/>
  <c r="E376" i="6"/>
  <c r="F380" i="6"/>
  <c r="E380" i="6"/>
  <c r="F384" i="6"/>
  <c r="E384" i="6"/>
  <c r="F388" i="6"/>
  <c r="E388" i="6"/>
  <c r="F392" i="6"/>
  <c r="E392" i="6"/>
  <c r="F396" i="6"/>
  <c r="E396" i="6"/>
  <c r="F400" i="6"/>
  <c r="E400" i="6"/>
  <c r="F404" i="6"/>
  <c r="E404" i="6"/>
  <c r="F408" i="6"/>
  <c r="E408" i="6"/>
  <c r="F412" i="6"/>
  <c r="E412" i="6"/>
  <c r="F416" i="6"/>
  <c r="E416" i="6"/>
  <c r="F420" i="6"/>
  <c r="E420" i="6"/>
  <c r="F424" i="6"/>
  <c r="E424" i="6"/>
  <c r="F428" i="6"/>
  <c r="E428" i="6"/>
  <c r="F432" i="6"/>
  <c r="E432" i="6"/>
  <c r="F436" i="6"/>
  <c r="E436" i="6"/>
  <c r="F440" i="6"/>
  <c r="E440" i="6"/>
  <c r="F444" i="6"/>
  <c r="E444" i="6"/>
  <c r="F448" i="6"/>
  <c r="E448" i="6"/>
  <c r="F452" i="6"/>
  <c r="E452" i="6"/>
  <c r="F456" i="6"/>
  <c r="E456" i="6"/>
  <c r="E460" i="6"/>
  <c r="F460" i="6"/>
  <c r="F464" i="6"/>
  <c r="E464" i="6"/>
  <c r="F468" i="6"/>
  <c r="E468" i="6"/>
  <c r="F472" i="6"/>
  <c r="E472" i="6"/>
  <c r="F476" i="6"/>
  <c r="E476" i="6"/>
  <c r="F480" i="6"/>
  <c r="E480" i="6"/>
  <c r="F484" i="6"/>
  <c r="E484" i="6"/>
  <c r="F488" i="6"/>
  <c r="E488" i="6"/>
  <c r="F492" i="6"/>
  <c r="E492" i="6"/>
  <c r="F496" i="6"/>
  <c r="E496" i="6"/>
  <c r="F500" i="6"/>
  <c r="E500" i="6"/>
  <c r="F504" i="6"/>
  <c r="E504" i="6"/>
  <c r="F508" i="6"/>
  <c r="E508" i="6"/>
  <c r="F512" i="6"/>
  <c r="E512" i="6"/>
  <c r="F516" i="6"/>
  <c r="E516" i="6"/>
  <c r="F520" i="6"/>
  <c r="E520" i="6"/>
  <c r="F524" i="6"/>
  <c r="E524" i="6"/>
  <c r="F528" i="6"/>
  <c r="E528" i="6"/>
  <c r="F532" i="6"/>
  <c r="E532" i="6"/>
  <c r="F536" i="6"/>
  <c r="E536" i="6"/>
  <c r="F540" i="6"/>
  <c r="E540" i="6"/>
  <c r="F544" i="6"/>
  <c r="E544" i="6"/>
  <c r="F548" i="6"/>
  <c r="E548" i="6"/>
  <c r="F552" i="6"/>
  <c r="E552" i="6"/>
  <c r="F556" i="6"/>
  <c r="E556" i="6"/>
  <c r="F560" i="6"/>
  <c r="E560" i="6"/>
  <c r="F564" i="6"/>
  <c r="E564" i="6"/>
  <c r="F568" i="6"/>
  <c r="E568" i="6"/>
  <c r="F572" i="6"/>
  <c r="E572" i="6"/>
  <c r="F576" i="6"/>
  <c r="E576" i="6"/>
  <c r="F580" i="6"/>
  <c r="E580" i="6"/>
  <c r="F584" i="6"/>
  <c r="E584" i="6"/>
  <c r="F588" i="6"/>
  <c r="E588" i="6"/>
  <c r="F592" i="6"/>
  <c r="E592" i="6"/>
  <c r="F596" i="6"/>
  <c r="E596" i="6"/>
  <c r="F600" i="6"/>
  <c r="E600" i="6"/>
  <c r="F604" i="6"/>
  <c r="E604" i="6"/>
  <c r="F608" i="6"/>
  <c r="E608" i="6"/>
  <c r="F612" i="6"/>
  <c r="E612" i="6"/>
  <c r="F616" i="6"/>
  <c r="E616" i="6"/>
  <c r="F620" i="6"/>
  <c r="E620" i="6"/>
  <c r="F624" i="6"/>
  <c r="E624" i="6"/>
  <c r="F628" i="6"/>
  <c r="E628" i="6"/>
  <c r="F632" i="6"/>
  <c r="E632" i="6"/>
  <c r="F636" i="6"/>
  <c r="E636" i="6"/>
  <c r="F640" i="6"/>
  <c r="E640" i="6"/>
  <c r="F644" i="6"/>
  <c r="E644" i="6"/>
  <c r="F648" i="6"/>
  <c r="E648" i="6"/>
  <c r="F652" i="6"/>
  <c r="E652" i="6"/>
  <c r="F656" i="6"/>
  <c r="E656" i="6"/>
  <c r="E660" i="6"/>
  <c r="F660" i="6"/>
  <c r="F664" i="6"/>
  <c r="E664" i="6"/>
  <c r="F668" i="6"/>
  <c r="E668" i="6"/>
  <c r="F672" i="6"/>
  <c r="E672" i="6"/>
  <c r="F676" i="6"/>
  <c r="E676" i="6"/>
  <c r="F680" i="6"/>
  <c r="E680" i="6"/>
  <c r="F684" i="6"/>
  <c r="E684" i="6"/>
  <c r="F688" i="6"/>
  <c r="E688" i="6"/>
  <c r="F692" i="6"/>
  <c r="E692" i="6"/>
  <c r="E696" i="6"/>
  <c r="F696" i="6"/>
  <c r="F700" i="6"/>
  <c r="E700" i="6"/>
  <c r="F704" i="6"/>
  <c r="E704" i="6"/>
  <c r="F708" i="6"/>
  <c r="E708" i="6"/>
  <c r="F712" i="6"/>
  <c r="E712" i="6"/>
  <c r="F716" i="6"/>
  <c r="E716" i="6"/>
  <c r="F720" i="6"/>
  <c r="E720" i="6"/>
  <c r="E724" i="6"/>
  <c r="F724" i="6"/>
  <c r="F728" i="6"/>
  <c r="E728" i="6"/>
  <c r="F732" i="6"/>
  <c r="E732" i="6"/>
  <c r="F736" i="6"/>
  <c r="E736" i="6"/>
  <c r="F740" i="6"/>
  <c r="E740" i="6"/>
  <c r="F744" i="6"/>
  <c r="E744" i="6"/>
  <c r="F748" i="6"/>
  <c r="E748" i="6"/>
  <c r="E752" i="6"/>
  <c r="F752" i="6"/>
  <c r="F756" i="6"/>
  <c r="E756" i="6"/>
  <c r="E760" i="6"/>
  <c r="F760" i="6"/>
  <c r="F764" i="6"/>
  <c r="E764" i="6"/>
  <c r="F768" i="6"/>
  <c r="E768" i="6"/>
  <c r="F772" i="6"/>
  <c r="E772" i="6"/>
  <c r="F776" i="6"/>
  <c r="E776" i="6"/>
  <c r="F780" i="6"/>
  <c r="E780" i="6"/>
  <c r="F784" i="6"/>
  <c r="E784" i="6"/>
  <c r="E788" i="6"/>
  <c r="F788" i="6"/>
  <c r="F792" i="6"/>
  <c r="E792" i="6"/>
  <c r="F796" i="6"/>
  <c r="E796" i="6"/>
  <c r="F800" i="6"/>
  <c r="E800" i="6"/>
  <c r="F804" i="6"/>
  <c r="E804" i="6"/>
  <c r="F808" i="6"/>
  <c r="E808" i="6"/>
  <c r="F812" i="6"/>
  <c r="E812" i="6"/>
  <c r="E816" i="6"/>
  <c r="F816" i="6"/>
  <c r="F820" i="6"/>
  <c r="E820" i="6"/>
  <c r="F824" i="6"/>
  <c r="E824" i="6"/>
  <c r="F828" i="6"/>
  <c r="E828" i="6"/>
  <c r="F832" i="6"/>
  <c r="E832" i="6"/>
  <c r="F836" i="6"/>
  <c r="E836" i="6"/>
  <c r="F840" i="6"/>
  <c r="E840" i="6"/>
  <c r="F844" i="6"/>
  <c r="E844" i="6"/>
  <c r="F848" i="6"/>
  <c r="E848" i="6"/>
  <c r="F852" i="6"/>
  <c r="E852" i="6"/>
  <c r="F856" i="6"/>
  <c r="E856" i="6"/>
  <c r="F860" i="6"/>
  <c r="E860" i="6"/>
  <c r="F864" i="6"/>
  <c r="E864" i="6"/>
  <c r="F868" i="6"/>
  <c r="E868" i="6"/>
  <c r="F872" i="6"/>
  <c r="E872" i="6"/>
  <c r="F876" i="6"/>
  <c r="E876" i="6"/>
  <c r="F880" i="6"/>
  <c r="E880" i="6"/>
  <c r="F884" i="6"/>
  <c r="E884" i="6"/>
  <c r="F888" i="6"/>
  <c r="E888" i="6"/>
  <c r="F892" i="6"/>
  <c r="E892" i="6"/>
  <c r="F896" i="6"/>
  <c r="E896" i="6"/>
  <c r="F900" i="6"/>
  <c r="E900" i="6"/>
  <c r="F904" i="6"/>
  <c r="E904" i="6"/>
  <c r="F908" i="6"/>
  <c r="E908" i="6"/>
  <c r="F912" i="6"/>
  <c r="E912" i="6"/>
  <c r="F916" i="6"/>
  <c r="E916" i="6"/>
  <c r="F920" i="6"/>
  <c r="E920" i="6"/>
  <c r="F924" i="6"/>
  <c r="E924" i="6"/>
  <c r="F928" i="6"/>
  <c r="E928" i="6"/>
  <c r="F932" i="6"/>
  <c r="E932" i="6"/>
  <c r="F936" i="6"/>
  <c r="E936" i="6"/>
  <c r="F940" i="6"/>
  <c r="E940" i="6"/>
  <c r="E944" i="6"/>
  <c r="F944" i="6"/>
  <c r="F948" i="6"/>
  <c r="E948" i="6"/>
  <c r="F952" i="6"/>
  <c r="E952" i="6"/>
  <c r="F956" i="6"/>
  <c r="E956" i="6"/>
  <c r="F960" i="6"/>
  <c r="E960" i="6"/>
  <c r="F964" i="6"/>
  <c r="E964" i="6"/>
  <c r="F968" i="6"/>
  <c r="E968" i="6"/>
  <c r="F972" i="6"/>
  <c r="E972" i="6"/>
  <c r="E976" i="6"/>
  <c r="F976" i="6"/>
  <c r="F980" i="6"/>
  <c r="E980" i="6"/>
  <c r="F984" i="6"/>
  <c r="E984" i="6"/>
  <c r="F988" i="6"/>
  <c r="E988" i="6"/>
  <c r="E992" i="6"/>
  <c r="F992" i="6"/>
  <c r="F996" i="6"/>
  <c r="E996" i="6"/>
  <c r="F1000" i="6"/>
  <c r="E1000" i="6"/>
  <c r="F1004" i="6"/>
  <c r="E1004" i="6"/>
  <c r="F1008" i="6"/>
  <c r="E1008" i="6"/>
  <c r="F1012" i="6"/>
  <c r="E1012" i="6"/>
  <c r="F1016" i="6"/>
  <c r="E1016" i="6"/>
  <c r="F1020" i="6"/>
  <c r="E1020" i="6"/>
  <c r="E1024" i="6"/>
  <c r="F1024" i="6"/>
  <c r="F1028" i="6"/>
  <c r="E1028" i="6"/>
  <c r="F1032" i="6"/>
  <c r="E1032" i="6"/>
  <c r="F1036" i="6"/>
  <c r="E1036" i="6"/>
  <c r="E1040" i="6"/>
  <c r="F1040" i="6"/>
  <c r="F1044" i="6"/>
  <c r="E1044" i="6"/>
  <c r="F1048" i="6"/>
  <c r="E1048" i="6"/>
  <c r="F1052" i="6"/>
  <c r="E1052" i="6"/>
  <c r="F1056" i="6"/>
  <c r="E1056" i="6"/>
  <c r="F1060" i="6"/>
  <c r="E1060" i="6"/>
  <c r="F1064" i="6"/>
  <c r="E1064" i="6"/>
  <c r="F1068" i="6"/>
  <c r="E1068" i="6"/>
  <c r="E1072" i="6"/>
  <c r="F1072" i="6"/>
  <c r="F1076" i="6"/>
  <c r="E1076" i="6"/>
  <c r="F1080" i="6"/>
  <c r="E1080" i="6"/>
  <c r="F1084" i="6"/>
  <c r="E1084" i="6"/>
  <c r="F1088" i="6"/>
  <c r="E1088" i="6"/>
  <c r="F53" i="6"/>
  <c r="E53" i="6"/>
  <c r="F73" i="6"/>
  <c r="E73" i="6"/>
  <c r="F89" i="6"/>
  <c r="E89" i="6"/>
  <c r="F109" i="6"/>
  <c r="E109" i="6"/>
  <c r="F129" i="6"/>
  <c r="E129" i="6"/>
  <c r="F145" i="6"/>
  <c r="E145" i="6"/>
  <c r="F165" i="6"/>
  <c r="E165" i="6"/>
  <c r="F181" i="6"/>
  <c r="E181" i="6"/>
  <c r="F197" i="6"/>
  <c r="E197" i="6"/>
  <c r="F209" i="6"/>
  <c r="E209" i="6"/>
  <c r="F221" i="6"/>
  <c r="E221" i="6"/>
  <c r="F233" i="6"/>
  <c r="E233" i="6"/>
  <c r="F241" i="6"/>
  <c r="E241" i="6"/>
  <c r="F245" i="6"/>
  <c r="E245" i="6"/>
  <c r="F249" i="6"/>
  <c r="E249" i="6"/>
  <c r="F257" i="6"/>
  <c r="E257" i="6"/>
  <c r="F261" i="6"/>
  <c r="E261" i="6"/>
  <c r="F265" i="6"/>
  <c r="E265" i="6"/>
  <c r="F269" i="6"/>
  <c r="E269" i="6"/>
  <c r="F273" i="6"/>
  <c r="E273" i="6"/>
  <c r="F277" i="6"/>
  <c r="E277" i="6"/>
  <c r="F281" i="6"/>
  <c r="E281" i="6"/>
  <c r="F285" i="6"/>
  <c r="E285" i="6"/>
  <c r="F289" i="6"/>
  <c r="E289" i="6"/>
  <c r="F293" i="6"/>
  <c r="E293" i="6"/>
  <c r="F297" i="6"/>
  <c r="E297" i="6"/>
  <c r="F301" i="6"/>
  <c r="E301" i="6"/>
  <c r="F305" i="6"/>
  <c r="E305" i="6"/>
  <c r="F309" i="6"/>
  <c r="E309" i="6"/>
  <c r="F313" i="6"/>
  <c r="E313" i="6"/>
  <c r="F317" i="6"/>
  <c r="E317" i="6"/>
  <c r="F321" i="6"/>
  <c r="E321" i="6"/>
  <c r="F325" i="6"/>
  <c r="E325" i="6"/>
  <c r="F329" i="6"/>
  <c r="E329" i="6"/>
  <c r="F333" i="6"/>
  <c r="E333" i="6"/>
  <c r="F337" i="6"/>
  <c r="E337" i="6"/>
  <c r="F341" i="6"/>
  <c r="E341" i="6"/>
  <c r="F345" i="6"/>
  <c r="E345" i="6"/>
  <c r="F349" i="6"/>
  <c r="E349" i="6"/>
  <c r="F353" i="6"/>
  <c r="E353" i="6"/>
  <c r="F357" i="6"/>
  <c r="E357" i="6"/>
  <c r="F361" i="6"/>
  <c r="E361" i="6"/>
  <c r="E365" i="6"/>
  <c r="F365" i="6"/>
  <c r="F369" i="6"/>
  <c r="E369" i="6"/>
  <c r="F373" i="6"/>
  <c r="E373" i="6"/>
  <c r="F377" i="6"/>
  <c r="E377" i="6"/>
  <c r="E381" i="6"/>
  <c r="F381" i="6"/>
  <c r="F385" i="6"/>
  <c r="E385" i="6"/>
  <c r="F389" i="6"/>
  <c r="E389" i="6"/>
  <c r="F393" i="6"/>
  <c r="E393" i="6"/>
  <c r="E397" i="6"/>
  <c r="F397" i="6"/>
  <c r="F401" i="6"/>
  <c r="E401" i="6"/>
  <c r="F405" i="6"/>
  <c r="E405" i="6"/>
  <c r="F409" i="6"/>
  <c r="E409" i="6"/>
  <c r="E413" i="6"/>
  <c r="F413" i="6"/>
  <c r="F417" i="6"/>
  <c r="E417" i="6"/>
  <c r="F421" i="6"/>
  <c r="E421" i="6"/>
  <c r="F425" i="6"/>
  <c r="E425" i="6"/>
  <c r="F429" i="6"/>
  <c r="E429" i="6"/>
  <c r="F433" i="6"/>
  <c r="E433" i="6"/>
  <c r="F437" i="6"/>
  <c r="E437" i="6"/>
  <c r="F441" i="6"/>
  <c r="E441" i="6"/>
  <c r="F445" i="6"/>
  <c r="E445" i="6"/>
  <c r="E449" i="6"/>
  <c r="F449" i="6"/>
  <c r="F453" i="6"/>
  <c r="E453" i="6"/>
  <c r="F457" i="6"/>
  <c r="E457" i="6"/>
  <c r="F461" i="6"/>
  <c r="E461" i="6"/>
  <c r="F465" i="6"/>
  <c r="E465" i="6"/>
  <c r="E469" i="6"/>
  <c r="F469" i="6"/>
  <c r="F473" i="6"/>
  <c r="E473" i="6"/>
  <c r="E477" i="6"/>
  <c r="F477" i="6"/>
  <c r="F481" i="6"/>
  <c r="E481" i="6"/>
  <c r="E485" i="6"/>
  <c r="F485" i="6"/>
  <c r="F489" i="6"/>
  <c r="E489" i="6"/>
  <c r="E493" i="6"/>
  <c r="F493" i="6"/>
  <c r="F497" i="6"/>
  <c r="E497" i="6"/>
  <c r="E501" i="6"/>
  <c r="F501" i="6"/>
  <c r="F505" i="6"/>
  <c r="E505" i="6"/>
  <c r="E509" i="6"/>
  <c r="F509" i="6"/>
  <c r="F513" i="6"/>
  <c r="E513" i="6"/>
  <c r="E517" i="6"/>
  <c r="F517" i="6"/>
  <c r="F521" i="6"/>
  <c r="E521" i="6"/>
  <c r="E525" i="6"/>
  <c r="F525" i="6"/>
  <c r="F529" i="6"/>
  <c r="E529" i="6"/>
  <c r="E533" i="6"/>
  <c r="F533" i="6"/>
  <c r="F537" i="6"/>
  <c r="E537" i="6"/>
  <c r="E541" i="6"/>
  <c r="F541" i="6"/>
  <c r="F545" i="6"/>
  <c r="E545" i="6"/>
  <c r="E549" i="6"/>
  <c r="F549" i="6"/>
  <c r="F553" i="6"/>
  <c r="E553" i="6"/>
  <c r="E557" i="6"/>
  <c r="F557" i="6"/>
  <c r="F561" i="6"/>
  <c r="E561" i="6"/>
  <c r="E565" i="6"/>
  <c r="F565" i="6"/>
  <c r="F569" i="6"/>
  <c r="E569" i="6"/>
  <c r="E573" i="6"/>
  <c r="F573" i="6"/>
  <c r="F577" i="6"/>
  <c r="E577" i="6"/>
  <c r="E581" i="6"/>
  <c r="F581" i="6"/>
  <c r="F585" i="6"/>
  <c r="E585" i="6"/>
  <c r="E589" i="6"/>
  <c r="F589" i="6"/>
  <c r="F593" i="6"/>
  <c r="E593" i="6"/>
  <c r="E597" i="6"/>
  <c r="F597" i="6"/>
  <c r="F601" i="6"/>
  <c r="E601" i="6"/>
  <c r="E605" i="6"/>
  <c r="F605" i="6"/>
  <c r="F609" i="6"/>
  <c r="E609" i="6"/>
  <c r="E613" i="6"/>
  <c r="F613" i="6"/>
  <c r="F617" i="6"/>
  <c r="E617" i="6"/>
  <c r="E621" i="6"/>
  <c r="F621" i="6"/>
  <c r="F625" i="6"/>
  <c r="E625" i="6"/>
  <c r="F629" i="6"/>
  <c r="E629" i="6"/>
  <c r="F633" i="6"/>
  <c r="E633" i="6"/>
  <c r="F637" i="6"/>
  <c r="E637" i="6"/>
  <c r="F641" i="6"/>
  <c r="E641" i="6"/>
  <c r="E645" i="6"/>
  <c r="F645" i="6"/>
  <c r="E649" i="6"/>
  <c r="F649" i="6"/>
  <c r="E653" i="6"/>
  <c r="F653" i="6"/>
  <c r="F657" i="6"/>
  <c r="E657" i="6"/>
  <c r="F661" i="6"/>
  <c r="E661" i="6"/>
  <c r="F665" i="6"/>
  <c r="E665" i="6"/>
  <c r="F669" i="6"/>
  <c r="E669" i="6"/>
  <c r="F673" i="6"/>
  <c r="E673" i="6"/>
  <c r="E677" i="6"/>
  <c r="F677" i="6"/>
  <c r="E681" i="6"/>
  <c r="F681" i="6"/>
  <c r="E685" i="6"/>
  <c r="F685" i="6"/>
  <c r="F689" i="6"/>
  <c r="E689" i="6"/>
  <c r="F693" i="6"/>
  <c r="E693" i="6"/>
  <c r="F697" i="6"/>
  <c r="E697" i="6"/>
  <c r="F701" i="6"/>
  <c r="E701" i="6"/>
  <c r="F705" i="6"/>
  <c r="E705" i="6"/>
  <c r="E709" i="6"/>
  <c r="F709" i="6"/>
  <c r="E713" i="6"/>
  <c r="F713" i="6"/>
  <c r="E717" i="6"/>
  <c r="F717" i="6"/>
  <c r="F721" i="6"/>
  <c r="E721" i="6"/>
  <c r="F725" i="6"/>
  <c r="E725" i="6"/>
  <c r="F729" i="6"/>
  <c r="E729" i="6"/>
  <c r="F733" i="6"/>
  <c r="E733" i="6"/>
  <c r="F737" i="6"/>
  <c r="E737" i="6"/>
  <c r="E741" i="6"/>
  <c r="F741" i="6"/>
  <c r="E745" i="6"/>
  <c r="F745" i="6"/>
  <c r="E749" i="6"/>
  <c r="F749" i="6"/>
  <c r="F753" i="6"/>
  <c r="E753" i="6"/>
  <c r="F757" i="6"/>
  <c r="E757" i="6"/>
  <c r="F761" i="6"/>
  <c r="E761" i="6"/>
  <c r="F765" i="6"/>
  <c r="E765" i="6"/>
  <c r="F769" i="6"/>
  <c r="E769" i="6"/>
  <c r="E773" i="6"/>
  <c r="F773" i="6"/>
  <c r="E777" i="6"/>
  <c r="F777" i="6"/>
  <c r="E781" i="6"/>
  <c r="F781" i="6"/>
  <c r="F785" i="6"/>
  <c r="E785" i="6"/>
  <c r="F789" i="6"/>
  <c r="E789" i="6"/>
  <c r="F793" i="6"/>
  <c r="E793" i="6"/>
  <c r="F797" i="6"/>
  <c r="E797" i="6"/>
  <c r="F801" i="6"/>
  <c r="E801" i="6"/>
  <c r="E805" i="6"/>
  <c r="F805" i="6"/>
  <c r="E809" i="6"/>
  <c r="F809" i="6"/>
  <c r="E813" i="6"/>
  <c r="F813" i="6"/>
  <c r="F817" i="6"/>
  <c r="E817" i="6"/>
  <c r="F821" i="6"/>
  <c r="E821" i="6"/>
  <c r="F825" i="6"/>
  <c r="E825" i="6"/>
  <c r="F829" i="6"/>
  <c r="E829" i="6"/>
  <c r="F833" i="6"/>
  <c r="E833" i="6"/>
  <c r="E837" i="6"/>
  <c r="F837" i="6"/>
  <c r="F841" i="6"/>
  <c r="E841" i="6"/>
  <c r="E845" i="6"/>
  <c r="F845" i="6"/>
  <c r="F849" i="6"/>
  <c r="E849" i="6"/>
  <c r="F853" i="6"/>
  <c r="E853" i="6"/>
  <c r="F857" i="6"/>
  <c r="E857" i="6"/>
  <c r="F861" i="6"/>
  <c r="E861" i="6"/>
  <c r="F865" i="6"/>
  <c r="E865" i="6"/>
  <c r="F869" i="6"/>
  <c r="E869" i="6"/>
  <c r="F873" i="6"/>
  <c r="E873" i="6"/>
  <c r="F877" i="6"/>
  <c r="E877" i="6"/>
  <c r="F881" i="6"/>
  <c r="E881" i="6"/>
  <c r="F885" i="6"/>
  <c r="E885" i="6"/>
  <c r="F889" i="6"/>
  <c r="E889" i="6"/>
  <c r="F893" i="6"/>
  <c r="E893" i="6"/>
  <c r="F897" i="6"/>
  <c r="E897" i="6"/>
  <c r="E901" i="6"/>
  <c r="F901" i="6"/>
  <c r="F905" i="6"/>
  <c r="E905" i="6"/>
  <c r="F909" i="6"/>
  <c r="E909" i="6"/>
  <c r="F913" i="6"/>
  <c r="E913" i="6"/>
  <c r="F917" i="6"/>
  <c r="E917" i="6"/>
  <c r="F921" i="6"/>
  <c r="E921" i="6"/>
  <c r="F925" i="6"/>
  <c r="E925" i="6"/>
  <c r="F929" i="6"/>
  <c r="E929" i="6"/>
  <c r="F933" i="6"/>
  <c r="E933" i="6"/>
  <c r="F937" i="6"/>
  <c r="E937" i="6"/>
  <c r="F941" i="6"/>
  <c r="E941" i="6"/>
  <c r="F945" i="6"/>
  <c r="E945" i="6"/>
  <c r="F949" i="6"/>
  <c r="E949" i="6"/>
  <c r="F953" i="6"/>
  <c r="E953" i="6"/>
  <c r="F957" i="6"/>
  <c r="E957" i="6"/>
  <c r="F961" i="6"/>
  <c r="E961" i="6"/>
  <c r="F965" i="6"/>
  <c r="E965" i="6"/>
  <c r="F969" i="6"/>
  <c r="E969" i="6"/>
  <c r="F973" i="6"/>
  <c r="E973" i="6"/>
  <c r="F977" i="6"/>
  <c r="E977" i="6"/>
  <c r="E981" i="6"/>
  <c r="F981" i="6"/>
  <c r="F985" i="6"/>
  <c r="E985" i="6"/>
  <c r="F989" i="6"/>
  <c r="E989" i="6"/>
  <c r="F993" i="6"/>
  <c r="E993" i="6"/>
  <c r="E997" i="6"/>
  <c r="F997" i="6"/>
  <c r="F1001" i="6"/>
  <c r="E1001" i="6"/>
  <c r="F1005" i="6"/>
  <c r="E1005" i="6"/>
  <c r="F1009" i="6"/>
  <c r="E1009" i="6"/>
  <c r="E1013" i="6"/>
  <c r="F1013" i="6"/>
  <c r="F1017" i="6"/>
  <c r="E1017" i="6"/>
  <c r="F1021" i="6"/>
  <c r="E1021" i="6"/>
  <c r="F1025" i="6"/>
  <c r="E1025" i="6"/>
  <c r="F1029" i="6"/>
  <c r="E1029" i="6"/>
  <c r="F1033" i="6"/>
  <c r="E1033" i="6"/>
  <c r="F1037" i="6"/>
  <c r="E1037" i="6"/>
  <c r="F1041" i="6"/>
  <c r="E1041" i="6"/>
  <c r="E1045" i="6"/>
  <c r="F1045" i="6"/>
  <c r="F1049" i="6"/>
  <c r="E1049" i="6"/>
  <c r="F1053" i="6"/>
  <c r="E1053" i="6"/>
  <c r="E1057" i="6"/>
  <c r="F1057" i="6"/>
  <c r="E1061" i="6"/>
  <c r="F1061" i="6"/>
  <c r="F1065" i="6"/>
  <c r="E1065" i="6"/>
  <c r="F1069" i="6"/>
  <c r="E1069" i="6"/>
  <c r="F1073" i="6"/>
  <c r="E1073" i="6"/>
  <c r="F1077" i="6"/>
  <c r="E1077" i="6"/>
  <c r="F1081" i="6"/>
  <c r="E1081" i="6"/>
  <c r="F1085" i="6"/>
  <c r="E1085" i="6"/>
  <c r="E1089" i="6"/>
  <c r="F1089" i="6"/>
  <c r="F54" i="6"/>
  <c r="E54" i="6"/>
  <c r="F58" i="6"/>
  <c r="E58" i="6"/>
  <c r="F62" i="6"/>
  <c r="E62" i="6"/>
  <c r="F66" i="6"/>
  <c r="E66" i="6"/>
  <c r="F70" i="6"/>
  <c r="E70" i="6"/>
  <c r="F74" i="6"/>
  <c r="E74" i="6"/>
  <c r="F78" i="6"/>
  <c r="E78" i="6"/>
  <c r="F82" i="6"/>
  <c r="E82" i="6"/>
  <c r="F86" i="6"/>
  <c r="E86" i="6"/>
  <c r="F90" i="6"/>
  <c r="E90" i="6"/>
  <c r="F94" i="6"/>
  <c r="E94" i="6"/>
  <c r="F98" i="6"/>
  <c r="E98" i="6"/>
  <c r="F102" i="6"/>
  <c r="E102" i="6"/>
  <c r="F106" i="6"/>
  <c r="E106" i="6"/>
  <c r="F110" i="6"/>
  <c r="E110" i="6"/>
  <c r="F114" i="6"/>
  <c r="E114" i="6"/>
  <c r="F118" i="6"/>
  <c r="E118" i="6"/>
  <c r="F122" i="6"/>
  <c r="E122" i="6"/>
  <c r="F126" i="6"/>
  <c r="E126" i="6"/>
  <c r="F130" i="6"/>
  <c r="E130" i="6"/>
  <c r="F134" i="6"/>
  <c r="E134" i="6"/>
  <c r="F138" i="6"/>
  <c r="E138" i="6"/>
  <c r="F142" i="6"/>
  <c r="E142" i="6"/>
  <c r="F146" i="6"/>
  <c r="E146" i="6"/>
  <c r="F150" i="6"/>
  <c r="E150" i="6"/>
  <c r="F154" i="6"/>
  <c r="E154" i="6"/>
  <c r="F158" i="6"/>
  <c r="E158" i="6"/>
  <c r="F162" i="6"/>
  <c r="E162" i="6"/>
  <c r="F166" i="6"/>
  <c r="E166" i="6"/>
  <c r="F170" i="6"/>
  <c r="E170" i="6"/>
  <c r="E174" i="6"/>
  <c r="F174" i="6"/>
  <c r="F178" i="6"/>
  <c r="E178" i="6"/>
  <c r="F182" i="6"/>
  <c r="E182" i="6"/>
  <c r="F186" i="6"/>
  <c r="E186" i="6"/>
  <c r="F190" i="6"/>
  <c r="E190" i="6"/>
  <c r="F194" i="6"/>
  <c r="E194" i="6"/>
  <c r="F198" i="6"/>
  <c r="E198" i="6"/>
  <c r="F202" i="6"/>
  <c r="E202" i="6"/>
  <c r="F206" i="6"/>
  <c r="E206" i="6"/>
  <c r="F210" i="6"/>
  <c r="E210" i="6"/>
  <c r="F214" i="6"/>
  <c r="E214" i="6"/>
  <c r="F218" i="6"/>
  <c r="E218" i="6"/>
  <c r="F222" i="6"/>
  <c r="E222" i="6"/>
  <c r="F226" i="6"/>
  <c r="E226" i="6"/>
  <c r="F230" i="6"/>
  <c r="E230" i="6"/>
  <c r="F234" i="6"/>
  <c r="E234" i="6"/>
  <c r="F238" i="6"/>
  <c r="E238" i="6"/>
  <c r="F242" i="6"/>
  <c r="E242" i="6"/>
  <c r="F246" i="6"/>
  <c r="E246" i="6"/>
  <c r="F250" i="6"/>
  <c r="E250" i="6"/>
  <c r="F254" i="6"/>
  <c r="E254" i="6"/>
  <c r="F258" i="6"/>
  <c r="E258" i="6"/>
  <c r="F262" i="6"/>
  <c r="E262" i="6"/>
  <c r="F266" i="6"/>
  <c r="E266" i="6"/>
  <c r="F270" i="6"/>
  <c r="E270" i="6"/>
  <c r="F274" i="6"/>
  <c r="E274" i="6"/>
  <c r="F278" i="6"/>
  <c r="E278" i="6"/>
  <c r="F282" i="6"/>
  <c r="E282" i="6"/>
  <c r="F286" i="6"/>
  <c r="E286" i="6"/>
  <c r="F290" i="6"/>
  <c r="E290" i="6"/>
  <c r="F294" i="6"/>
  <c r="E294" i="6"/>
  <c r="F298" i="6"/>
  <c r="E298" i="6"/>
  <c r="F302" i="6"/>
  <c r="E302" i="6"/>
  <c r="F306" i="6"/>
  <c r="E306" i="6"/>
  <c r="F310" i="6"/>
  <c r="E310" i="6"/>
  <c r="F314" i="6"/>
  <c r="E314" i="6"/>
  <c r="F318" i="6"/>
  <c r="E318" i="6"/>
  <c r="F322" i="6"/>
  <c r="E322" i="6"/>
  <c r="F326" i="6"/>
  <c r="E326" i="6"/>
  <c r="F330" i="6"/>
  <c r="E330" i="6"/>
  <c r="F334" i="6"/>
  <c r="E334" i="6"/>
  <c r="F338" i="6"/>
  <c r="E338" i="6"/>
  <c r="F342" i="6"/>
  <c r="E342" i="6"/>
  <c r="F346" i="6"/>
  <c r="E346" i="6"/>
  <c r="F350" i="6"/>
  <c r="E350" i="6"/>
  <c r="F354" i="6"/>
  <c r="E354" i="6"/>
  <c r="F358" i="6"/>
  <c r="E358" i="6"/>
  <c r="F362" i="6"/>
  <c r="E362" i="6"/>
  <c r="F366" i="6"/>
  <c r="E366" i="6"/>
  <c r="F370" i="6"/>
  <c r="E370" i="6"/>
  <c r="F374" i="6"/>
  <c r="E374" i="6"/>
  <c r="F378" i="6"/>
  <c r="E378" i="6"/>
  <c r="F382" i="6"/>
  <c r="E382" i="6"/>
  <c r="F386" i="6"/>
  <c r="E386" i="6"/>
  <c r="F390" i="6"/>
  <c r="E390" i="6"/>
  <c r="F394" i="6"/>
  <c r="E394" i="6"/>
  <c r="F398" i="6"/>
  <c r="E398" i="6"/>
  <c r="F402" i="6"/>
  <c r="E402" i="6"/>
  <c r="F406" i="6"/>
  <c r="E406" i="6"/>
  <c r="F410" i="6"/>
  <c r="E410" i="6"/>
  <c r="F414" i="6"/>
  <c r="E414" i="6"/>
  <c r="F418" i="6"/>
  <c r="E418" i="6"/>
  <c r="F422" i="6"/>
  <c r="E422" i="6"/>
  <c r="F426" i="6"/>
  <c r="E426" i="6"/>
  <c r="F430" i="6"/>
  <c r="E430" i="6"/>
  <c r="F434" i="6"/>
  <c r="E434" i="6"/>
  <c r="E438" i="6"/>
  <c r="F438" i="6"/>
  <c r="F442" i="6"/>
  <c r="E442" i="6"/>
  <c r="F446" i="6"/>
  <c r="E446" i="6"/>
  <c r="F450" i="6"/>
  <c r="E450" i="6"/>
  <c r="F454" i="6"/>
  <c r="E454" i="6"/>
  <c r="F458" i="6"/>
  <c r="E458" i="6"/>
  <c r="F462" i="6"/>
  <c r="E462" i="6"/>
  <c r="F466" i="6"/>
  <c r="E466" i="6"/>
  <c r="F470" i="6"/>
  <c r="E470" i="6"/>
  <c r="F474" i="6"/>
  <c r="E474" i="6"/>
  <c r="F478" i="6"/>
  <c r="E478" i="6"/>
  <c r="F482" i="6"/>
  <c r="E482" i="6"/>
  <c r="F486" i="6"/>
  <c r="E486" i="6"/>
  <c r="F490" i="6"/>
  <c r="E490" i="6"/>
  <c r="F494" i="6"/>
  <c r="E494" i="6"/>
  <c r="F498" i="6"/>
  <c r="E498" i="6"/>
  <c r="F502" i="6"/>
  <c r="E502" i="6"/>
  <c r="F506" i="6"/>
  <c r="E506" i="6"/>
  <c r="F510" i="6"/>
  <c r="E510" i="6"/>
  <c r="F514" i="6"/>
  <c r="E514" i="6"/>
  <c r="F518" i="6"/>
  <c r="E518" i="6"/>
  <c r="F522" i="6"/>
  <c r="E522" i="6"/>
  <c r="F526" i="6"/>
  <c r="E526" i="6"/>
  <c r="F530" i="6"/>
  <c r="E530" i="6"/>
  <c r="F534" i="6"/>
  <c r="E534" i="6"/>
  <c r="F538" i="6"/>
  <c r="E538" i="6"/>
  <c r="F542" i="6"/>
  <c r="E542" i="6"/>
  <c r="F546" i="6"/>
  <c r="E546" i="6"/>
  <c r="F550" i="6"/>
  <c r="E550" i="6"/>
  <c r="F554" i="6"/>
  <c r="E554" i="6"/>
  <c r="F558" i="6"/>
  <c r="E558" i="6"/>
  <c r="F562" i="6"/>
  <c r="E562" i="6"/>
  <c r="F566" i="6"/>
  <c r="E566" i="6"/>
  <c r="F570" i="6"/>
  <c r="E570" i="6"/>
  <c r="F574" i="6"/>
  <c r="E574" i="6"/>
  <c r="F578" i="6"/>
  <c r="E578" i="6"/>
  <c r="F582" i="6"/>
  <c r="E582" i="6"/>
  <c r="F586" i="6"/>
  <c r="E586" i="6"/>
  <c r="F590" i="6"/>
  <c r="E590" i="6"/>
  <c r="F594" i="6"/>
  <c r="E594" i="6"/>
  <c r="F598" i="6"/>
  <c r="E598" i="6"/>
  <c r="F602" i="6"/>
  <c r="E602" i="6"/>
  <c r="F606" i="6"/>
  <c r="E606" i="6"/>
  <c r="F610" i="6"/>
  <c r="E610" i="6"/>
  <c r="F614" i="6"/>
  <c r="E614" i="6"/>
  <c r="F618" i="6"/>
  <c r="E618" i="6"/>
  <c r="F622" i="6"/>
  <c r="E622" i="6"/>
  <c r="F626" i="6"/>
  <c r="E626" i="6"/>
  <c r="F630" i="6"/>
  <c r="E630" i="6"/>
  <c r="F634" i="6"/>
  <c r="E634" i="6"/>
  <c r="F638" i="6"/>
  <c r="E638" i="6"/>
  <c r="F642" i="6"/>
  <c r="E642" i="6"/>
  <c r="F646" i="6"/>
  <c r="E646" i="6"/>
  <c r="F650" i="6"/>
  <c r="E650" i="6"/>
  <c r="F654" i="6"/>
  <c r="E654" i="6"/>
  <c r="F658" i="6"/>
  <c r="E658" i="6"/>
  <c r="F662" i="6"/>
  <c r="E662" i="6"/>
  <c r="E666" i="6"/>
  <c r="F666" i="6"/>
  <c r="F670" i="6"/>
  <c r="E670" i="6"/>
  <c r="E674" i="6"/>
  <c r="F674" i="6"/>
  <c r="F678" i="6"/>
  <c r="E678" i="6"/>
  <c r="F682" i="6"/>
  <c r="E682" i="6"/>
  <c r="F686" i="6"/>
  <c r="E686" i="6"/>
  <c r="F690" i="6"/>
  <c r="E690" i="6"/>
  <c r="F694" i="6"/>
  <c r="E694" i="6"/>
  <c r="E698" i="6"/>
  <c r="F698" i="6"/>
  <c r="F702" i="6"/>
  <c r="E702" i="6"/>
  <c r="F706" i="6"/>
  <c r="E706" i="6"/>
  <c r="F710" i="6"/>
  <c r="E710" i="6"/>
  <c r="F714" i="6"/>
  <c r="E714" i="6"/>
  <c r="F718" i="6"/>
  <c r="E718" i="6"/>
  <c r="F722" i="6"/>
  <c r="E722" i="6"/>
  <c r="F726" i="6"/>
  <c r="E726" i="6"/>
  <c r="F730" i="6"/>
  <c r="E730" i="6"/>
  <c r="F734" i="6"/>
  <c r="E734" i="6"/>
  <c r="E738" i="6"/>
  <c r="F738" i="6"/>
  <c r="F742" i="6"/>
  <c r="E742" i="6"/>
  <c r="F746" i="6"/>
  <c r="E746" i="6"/>
  <c r="F750" i="6"/>
  <c r="E750" i="6"/>
  <c r="F754" i="6"/>
  <c r="E754" i="6"/>
  <c r="F758" i="6"/>
  <c r="E758" i="6"/>
  <c r="F762" i="6"/>
  <c r="E762" i="6"/>
  <c r="F766" i="6"/>
  <c r="E766" i="6"/>
  <c r="F770" i="6"/>
  <c r="E770" i="6"/>
  <c r="F774" i="6"/>
  <c r="E774" i="6"/>
  <c r="F778" i="6"/>
  <c r="E778" i="6"/>
  <c r="F782" i="6"/>
  <c r="E782" i="6"/>
  <c r="F786" i="6"/>
  <c r="E786" i="6"/>
  <c r="F790" i="6"/>
  <c r="E790" i="6"/>
  <c r="F794" i="6"/>
  <c r="E794" i="6"/>
  <c r="F798" i="6"/>
  <c r="E798" i="6"/>
  <c r="E802" i="6"/>
  <c r="F802" i="6"/>
  <c r="F806" i="6"/>
  <c r="E806" i="6"/>
  <c r="F810" i="6"/>
  <c r="E810" i="6"/>
  <c r="F814" i="6"/>
  <c r="E814" i="6"/>
  <c r="F818" i="6"/>
  <c r="E818" i="6"/>
  <c r="F822" i="6"/>
  <c r="E822" i="6"/>
  <c r="F826" i="6"/>
  <c r="E826" i="6"/>
  <c r="F830" i="6"/>
  <c r="E830" i="6"/>
  <c r="F834" i="6"/>
  <c r="E834" i="6"/>
  <c r="F838" i="6"/>
  <c r="E838" i="6"/>
  <c r="F842" i="6"/>
  <c r="E842" i="6"/>
  <c r="F846" i="6"/>
  <c r="E846" i="6"/>
  <c r="F850" i="6"/>
  <c r="E850" i="6"/>
  <c r="F854" i="6"/>
  <c r="E854" i="6"/>
  <c r="E858" i="6"/>
  <c r="F858" i="6"/>
  <c r="F862" i="6"/>
  <c r="E862" i="6"/>
  <c r="E866" i="6"/>
  <c r="F866" i="6"/>
  <c r="F870" i="6"/>
  <c r="E870" i="6"/>
  <c r="F874" i="6"/>
  <c r="E874" i="6"/>
  <c r="F878" i="6"/>
  <c r="E878" i="6"/>
  <c r="F882" i="6"/>
  <c r="E882" i="6"/>
  <c r="F886" i="6"/>
  <c r="E886" i="6"/>
  <c r="F890" i="6"/>
  <c r="E890" i="6"/>
  <c r="E894" i="6"/>
  <c r="F894" i="6"/>
  <c r="F898" i="6"/>
  <c r="E898" i="6"/>
  <c r="F902" i="6"/>
  <c r="E902" i="6"/>
  <c r="F906" i="6"/>
  <c r="E906" i="6"/>
  <c r="F910" i="6"/>
  <c r="E910" i="6"/>
  <c r="F914" i="6"/>
  <c r="E914" i="6"/>
  <c r="F918" i="6"/>
  <c r="E918" i="6"/>
  <c r="E922" i="6"/>
  <c r="F922" i="6"/>
  <c r="F926" i="6"/>
  <c r="E926" i="6"/>
  <c r="E930" i="6"/>
  <c r="F930" i="6"/>
  <c r="F934" i="6"/>
  <c r="E934" i="6"/>
  <c r="F938" i="6"/>
  <c r="E938" i="6"/>
  <c r="F942" i="6"/>
  <c r="E942" i="6"/>
  <c r="F946" i="6"/>
  <c r="E946" i="6"/>
  <c r="F950" i="6"/>
  <c r="E950" i="6"/>
  <c r="F954" i="6"/>
  <c r="E954" i="6"/>
  <c r="E958" i="6"/>
  <c r="F958" i="6"/>
  <c r="F962" i="6"/>
  <c r="E962" i="6"/>
  <c r="F966" i="6"/>
  <c r="E966" i="6"/>
  <c r="F970" i="6"/>
  <c r="E970" i="6"/>
  <c r="F974" i="6"/>
  <c r="E974" i="6"/>
  <c r="F978" i="6"/>
  <c r="E978" i="6"/>
  <c r="F982" i="6"/>
  <c r="E982" i="6"/>
  <c r="F986" i="6"/>
  <c r="E986" i="6"/>
  <c r="F990" i="6"/>
  <c r="E990" i="6"/>
  <c r="F994" i="6"/>
  <c r="E994" i="6"/>
  <c r="F998" i="6"/>
  <c r="E998" i="6"/>
  <c r="F1002" i="6"/>
  <c r="E1002" i="6"/>
  <c r="F1006" i="6"/>
  <c r="E1006" i="6"/>
  <c r="F1010" i="6"/>
  <c r="E1010" i="6"/>
  <c r="F1014" i="6"/>
  <c r="E1014" i="6"/>
  <c r="F1018" i="6"/>
  <c r="E1018" i="6"/>
  <c r="F1022" i="6"/>
  <c r="E1022" i="6"/>
  <c r="F1026" i="6"/>
  <c r="E1026" i="6"/>
  <c r="F1030" i="6"/>
  <c r="E1030" i="6"/>
  <c r="F1034" i="6"/>
  <c r="E1034" i="6"/>
  <c r="F1038" i="6"/>
  <c r="E1038" i="6"/>
  <c r="F1042" i="6"/>
  <c r="E1042" i="6"/>
  <c r="F1046" i="6"/>
  <c r="E1046" i="6"/>
  <c r="F1050" i="6"/>
  <c r="E1050" i="6"/>
  <c r="F1054" i="6"/>
  <c r="E1054" i="6"/>
  <c r="F1058" i="6"/>
  <c r="E1058" i="6"/>
  <c r="F1062" i="6"/>
  <c r="E1062" i="6"/>
  <c r="F1066" i="6"/>
  <c r="E1066" i="6"/>
  <c r="F1070" i="6"/>
  <c r="E1070" i="6"/>
  <c r="F1074" i="6"/>
  <c r="E1074" i="6"/>
  <c r="F1078" i="6"/>
  <c r="E1078" i="6"/>
  <c r="F1082" i="6"/>
  <c r="E1082" i="6"/>
  <c r="F1086" i="6"/>
  <c r="E1086" i="6"/>
  <c r="F1090" i="6"/>
  <c r="E1090" i="6"/>
  <c r="H3" i="4"/>
  <c r="K4" i="4" l="1"/>
  <c r="K5" i="4" s="1"/>
  <c r="K6" i="4" s="1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O4" i="4"/>
  <c r="O5" i="4" s="1"/>
  <c r="O6" i="4" s="1"/>
  <c r="O7" i="4" s="1"/>
  <c r="O8" i="4" s="1"/>
  <c r="O9" i="4" s="1"/>
  <c r="O10" i="4" s="1"/>
  <c r="O11" i="4" s="1"/>
  <c r="O12" i="4" s="1"/>
  <c r="O13" i="4" s="1"/>
  <c r="O14" i="4" s="1"/>
  <c r="O15" i="4" s="1"/>
  <c r="O16" i="4" s="1"/>
  <c r="O17" i="4" s="1"/>
  <c r="O18" i="4" s="1"/>
  <c r="O19" i="4" s="1"/>
  <c r="O20" i="4" s="1"/>
  <c r="O21" i="4" s="1"/>
  <c r="O22" i="4" s="1"/>
  <c r="O23" i="4" s="1"/>
  <c r="S4" i="4"/>
  <c r="S5" i="4" s="1"/>
  <c r="S6" i="4" s="1"/>
  <c r="S7" i="4" s="1"/>
  <c r="S8" i="4" s="1"/>
  <c r="S9" i="4" s="1"/>
  <c r="S10" i="4" s="1"/>
  <c r="S11" i="4" s="1"/>
  <c r="S12" i="4" s="1"/>
  <c r="S13" i="4" s="1"/>
  <c r="S14" i="4" s="1"/>
  <c r="S15" i="4" s="1"/>
  <c r="S16" i="4" s="1"/>
  <c r="S17" i="4" s="1"/>
  <c r="S18" i="4" s="1"/>
  <c r="S19" i="4" s="1"/>
  <c r="S20" i="4" s="1"/>
  <c r="S21" i="4" s="1"/>
  <c r="S22" i="4" s="1"/>
  <c r="S23" i="4" s="1"/>
  <c r="W4" i="4"/>
  <c r="W5" i="4" s="1"/>
  <c r="W6" i="4" s="1"/>
  <c r="W7" i="4" s="1"/>
  <c r="W8" i="4" s="1"/>
  <c r="W9" i="4" s="1"/>
  <c r="W10" i="4" s="1"/>
  <c r="W11" i="4" s="1"/>
  <c r="W12" i="4" s="1"/>
  <c r="W13" i="4" s="1"/>
  <c r="W14" i="4" s="1"/>
  <c r="W15" i="4" s="1"/>
  <c r="W16" i="4" s="1"/>
  <c r="W17" i="4" s="1"/>
  <c r="W18" i="4" s="1"/>
  <c r="W19" i="4" s="1"/>
  <c r="W20" i="4" s="1"/>
  <c r="W21" i="4" s="1"/>
  <c r="W22" i="4" s="1"/>
  <c r="W23" i="4" s="1"/>
  <c r="AA4" i="4"/>
  <c r="AA5" i="4" s="1"/>
  <c r="AA6" i="4" s="1"/>
  <c r="AA7" i="4" s="1"/>
  <c r="AA8" i="4" s="1"/>
  <c r="AA9" i="4" s="1"/>
  <c r="AA10" i="4" s="1"/>
  <c r="AA11" i="4" s="1"/>
  <c r="AA12" i="4" s="1"/>
  <c r="AA13" i="4" s="1"/>
  <c r="AA14" i="4" s="1"/>
  <c r="AA15" i="4" s="1"/>
  <c r="AA16" i="4" s="1"/>
  <c r="AA17" i="4" s="1"/>
  <c r="AA18" i="4" s="1"/>
  <c r="AA19" i="4" s="1"/>
  <c r="AA20" i="4" s="1"/>
  <c r="AA21" i="4" s="1"/>
  <c r="AA22" i="4" s="1"/>
  <c r="AA23" i="4" s="1"/>
  <c r="AE4" i="4"/>
  <c r="AE5" i="4" s="1"/>
  <c r="AE6" i="4" s="1"/>
  <c r="AE7" i="4" s="1"/>
  <c r="AE8" i="4" s="1"/>
  <c r="AE9" i="4" s="1"/>
  <c r="AE10" i="4" s="1"/>
  <c r="AE11" i="4" s="1"/>
  <c r="AE12" i="4" s="1"/>
  <c r="AE13" i="4" s="1"/>
  <c r="AE14" i="4" s="1"/>
  <c r="AE15" i="4" s="1"/>
  <c r="AE16" i="4" s="1"/>
  <c r="AE17" i="4" s="1"/>
  <c r="AE18" i="4" s="1"/>
  <c r="AE19" i="4" s="1"/>
  <c r="AE20" i="4" s="1"/>
  <c r="AE21" i="4" s="1"/>
  <c r="AE22" i="4" s="1"/>
  <c r="AE23" i="4" s="1"/>
  <c r="AI4" i="4"/>
  <c r="AI5" i="4" s="1"/>
  <c r="AI6" i="4" s="1"/>
  <c r="AI7" i="4" s="1"/>
  <c r="AI8" i="4" s="1"/>
  <c r="AI9" i="4" s="1"/>
  <c r="AI10" i="4" s="1"/>
  <c r="AI11" i="4" s="1"/>
  <c r="AI12" i="4" s="1"/>
  <c r="AI13" i="4" s="1"/>
  <c r="AI14" i="4" s="1"/>
  <c r="AI15" i="4" s="1"/>
  <c r="AI16" i="4" s="1"/>
  <c r="AI17" i="4" s="1"/>
  <c r="AI18" i="4" s="1"/>
  <c r="AI19" i="4" s="1"/>
  <c r="AI20" i="4" s="1"/>
  <c r="AI21" i="4" s="1"/>
  <c r="AI22" i="4" s="1"/>
  <c r="AI23" i="4" s="1"/>
  <c r="AM4" i="4"/>
  <c r="AM5" i="4" s="1"/>
  <c r="AM6" i="4" s="1"/>
  <c r="AM7" i="4" s="1"/>
  <c r="AM8" i="4" s="1"/>
  <c r="AM9" i="4" s="1"/>
  <c r="AM10" i="4" s="1"/>
  <c r="AM11" i="4" s="1"/>
  <c r="AM12" i="4" s="1"/>
  <c r="AM13" i="4" s="1"/>
  <c r="AM14" i="4" s="1"/>
  <c r="AM15" i="4" s="1"/>
  <c r="AM16" i="4" s="1"/>
  <c r="AM17" i="4" s="1"/>
  <c r="AM18" i="4" s="1"/>
  <c r="AM19" i="4" s="1"/>
  <c r="AM20" i="4" s="1"/>
  <c r="AM21" i="4" s="1"/>
  <c r="AM22" i="4" s="1"/>
  <c r="AM23" i="4" s="1"/>
  <c r="AQ4" i="4"/>
  <c r="AQ5" i="4" s="1"/>
  <c r="AQ6" i="4" s="1"/>
  <c r="AQ7" i="4" s="1"/>
  <c r="AQ8" i="4" s="1"/>
  <c r="AQ9" i="4" s="1"/>
  <c r="AQ10" i="4" s="1"/>
  <c r="AQ11" i="4" s="1"/>
  <c r="AQ12" i="4" s="1"/>
  <c r="AQ13" i="4" s="1"/>
  <c r="AQ14" i="4" s="1"/>
  <c r="AQ15" i="4" s="1"/>
  <c r="AQ16" i="4" s="1"/>
  <c r="AQ17" i="4" s="1"/>
  <c r="AQ18" i="4" s="1"/>
  <c r="AQ19" i="4" s="1"/>
  <c r="AQ20" i="4" s="1"/>
  <c r="AQ21" i="4" s="1"/>
  <c r="AQ22" i="4" s="1"/>
  <c r="AQ23" i="4" s="1"/>
  <c r="AU4" i="4"/>
  <c r="AU5" i="4" s="1"/>
  <c r="AU6" i="4" s="1"/>
  <c r="AU7" i="4" s="1"/>
  <c r="AU8" i="4" s="1"/>
  <c r="AU9" i="4" s="1"/>
  <c r="AU10" i="4" s="1"/>
  <c r="AU11" i="4" s="1"/>
  <c r="AU12" i="4" s="1"/>
  <c r="AU13" i="4" s="1"/>
  <c r="AU14" i="4" s="1"/>
  <c r="AU15" i="4" s="1"/>
  <c r="AU16" i="4" s="1"/>
  <c r="AU17" i="4" s="1"/>
  <c r="AU18" i="4" s="1"/>
  <c r="AU19" i="4" s="1"/>
  <c r="AU20" i="4" s="1"/>
  <c r="AU21" i="4" s="1"/>
  <c r="AU22" i="4" s="1"/>
  <c r="AU23" i="4" s="1"/>
  <c r="AY4" i="4"/>
  <c r="AY5" i="4" s="1"/>
  <c r="AY6" i="4" s="1"/>
  <c r="AY7" i="4" s="1"/>
  <c r="AY8" i="4" s="1"/>
  <c r="AY9" i="4" s="1"/>
  <c r="AY10" i="4" s="1"/>
  <c r="AY11" i="4" s="1"/>
  <c r="AY12" i="4" s="1"/>
  <c r="AY13" i="4" s="1"/>
  <c r="AY14" i="4" s="1"/>
  <c r="AY15" i="4" s="1"/>
  <c r="AY16" i="4" s="1"/>
  <c r="AY17" i="4" s="1"/>
  <c r="AY18" i="4" s="1"/>
  <c r="AY19" i="4" s="1"/>
  <c r="AY20" i="4" s="1"/>
  <c r="AY21" i="4" s="1"/>
  <c r="AY22" i="4" s="1"/>
  <c r="AY23" i="4" s="1"/>
  <c r="BC4" i="4"/>
  <c r="BC5" i="4" s="1"/>
  <c r="BC6" i="4" s="1"/>
  <c r="BC7" i="4" s="1"/>
  <c r="BC8" i="4" s="1"/>
  <c r="BC9" i="4" s="1"/>
  <c r="BC10" i="4" s="1"/>
  <c r="BC11" i="4" s="1"/>
  <c r="BC12" i="4" s="1"/>
  <c r="BC13" i="4" s="1"/>
  <c r="BC14" i="4" s="1"/>
  <c r="BC15" i="4" s="1"/>
  <c r="BC16" i="4" s="1"/>
  <c r="BC17" i="4" s="1"/>
  <c r="BC18" i="4" s="1"/>
  <c r="BC19" i="4" s="1"/>
  <c r="BC20" i="4" s="1"/>
  <c r="BC21" i="4" s="1"/>
  <c r="BC22" i="4" s="1"/>
  <c r="BC23" i="4" s="1"/>
  <c r="BG4" i="4"/>
  <c r="BG5" i="4" s="1"/>
  <c r="BG6" i="4" s="1"/>
  <c r="BG7" i="4" s="1"/>
  <c r="BG8" i="4" s="1"/>
  <c r="BG9" i="4" s="1"/>
  <c r="BG10" i="4" s="1"/>
  <c r="BG11" i="4" s="1"/>
  <c r="BG12" i="4" s="1"/>
  <c r="BG13" i="4" s="1"/>
  <c r="BG14" i="4" s="1"/>
  <c r="BG15" i="4" s="1"/>
  <c r="BG16" i="4" s="1"/>
  <c r="BG17" i="4" s="1"/>
  <c r="BG18" i="4" s="1"/>
  <c r="BG19" i="4" s="1"/>
  <c r="BG20" i="4" s="1"/>
  <c r="BG21" i="4" s="1"/>
  <c r="BG22" i="4" s="1"/>
  <c r="BG23" i="4" s="1"/>
  <c r="BK4" i="4"/>
  <c r="BK5" i="4" s="1"/>
  <c r="BK6" i="4" s="1"/>
  <c r="BK7" i="4" s="1"/>
  <c r="BK8" i="4" s="1"/>
  <c r="BK9" i="4" s="1"/>
  <c r="BK10" i="4" s="1"/>
  <c r="BK11" i="4" s="1"/>
  <c r="BK12" i="4" s="1"/>
  <c r="BK13" i="4" s="1"/>
  <c r="BK14" i="4" s="1"/>
  <c r="BK15" i="4" s="1"/>
  <c r="BK16" i="4" s="1"/>
  <c r="BK17" i="4" s="1"/>
  <c r="BK18" i="4" s="1"/>
  <c r="BK19" i="4" s="1"/>
  <c r="BK20" i="4" s="1"/>
  <c r="BK21" i="4" s="1"/>
  <c r="BK22" i="4" s="1"/>
  <c r="BK23" i="4" s="1"/>
  <c r="BO4" i="4"/>
  <c r="BO5" i="4" s="1"/>
  <c r="BO6" i="4" s="1"/>
  <c r="BO7" i="4" s="1"/>
  <c r="BO8" i="4" s="1"/>
  <c r="BO9" i="4" s="1"/>
  <c r="BO10" i="4" s="1"/>
  <c r="BO11" i="4" s="1"/>
  <c r="BO12" i="4" s="1"/>
  <c r="BO13" i="4" s="1"/>
  <c r="BO14" i="4" s="1"/>
  <c r="BO15" i="4" s="1"/>
  <c r="BO16" i="4" s="1"/>
  <c r="BO17" i="4" s="1"/>
  <c r="BO18" i="4" s="1"/>
  <c r="BO19" i="4" s="1"/>
  <c r="BO20" i="4" s="1"/>
  <c r="BO21" i="4" s="1"/>
  <c r="BO22" i="4" s="1"/>
  <c r="BO23" i="4" s="1"/>
  <c r="BS4" i="4"/>
  <c r="BS5" i="4" s="1"/>
  <c r="BS6" i="4" s="1"/>
  <c r="BS7" i="4" s="1"/>
  <c r="BS8" i="4" s="1"/>
  <c r="BS9" i="4" s="1"/>
  <c r="BS10" i="4" s="1"/>
  <c r="BS11" i="4" s="1"/>
  <c r="BS12" i="4" s="1"/>
  <c r="BS13" i="4" s="1"/>
  <c r="BS14" i="4" s="1"/>
  <c r="BS15" i="4" s="1"/>
  <c r="BS16" i="4" s="1"/>
  <c r="BS17" i="4" s="1"/>
  <c r="BS18" i="4" s="1"/>
  <c r="BS19" i="4" s="1"/>
  <c r="BS20" i="4" s="1"/>
  <c r="BS21" i="4" s="1"/>
  <c r="BS22" i="4" s="1"/>
  <c r="BS23" i="4" s="1"/>
  <c r="BW4" i="4"/>
  <c r="BW5" i="4" s="1"/>
  <c r="BW6" i="4" s="1"/>
  <c r="BW7" i="4" s="1"/>
  <c r="BW8" i="4" s="1"/>
  <c r="BW9" i="4" s="1"/>
  <c r="BW10" i="4" s="1"/>
  <c r="BW11" i="4" s="1"/>
  <c r="BW12" i="4" s="1"/>
  <c r="BW13" i="4" s="1"/>
  <c r="BW14" i="4" s="1"/>
  <c r="BW15" i="4" s="1"/>
  <c r="BW16" i="4" s="1"/>
  <c r="BW17" i="4" s="1"/>
  <c r="BW18" i="4" s="1"/>
  <c r="BW19" i="4" s="1"/>
  <c r="BW20" i="4" s="1"/>
  <c r="BW21" i="4" s="1"/>
  <c r="BW22" i="4" s="1"/>
  <c r="BW23" i="4" s="1"/>
  <c r="CA4" i="4"/>
  <c r="CA5" i="4" s="1"/>
  <c r="CA6" i="4" s="1"/>
  <c r="CA7" i="4" s="1"/>
  <c r="CA8" i="4" s="1"/>
  <c r="CA9" i="4" s="1"/>
  <c r="CA10" i="4" s="1"/>
  <c r="CA11" i="4" s="1"/>
  <c r="CA12" i="4" s="1"/>
  <c r="CA13" i="4" s="1"/>
  <c r="CA14" i="4" s="1"/>
  <c r="CA15" i="4" s="1"/>
  <c r="CA16" i="4" s="1"/>
  <c r="CA17" i="4" s="1"/>
  <c r="CA18" i="4" s="1"/>
  <c r="CA19" i="4" s="1"/>
  <c r="CA20" i="4" s="1"/>
  <c r="CA21" i="4" s="1"/>
  <c r="CA22" i="4" s="1"/>
  <c r="CA23" i="4" s="1"/>
  <c r="CE4" i="4"/>
  <c r="CE5" i="4" s="1"/>
  <c r="CE6" i="4" s="1"/>
  <c r="CE7" i="4" s="1"/>
  <c r="CE8" i="4" s="1"/>
  <c r="CE9" i="4" s="1"/>
  <c r="CE10" i="4" s="1"/>
  <c r="CE11" i="4" s="1"/>
  <c r="CE12" i="4" s="1"/>
  <c r="CE13" i="4" s="1"/>
  <c r="CE14" i="4" s="1"/>
  <c r="CE15" i="4" s="1"/>
  <c r="CE16" i="4" s="1"/>
  <c r="CE17" i="4" s="1"/>
  <c r="CE18" i="4" s="1"/>
  <c r="CE19" i="4" s="1"/>
  <c r="CE20" i="4" s="1"/>
  <c r="CE21" i="4" s="1"/>
  <c r="CE22" i="4" s="1"/>
  <c r="CE23" i="4" s="1"/>
  <c r="CI4" i="4"/>
  <c r="CI5" i="4" s="1"/>
  <c r="CI6" i="4" s="1"/>
  <c r="CI7" i="4" s="1"/>
  <c r="CI8" i="4" s="1"/>
  <c r="CI9" i="4" s="1"/>
  <c r="CI10" i="4" s="1"/>
  <c r="CI11" i="4" s="1"/>
  <c r="CI12" i="4" s="1"/>
  <c r="CI13" i="4" s="1"/>
  <c r="CI14" i="4" s="1"/>
  <c r="CI15" i="4" s="1"/>
  <c r="CI16" i="4" s="1"/>
  <c r="CI17" i="4" s="1"/>
  <c r="CI18" i="4" s="1"/>
  <c r="CI19" i="4" s="1"/>
  <c r="CI20" i="4" s="1"/>
  <c r="CI21" i="4" s="1"/>
  <c r="CI22" i="4" s="1"/>
  <c r="CI23" i="4" s="1"/>
  <c r="CM4" i="4"/>
  <c r="CM5" i="4" s="1"/>
  <c r="CM6" i="4" s="1"/>
  <c r="CM7" i="4" s="1"/>
  <c r="CM8" i="4" s="1"/>
  <c r="CM9" i="4" s="1"/>
  <c r="CM10" i="4" s="1"/>
  <c r="CM11" i="4" s="1"/>
  <c r="CM12" i="4" s="1"/>
  <c r="CM13" i="4" s="1"/>
  <c r="CM14" i="4" s="1"/>
  <c r="CM15" i="4" s="1"/>
  <c r="CM16" i="4" s="1"/>
  <c r="CM17" i="4" s="1"/>
  <c r="CM18" i="4" s="1"/>
  <c r="CM19" i="4" s="1"/>
  <c r="CM20" i="4" s="1"/>
  <c r="CM21" i="4" s="1"/>
  <c r="CM22" i="4" s="1"/>
  <c r="CM23" i="4" s="1"/>
  <c r="CQ4" i="4"/>
  <c r="CQ5" i="4" s="1"/>
  <c r="CQ6" i="4" s="1"/>
  <c r="CQ7" i="4" s="1"/>
  <c r="CQ8" i="4" s="1"/>
  <c r="CQ9" i="4" s="1"/>
  <c r="CQ10" i="4" s="1"/>
  <c r="CQ11" i="4" s="1"/>
  <c r="CQ12" i="4" s="1"/>
  <c r="CQ13" i="4" s="1"/>
  <c r="CQ14" i="4" s="1"/>
  <c r="CQ15" i="4" s="1"/>
  <c r="CQ16" i="4" s="1"/>
  <c r="CQ17" i="4" s="1"/>
  <c r="CQ18" i="4" s="1"/>
  <c r="CQ19" i="4" s="1"/>
  <c r="CQ20" i="4" s="1"/>
  <c r="CQ21" i="4" s="1"/>
  <c r="CQ22" i="4" s="1"/>
  <c r="CQ23" i="4" s="1"/>
  <c r="CU4" i="4"/>
  <c r="CU5" i="4" s="1"/>
  <c r="CU6" i="4" s="1"/>
  <c r="CU7" i="4" s="1"/>
  <c r="CU8" i="4" s="1"/>
  <c r="CU9" i="4" s="1"/>
  <c r="CU10" i="4" s="1"/>
  <c r="CU11" i="4" s="1"/>
  <c r="CU12" i="4" s="1"/>
  <c r="CU13" i="4" s="1"/>
  <c r="CU14" i="4" s="1"/>
  <c r="CU15" i="4" s="1"/>
  <c r="CU16" i="4" s="1"/>
  <c r="CU17" i="4" s="1"/>
  <c r="CU18" i="4" s="1"/>
  <c r="CU19" i="4" s="1"/>
  <c r="CU20" i="4" s="1"/>
  <c r="CU21" i="4" s="1"/>
  <c r="CU22" i="4" s="1"/>
  <c r="CU23" i="4" s="1"/>
  <c r="CY4" i="4"/>
  <c r="CY5" i="4" s="1"/>
  <c r="CY6" i="4" s="1"/>
  <c r="CY7" i="4" s="1"/>
  <c r="CY8" i="4" s="1"/>
  <c r="CY9" i="4" s="1"/>
  <c r="CY10" i="4" s="1"/>
  <c r="CY11" i="4" s="1"/>
  <c r="CY12" i="4" s="1"/>
  <c r="CY13" i="4" s="1"/>
  <c r="CY14" i="4" s="1"/>
  <c r="CY15" i="4" s="1"/>
  <c r="CY16" i="4" s="1"/>
  <c r="CY17" i="4" s="1"/>
  <c r="CY18" i="4" s="1"/>
  <c r="CY19" i="4" s="1"/>
  <c r="CY20" i="4" s="1"/>
  <c r="CY21" i="4" s="1"/>
  <c r="CY22" i="4" s="1"/>
  <c r="CY23" i="4" s="1"/>
  <c r="DC4" i="4"/>
  <c r="DC5" i="4" s="1"/>
  <c r="DC6" i="4" s="1"/>
  <c r="DC7" i="4" s="1"/>
  <c r="DC8" i="4" s="1"/>
  <c r="DC9" i="4" s="1"/>
  <c r="DC10" i="4" s="1"/>
  <c r="DC11" i="4" s="1"/>
  <c r="DC12" i="4" s="1"/>
  <c r="DC13" i="4" s="1"/>
  <c r="DC14" i="4" s="1"/>
  <c r="DC15" i="4" s="1"/>
  <c r="DC16" i="4" s="1"/>
  <c r="DC17" i="4" s="1"/>
  <c r="DC18" i="4" s="1"/>
  <c r="DC19" i="4" s="1"/>
  <c r="DC20" i="4" s="1"/>
  <c r="DC21" i="4" s="1"/>
  <c r="DC22" i="4" s="1"/>
  <c r="DC23" i="4" s="1"/>
  <c r="DG4" i="4"/>
  <c r="DG5" i="4" s="1"/>
  <c r="DG6" i="4" s="1"/>
  <c r="DG7" i="4" s="1"/>
  <c r="DG8" i="4" s="1"/>
  <c r="DG9" i="4" s="1"/>
  <c r="DG10" i="4" s="1"/>
  <c r="DG11" i="4" s="1"/>
  <c r="DG12" i="4" s="1"/>
  <c r="DG13" i="4" s="1"/>
  <c r="DG14" i="4" s="1"/>
  <c r="DG15" i="4" s="1"/>
  <c r="DG16" i="4" s="1"/>
  <c r="DG17" i="4" s="1"/>
  <c r="DG18" i="4" s="1"/>
  <c r="DG19" i="4" s="1"/>
  <c r="DG20" i="4" s="1"/>
  <c r="DG21" i="4" s="1"/>
  <c r="DG22" i="4" s="1"/>
  <c r="DG23" i="4" s="1"/>
  <c r="DK4" i="4"/>
  <c r="DK5" i="4" s="1"/>
  <c r="DK6" i="4" s="1"/>
  <c r="DK7" i="4" s="1"/>
  <c r="DK8" i="4" s="1"/>
  <c r="DK9" i="4" s="1"/>
  <c r="DK10" i="4" s="1"/>
  <c r="DK11" i="4" s="1"/>
  <c r="DK12" i="4" s="1"/>
  <c r="DK13" i="4" s="1"/>
  <c r="DK14" i="4" s="1"/>
  <c r="DK15" i="4" s="1"/>
  <c r="DK16" i="4" s="1"/>
  <c r="DK17" i="4" s="1"/>
  <c r="DK18" i="4" s="1"/>
  <c r="DK19" i="4" s="1"/>
  <c r="DK20" i="4" s="1"/>
  <c r="DK21" i="4" s="1"/>
  <c r="DK22" i="4" s="1"/>
  <c r="DK23" i="4" s="1"/>
  <c r="DO4" i="4"/>
  <c r="DO5" i="4" s="1"/>
  <c r="DO6" i="4" s="1"/>
  <c r="DO7" i="4" s="1"/>
  <c r="DO8" i="4" s="1"/>
  <c r="DO9" i="4" s="1"/>
  <c r="DO10" i="4" s="1"/>
  <c r="DO11" i="4" s="1"/>
  <c r="DO12" i="4" s="1"/>
  <c r="DO13" i="4" s="1"/>
  <c r="DO14" i="4" s="1"/>
  <c r="DO15" i="4" s="1"/>
  <c r="DO16" i="4" s="1"/>
  <c r="DO17" i="4" s="1"/>
  <c r="DO18" i="4" s="1"/>
  <c r="DO19" i="4" s="1"/>
  <c r="DO20" i="4" s="1"/>
  <c r="DO21" i="4" s="1"/>
  <c r="DO22" i="4" s="1"/>
  <c r="DO23" i="4" s="1"/>
  <c r="DS4" i="4"/>
  <c r="DS5" i="4" s="1"/>
  <c r="DS6" i="4" s="1"/>
  <c r="DS7" i="4" s="1"/>
  <c r="DS8" i="4" s="1"/>
  <c r="DS9" i="4" s="1"/>
  <c r="DS10" i="4" s="1"/>
  <c r="DS11" i="4" s="1"/>
  <c r="DS12" i="4" s="1"/>
  <c r="DS13" i="4" s="1"/>
  <c r="DS14" i="4" s="1"/>
  <c r="DS15" i="4" s="1"/>
  <c r="DS16" i="4" s="1"/>
  <c r="DS17" i="4" s="1"/>
  <c r="DS18" i="4" s="1"/>
  <c r="DS19" i="4" s="1"/>
  <c r="DS20" i="4" s="1"/>
  <c r="DS21" i="4" s="1"/>
  <c r="DS22" i="4" s="1"/>
  <c r="DS23" i="4" s="1"/>
  <c r="DW4" i="4"/>
  <c r="DW5" i="4" s="1"/>
  <c r="DW6" i="4" s="1"/>
  <c r="DW7" i="4" s="1"/>
  <c r="DW8" i="4" s="1"/>
  <c r="DW9" i="4" s="1"/>
  <c r="DW10" i="4" s="1"/>
  <c r="DW11" i="4" s="1"/>
  <c r="DW12" i="4" s="1"/>
  <c r="DW13" i="4" s="1"/>
  <c r="DW14" i="4" s="1"/>
  <c r="DW15" i="4" s="1"/>
  <c r="DW16" i="4" s="1"/>
  <c r="DW17" i="4" s="1"/>
  <c r="DW18" i="4" s="1"/>
  <c r="DW19" i="4" s="1"/>
  <c r="DW20" i="4" s="1"/>
  <c r="DW21" i="4" s="1"/>
  <c r="DW22" i="4" s="1"/>
  <c r="DW23" i="4" s="1"/>
  <c r="EA4" i="4"/>
  <c r="EA5" i="4" s="1"/>
  <c r="EA6" i="4" s="1"/>
  <c r="EA7" i="4" s="1"/>
  <c r="EA8" i="4" s="1"/>
  <c r="EA9" i="4" s="1"/>
  <c r="EA10" i="4" s="1"/>
  <c r="EA11" i="4" s="1"/>
  <c r="EA12" i="4" s="1"/>
  <c r="EA13" i="4" s="1"/>
  <c r="EA14" i="4" s="1"/>
  <c r="EA15" i="4" s="1"/>
  <c r="EA16" i="4" s="1"/>
  <c r="EA17" i="4" s="1"/>
  <c r="EA18" i="4" s="1"/>
  <c r="EA19" i="4" s="1"/>
  <c r="EA20" i="4" s="1"/>
  <c r="EA21" i="4" s="1"/>
  <c r="EA22" i="4" s="1"/>
  <c r="EA23" i="4" s="1"/>
  <c r="EE4" i="4"/>
  <c r="EE5" i="4" s="1"/>
  <c r="EE6" i="4" s="1"/>
  <c r="EE7" i="4" s="1"/>
  <c r="EE8" i="4" s="1"/>
  <c r="EE9" i="4" s="1"/>
  <c r="EE10" i="4" s="1"/>
  <c r="EE11" i="4" s="1"/>
  <c r="EE12" i="4" s="1"/>
  <c r="EE13" i="4" s="1"/>
  <c r="EE14" i="4" s="1"/>
  <c r="EE15" i="4" s="1"/>
  <c r="EE16" i="4" s="1"/>
  <c r="EE17" i="4" s="1"/>
  <c r="EE18" i="4" s="1"/>
  <c r="EE19" i="4" s="1"/>
  <c r="EE20" i="4" s="1"/>
  <c r="EE21" i="4" s="1"/>
  <c r="EE22" i="4" s="1"/>
  <c r="EE23" i="4" s="1"/>
  <c r="EI4" i="4"/>
  <c r="EI5" i="4" s="1"/>
  <c r="EI6" i="4" s="1"/>
  <c r="EI7" i="4" s="1"/>
  <c r="EI8" i="4" s="1"/>
  <c r="EI9" i="4" s="1"/>
  <c r="EI10" i="4" s="1"/>
  <c r="EI11" i="4" s="1"/>
  <c r="EI12" i="4" s="1"/>
  <c r="EI13" i="4" s="1"/>
  <c r="EI14" i="4" s="1"/>
  <c r="EI15" i="4" s="1"/>
  <c r="EI16" i="4" s="1"/>
  <c r="EI17" i="4" s="1"/>
  <c r="EI18" i="4" s="1"/>
  <c r="EI19" i="4" s="1"/>
  <c r="EI20" i="4" s="1"/>
  <c r="EI21" i="4" s="1"/>
  <c r="EI22" i="4" s="1"/>
  <c r="EI23" i="4" s="1"/>
  <c r="EM4" i="4"/>
  <c r="EM5" i="4" s="1"/>
  <c r="EM6" i="4" s="1"/>
  <c r="EM7" i="4" s="1"/>
  <c r="EM8" i="4" s="1"/>
  <c r="EM9" i="4" s="1"/>
  <c r="EM10" i="4" s="1"/>
  <c r="EM11" i="4" s="1"/>
  <c r="EM12" i="4" s="1"/>
  <c r="EM13" i="4" s="1"/>
  <c r="EM14" i="4" s="1"/>
  <c r="EM15" i="4" s="1"/>
  <c r="EM16" i="4" s="1"/>
  <c r="EM17" i="4" s="1"/>
  <c r="EM18" i="4" s="1"/>
  <c r="EM19" i="4" s="1"/>
  <c r="EM20" i="4" s="1"/>
  <c r="EM21" i="4" s="1"/>
  <c r="EM22" i="4" s="1"/>
  <c r="EM23" i="4" s="1"/>
  <c r="EQ4" i="4"/>
  <c r="EQ5" i="4" s="1"/>
  <c r="EQ6" i="4" s="1"/>
  <c r="EQ7" i="4" s="1"/>
  <c r="EQ8" i="4" s="1"/>
  <c r="EQ9" i="4" s="1"/>
  <c r="EQ10" i="4" s="1"/>
  <c r="EQ11" i="4" s="1"/>
  <c r="EQ12" i="4" s="1"/>
  <c r="EQ13" i="4" s="1"/>
  <c r="EQ14" i="4" s="1"/>
  <c r="EQ15" i="4" s="1"/>
  <c r="EQ16" i="4" s="1"/>
  <c r="EQ17" i="4" s="1"/>
  <c r="EQ18" i="4" s="1"/>
  <c r="EQ19" i="4" s="1"/>
  <c r="EQ20" i="4" s="1"/>
  <c r="EQ21" i="4" s="1"/>
  <c r="EQ22" i="4" s="1"/>
  <c r="EQ23" i="4" s="1"/>
  <c r="EU4" i="4"/>
  <c r="EU5" i="4" s="1"/>
  <c r="EU6" i="4" s="1"/>
  <c r="EU7" i="4" s="1"/>
  <c r="EU8" i="4" s="1"/>
  <c r="EU9" i="4" s="1"/>
  <c r="EU10" i="4" s="1"/>
  <c r="EU11" i="4" s="1"/>
  <c r="EU12" i="4" s="1"/>
  <c r="EU13" i="4" s="1"/>
  <c r="EU14" i="4" s="1"/>
  <c r="EU15" i="4" s="1"/>
  <c r="EU16" i="4" s="1"/>
  <c r="EU17" i="4" s="1"/>
  <c r="EU18" i="4" s="1"/>
  <c r="EU19" i="4" s="1"/>
  <c r="EU20" i="4" s="1"/>
  <c r="EU21" i="4" s="1"/>
  <c r="EU22" i="4" s="1"/>
  <c r="EU23" i="4" s="1"/>
  <c r="L4" i="4"/>
  <c r="L5" i="4" s="1"/>
  <c r="L6" i="4" s="1"/>
  <c r="L7" i="4" s="1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P4" i="4"/>
  <c r="P5" i="4" s="1"/>
  <c r="P6" i="4" s="1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T4" i="4"/>
  <c r="T5" i="4" s="1"/>
  <c r="T6" i="4" s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X4" i="4"/>
  <c r="X5" i="4" s="1"/>
  <c r="X6" i="4" s="1"/>
  <c r="X7" i="4" s="1"/>
  <c r="X8" i="4" s="1"/>
  <c r="X9" i="4" s="1"/>
  <c r="X10" i="4" s="1"/>
  <c r="X11" i="4" s="1"/>
  <c r="X12" i="4" s="1"/>
  <c r="X13" i="4" s="1"/>
  <c r="X14" i="4" s="1"/>
  <c r="X15" i="4" s="1"/>
  <c r="X16" i="4" s="1"/>
  <c r="X17" i="4" s="1"/>
  <c r="X18" i="4" s="1"/>
  <c r="X19" i="4" s="1"/>
  <c r="X20" i="4" s="1"/>
  <c r="X21" i="4" s="1"/>
  <c r="X22" i="4" s="1"/>
  <c r="X23" i="4" s="1"/>
  <c r="AB4" i="4"/>
  <c r="AB5" i="4" s="1"/>
  <c r="AB6" i="4" s="1"/>
  <c r="AB7" i="4" s="1"/>
  <c r="AB8" i="4" s="1"/>
  <c r="AB9" i="4" s="1"/>
  <c r="AB10" i="4" s="1"/>
  <c r="AB11" i="4" s="1"/>
  <c r="AB12" i="4" s="1"/>
  <c r="AB13" i="4" s="1"/>
  <c r="AB14" i="4" s="1"/>
  <c r="AB15" i="4" s="1"/>
  <c r="AB16" i="4" s="1"/>
  <c r="AB17" i="4" s="1"/>
  <c r="AB18" i="4" s="1"/>
  <c r="AB19" i="4" s="1"/>
  <c r="AB20" i="4" s="1"/>
  <c r="AB21" i="4" s="1"/>
  <c r="AB22" i="4" s="1"/>
  <c r="AB23" i="4" s="1"/>
  <c r="AF4" i="4"/>
  <c r="AF5" i="4" s="1"/>
  <c r="AF6" i="4" s="1"/>
  <c r="AF7" i="4" s="1"/>
  <c r="AF8" i="4" s="1"/>
  <c r="AF9" i="4" s="1"/>
  <c r="AF10" i="4" s="1"/>
  <c r="AF11" i="4" s="1"/>
  <c r="AF12" i="4" s="1"/>
  <c r="AF13" i="4" s="1"/>
  <c r="AF14" i="4" s="1"/>
  <c r="AF15" i="4" s="1"/>
  <c r="AF16" i="4" s="1"/>
  <c r="AF17" i="4" s="1"/>
  <c r="AF18" i="4" s="1"/>
  <c r="AF19" i="4" s="1"/>
  <c r="AF20" i="4" s="1"/>
  <c r="AF21" i="4" s="1"/>
  <c r="AF22" i="4" s="1"/>
  <c r="AF23" i="4" s="1"/>
  <c r="AJ4" i="4"/>
  <c r="AJ5" i="4" s="1"/>
  <c r="AJ6" i="4" s="1"/>
  <c r="AJ7" i="4" s="1"/>
  <c r="AJ8" i="4" s="1"/>
  <c r="AJ9" i="4" s="1"/>
  <c r="AJ10" i="4" s="1"/>
  <c r="AJ11" i="4" s="1"/>
  <c r="AJ12" i="4" s="1"/>
  <c r="AJ13" i="4" s="1"/>
  <c r="AJ14" i="4" s="1"/>
  <c r="AJ15" i="4" s="1"/>
  <c r="AJ16" i="4" s="1"/>
  <c r="AJ17" i="4" s="1"/>
  <c r="AJ18" i="4" s="1"/>
  <c r="AJ19" i="4" s="1"/>
  <c r="AJ20" i="4" s="1"/>
  <c r="AJ21" i="4" s="1"/>
  <c r="AJ22" i="4" s="1"/>
  <c r="AJ23" i="4" s="1"/>
  <c r="AN4" i="4"/>
  <c r="AN5" i="4" s="1"/>
  <c r="AN6" i="4" s="1"/>
  <c r="AN7" i="4" s="1"/>
  <c r="AN8" i="4" s="1"/>
  <c r="AN9" i="4" s="1"/>
  <c r="AN10" i="4" s="1"/>
  <c r="AN11" i="4" s="1"/>
  <c r="AN12" i="4" s="1"/>
  <c r="AN13" i="4" s="1"/>
  <c r="AN14" i="4" s="1"/>
  <c r="AN15" i="4" s="1"/>
  <c r="AN16" i="4" s="1"/>
  <c r="AN17" i="4" s="1"/>
  <c r="AN18" i="4" s="1"/>
  <c r="AN19" i="4" s="1"/>
  <c r="AN20" i="4" s="1"/>
  <c r="AN21" i="4" s="1"/>
  <c r="AN22" i="4" s="1"/>
  <c r="AN23" i="4" s="1"/>
  <c r="AR4" i="4"/>
  <c r="AR5" i="4" s="1"/>
  <c r="AR6" i="4" s="1"/>
  <c r="AR7" i="4" s="1"/>
  <c r="AR8" i="4" s="1"/>
  <c r="AR9" i="4" s="1"/>
  <c r="AR10" i="4" s="1"/>
  <c r="AR11" i="4" s="1"/>
  <c r="AR12" i="4" s="1"/>
  <c r="AR13" i="4" s="1"/>
  <c r="AR14" i="4" s="1"/>
  <c r="AR15" i="4" s="1"/>
  <c r="AR16" i="4" s="1"/>
  <c r="AR17" i="4" s="1"/>
  <c r="AR18" i="4" s="1"/>
  <c r="AR19" i="4" s="1"/>
  <c r="AR20" i="4" s="1"/>
  <c r="AR21" i="4" s="1"/>
  <c r="AR22" i="4" s="1"/>
  <c r="AR23" i="4" s="1"/>
  <c r="AV4" i="4"/>
  <c r="AV5" i="4" s="1"/>
  <c r="AV6" i="4" s="1"/>
  <c r="AV7" i="4" s="1"/>
  <c r="AV8" i="4" s="1"/>
  <c r="AV9" i="4" s="1"/>
  <c r="AV10" i="4" s="1"/>
  <c r="AV11" i="4" s="1"/>
  <c r="AV12" i="4" s="1"/>
  <c r="AV13" i="4" s="1"/>
  <c r="AV14" i="4" s="1"/>
  <c r="AV15" i="4" s="1"/>
  <c r="AV16" i="4" s="1"/>
  <c r="AV17" i="4" s="1"/>
  <c r="AV18" i="4" s="1"/>
  <c r="AV19" i="4" s="1"/>
  <c r="AV20" i="4" s="1"/>
  <c r="AV21" i="4" s="1"/>
  <c r="AV22" i="4" s="1"/>
  <c r="AV23" i="4" s="1"/>
  <c r="AZ4" i="4"/>
  <c r="AZ5" i="4" s="1"/>
  <c r="AZ6" i="4" s="1"/>
  <c r="AZ7" i="4" s="1"/>
  <c r="AZ8" i="4" s="1"/>
  <c r="AZ9" i="4" s="1"/>
  <c r="AZ10" i="4" s="1"/>
  <c r="AZ11" i="4" s="1"/>
  <c r="AZ12" i="4" s="1"/>
  <c r="AZ13" i="4" s="1"/>
  <c r="AZ14" i="4" s="1"/>
  <c r="AZ15" i="4" s="1"/>
  <c r="AZ16" i="4" s="1"/>
  <c r="AZ17" i="4" s="1"/>
  <c r="AZ18" i="4" s="1"/>
  <c r="AZ19" i="4" s="1"/>
  <c r="AZ20" i="4" s="1"/>
  <c r="AZ21" i="4" s="1"/>
  <c r="AZ22" i="4" s="1"/>
  <c r="AZ23" i="4" s="1"/>
  <c r="BD4" i="4"/>
  <c r="BD5" i="4" s="1"/>
  <c r="BD6" i="4" s="1"/>
  <c r="BD7" i="4" s="1"/>
  <c r="BD8" i="4" s="1"/>
  <c r="BD9" i="4" s="1"/>
  <c r="BD10" i="4" s="1"/>
  <c r="BD11" i="4" s="1"/>
  <c r="BD12" i="4" s="1"/>
  <c r="BD13" i="4" s="1"/>
  <c r="BD14" i="4" s="1"/>
  <c r="BD15" i="4" s="1"/>
  <c r="BD16" i="4" s="1"/>
  <c r="BD17" i="4" s="1"/>
  <c r="BD18" i="4" s="1"/>
  <c r="BD19" i="4" s="1"/>
  <c r="BD20" i="4" s="1"/>
  <c r="BD21" i="4" s="1"/>
  <c r="BD22" i="4" s="1"/>
  <c r="BD23" i="4" s="1"/>
  <c r="BH4" i="4"/>
  <c r="BH5" i="4" s="1"/>
  <c r="BH6" i="4" s="1"/>
  <c r="BH7" i="4" s="1"/>
  <c r="BH8" i="4" s="1"/>
  <c r="BH9" i="4" s="1"/>
  <c r="BH10" i="4" s="1"/>
  <c r="BH11" i="4" s="1"/>
  <c r="BH12" i="4" s="1"/>
  <c r="BH13" i="4" s="1"/>
  <c r="BH14" i="4" s="1"/>
  <c r="BH15" i="4" s="1"/>
  <c r="BH16" i="4" s="1"/>
  <c r="BH17" i="4" s="1"/>
  <c r="BH18" i="4" s="1"/>
  <c r="BH19" i="4" s="1"/>
  <c r="BH20" i="4" s="1"/>
  <c r="BH21" i="4" s="1"/>
  <c r="BH22" i="4" s="1"/>
  <c r="BH23" i="4" s="1"/>
  <c r="BL4" i="4"/>
  <c r="BL5" i="4" s="1"/>
  <c r="BL6" i="4" s="1"/>
  <c r="BL7" i="4" s="1"/>
  <c r="BL8" i="4" s="1"/>
  <c r="BL9" i="4" s="1"/>
  <c r="BL10" i="4" s="1"/>
  <c r="BL11" i="4" s="1"/>
  <c r="BL12" i="4" s="1"/>
  <c r="BL13" i="4" s="1"/>
  <c r="BL14" i="4" s="1"/>
  <c r="BL15" i="4" s="1"/>
  <c r="BL16" i="4" s="1"/>
  <c r="BL17" i="4" s="1"/>
  <c r="BL18" i="4" s="1"/>
  <c r="BL19" i="4" s="1"/>
  <c r="BL20" i="4" s="1"/>
  <c r="BL21" i="4" s="1"/>
  <c r="BL22" i="4" s="1"/>
  <c r="BL23" i="4" s="1"/>
  <c r="BP4" i="4"/>
  <c r="BP5" i="4" s="1"/>
  <c r="BP6" i="4" s="1"/>
  <c r="BP7" i="4" s="1"/>
  <c r="BP8" i="4" s="1"/>
  <c r="BP9" i="4" s="1"/>
  <c r="BP10" i="4" s="1"/>
  <c r="BP11" i="4" s="1"/>
  <c r="BP12" i="4" s="1"/>
  <c r="BP13" i="4" s="1"/>
  <c r="BP14" i="4" s="1"/>
  <c r="BP15" i="4" s="1"/>
  <c r="BP16" i="4" s="1"/>
  <c r="BP17" i="4" s="1"/>
  <c r="BP18" i="4" s="1"/>
  <c r="BP19" i="4" s="1"/>
  <c r="BP20" i="4" s="1"/>
  <c r="BP21" i="4" s="1"/>
  <c r="BP22" i="4" s="1"/>
  <c r="BP23" i="4" s="1"/>
  <c r="BT4" i="4"/>
  <c r="BT5" i="4" s="1"/>
  <c r="BT6" i="4" s="1"/>
  <c r="BT7" i="4" s="1"/>
  <c r="BT8" i="4" s="1"/>
  <c r="BT9" i="4" s="1"/>
  <c r="BT10" i="4" s="1"/>
  <c r="BT11" i="4" s="1"/>
  <c r="BT12" i="4" s="1"/>
  <c r="BT13" i="4" s="1"/>
  <c r="BT14" i="4" s="1"/>
  <c r="BT15" i="4" s="1"/>
  <c r="BT16" i="4" s="1"/>
  <c r="BT17" i="4" s="1"/>
  <c r="BT18" i="4" s="1"/>
  <c r="BT19" i="4" s="1"/>
  <c r="BT20" i="4" s="1"/>
  <c r="BT21" i="4" s="1"/>
  <c r="BT22" i="4" s="1"/>
  <c r="BT23" i="4" s="1"/>
  <c r="BX4" i="4"/>
  <c r="BX5" i="4" s="1"/>
  <c r="BX6" i="4" s="1"/>
  <c r="BX7" i="4" s="1"/>
  <c r="BX8" i="4" s="1"/>
  <c r="BX9" i="4" s="1"/>
  <c r="BX10" i="4" s="1"/>
  <c r="BX11" i="4" s="1"/>
  <c r="BX12" i="4" s="1"/>
  <c r="BX13" i="4" s="1"/>
  <c r="BX14" i="4" s="1"/>
  <c r="BX15" i="4" s="1"/>
  <c r="BX16" i="4" s="1"/>
  <c r="BX17" i="4" s="1"/>
  <c r="BX18" i="4" s="1"/>
  <c r="BX19" i="4" s="1"/>
  <c r="BX20" i="4" s="1"/>
  <c r="BX21" i="4" s="1"/>
  <c r="BX22" i="4" s="1"/>
  <c r="BX23" i="4" s="1"/>
  <c r="CB4" i="4"/>
  <c r="CB5" i="4" s="1"/>
  <c r="CB6" i="4" s="1"/>
  <c r="CB7" i="4" s="1"/>
  <c r="CB8" i="4" s="1"/>
  <c r="CB9" i="4" s="1"/>
  <c r="CB10" i="4" s="1"/>
  <c r="CB11" i="4" s="1"/>
  <c r="CB12" i="4" s="1"/>
  <c r="CB13" i="4" s="1"/>
  <c r="CB14" i="4" s="1"/>
  <c r="CB15" i="4" s="1"/>
  <c r="CB16" i="4" s="1"/>
  <c r="CB17" i="4" s="1"/>
  <c r="CB18" i="4" s="1"/>
  <c r="CB19" i="4" s="1"/>
  <c r="CB20" i="4" s="1"/>
  <c r="CB21" i="4" s="1"/>
  <c r="CB22" i="4" s="1"/>
  <c r="CB23" i="4" s="1"/>
  <c r="CF4" i="4"/>
  <c r="CF5" i="4" s="1"/>
  <c r="CF6" i="4" s="1"/>
  <c r="CF7" i="4" s="1"/>
  <c r="CF8" i="4" s="1"/>
  <c r="CF9" i="4" s="1"/>
  <c r="CF10" i="4" s="1"/>
  <c r="CF11" i="4" s="1"/>
  <c r="CF12" i="4" s="1"/>
  <c r="CF13" i="4" s="1"/>
  <c r="CF14" i="4" s="1"/>
  <c r="CF15" i="4" s="1"/>
  <c r="CF16" i="4" s="1"/>
  <c r="CF17" i="4" s="1"/>
  <c r="CF18" i="4" s="1"/>
  <c r="CF19" i="4" s="1"/>
  <c r="CF20" i="4" s="1"/>
  <c r="CF21" i="4" s="1"/>
  <c r="CF22" i="4" s="1"/>
  <c r="CF23" i="4" s="1"/>
  <c r="CJ4" i="4"/>
  <c r="CJ5" i="4" s="1"/>
  <c r="CJ6" i="4" s="1"/>
  <c r="CJ7" i="4" s="1"/>
  <c r="CJ8" i="4" s="1"/>
  <c r="CJ9" i="4" s="1"/>
  <c r="CJ10" i="4" s="1"/>
  <c r="CJ11" i="4" s="1"/>
  <c r="CJ12" i="4" s="1"/>
  <c r="CJ13" i="4" s="1"/>
  <c r="CJ14" i="4" s="1"/>
  <c r="CJ15" i="4" s="1"/>
  <c r="CJ16" i="4" s="1"/>
  <c r="CJ17" i="4" s="1"/>
  <c r="CJ18" i="4" s="1"/>
  <c r="CJ19" i="4" s="1"/>
  <c r="CJ20" i="4" s="1"/>
  <c r="CJ21" i="4" s="1"/>
  <c r="CJ22" i="4" s="1"/>
  <c r="CJ23" i="4" s="1"/>
  <c r="CN4" i="4"/>
  <c r="CN5" i="4" s="1"/>
  <c r="CN6" i="4" s="1"/>
  <c r="CN7" i="4" s="1"/>
  <c r="CN8" i="4" s="1"/>
  <c r="CN9" i="4" s="1"/>
  <c r="CN10" i="4" s="1"/>
  <c r="CN11" i="4" s="1"/>
  <c r="CN12" i="4" s="1"/>
  <c r="CN13" i="4" s="1"/>
  <c r="CN14" i="4" s="1"/>
  <c r="CN15" i="4" s="1"/>
  <c r="CN16" i="4" s="1"/>
  <c r="CN17" i="4" s="1"/>
  <c r="CN18" i="4" s="1"/>
  <c r="CN19" i="4" s="1"/>
  <c r="CN20" i="4" s="1"/>
  <c r="CN21" i="4" s="1"/>
  <c r="CN22" i="4" s="1"/>
  <c r="CN23" i="4" s="1"/>
  <c r="CR4" i="4"/>
  <c r="CR5" i="4" s="1"/>
  <c r="CR6" i="4" s="1"/>
  <c r="CR7" i="4" s="1"/>
  <c r="CR8" i="4" s="1"/>
  <c r="CR9" i="4" s="1"/>
  <c r="CR10" i="4" s="1"/>
  <c r="CR11" i="4" s="1"/>
  <c r="CR12" i="4" s="1"/>
  <c r="CR13" i="4" s="1"/>
  <c r="CR14" i="4" s="1"/>
  <c r="CR15" i="4" s="1"/>
  <c r="CR16" i="4" s="1"/>
  <c r="CR17" i="4" s="1"/>
  <c r="CR18" i="4" s="1"/>
  <c r="CR19" i="4" s="1"/>
  <c r="CR20" i="4" s="1"/>
  <c r="CR21" i="4" s="1"/>
  <c r="CR22" i="4" s="1"/>
  <c r="CR23" i="4" s="1"/>
  <c r="CV4" i="4"/>
  <c r="CV5" i="4" s="1"/>
  <c r="CV6" i="4" s="1"/>
  <c r="CV7" i="4" s="1"/>
  <c r="CV8" i="4" s="1"/>
  <c r="CV9" i="4" s="1"/>
  <c r="CV10" i="4" s="1"/>
  <c r="CV11" i="4" s="1"/>
  <c r="CV12" i="4" s="1"/>
  <c r="CV13" i="4" s="1"/>
  <c r="CV14" i="4" s="1"/>
  <c r="CV15" i="4" s="1"/>
  <c r="CV16" i="4" s="1"/>
  <c r="CV17" i="4" s="1"/>
  <c r="CV18" i="4" s="1"/>
  <c r="CV19" i="4" s="1"/>
  <c r="CV20" i="4" s="1"/>
  <c r="CV21" i="4" s="1"/>
  <c r="CV22" i="4" s="1"/>
  <c r="CV23" i="4" s="1"/>
  <c r="CZ4" i="4"/>
  <c r="CZ5" i="4" s="1"/>
  <c r="CZ6" i="4" s="1"/>
  <c r="CZ7" i="4" s="1"/>
  <c r="CZ8" i="4" s="1"/>
  <c r="CZ9" i="4" s="1"/>
  <c r="CZ10" i="4" s="1"/>
  <c r="CZ11" i="4" s="1"/>
  <c r="CZ12" i="4" s="1"/>
  <c r="CZ13" i="4" s="1"/>
  <c r="CZ14" i="4" s="1"/>
  <c r="CZ15" i="4" s="1"/>
  <c r="CZ16" i="4" s="1"/>
  <c r="CZ17" i="4" s="1"/>
  <c r="CZ18" i="4" s="1"/>
  <c r="CZ19" i="4" s="1"/>
  <c r="CZ20" i="4" s="1"/>
  <c r="CZ21" i="4" s="1"/>
  <c r="CZ22" i="4" s="1"/>
  <c r="CZ23" i="4" s="1"/>
  <c r="DD4" i="4"/>
  <c r="DD5" i="4" s="1"/>
  <c r="DD6" i="4" s="1"/>
  <c r="DD7" i="4" s="1"/>
  <c r="DD8" i="4" s="1"/>
  <c r="DD9" i="4" s="1"/>
  <c r="DD10" i="4" s="1"/>
  <c r="DD11" i="4" s="1"/>
  <c r="DD12" i="4" s="1"/>
  <c r="DD13" i="4" s="1"/>
  <c r="DD14" i="4" s="1"/>
  <c r="DD15" i="4" s="1"/>
  <c r="DD16" i="4" s="1"/>
  <c r="DD17" i="4" s="1"/>
  <c r="DD18" i="4" s="1"/>
  <c r="DD19" i="4" s="1"/>
  <c r="DD20" i="4" s="1"/>
  <c r="DD21" i="4" s="1"/>
  <c r="DD22" i="4" s="1"/>
  <c r="DD23" i="4" s="1"/>
  <c r="DH4" i="4"/>
  <c r="DH5" i="4" s="1"/>
  <c r="DH6" i="4" s="1"/>
  <c r="DH7" i="4" s="1"/>
  <c r="DH8" i="4" s="1"/>
  <c r="DH9" i="4" s="1"/>
  <c r="DH10" i="4" s="1"/>
  <c r="DH11" i="4" s="1"/>
  <c r="DH12" i="4" s="1"/>
  <c r="DH13" i="4" s="1"/>
  <c r="DH14" i="4" s="1"/>
  <c r="DH15" i="4" s="1"/>
  <c r="DH16" i="4" s="1"/>
  <c r="DH17" i="4" s="1"/>
  <c r="DH18" i="4" s="1"/>
  <c r="DH19" i="4" s="1"/>
  <c r="DH20" i="4" s="1"/>
  <c r="DH21" i="4" s="1"/>
  <c r="DH22" i="4" s="1"/>
  <c r="DH23" i="4" s="1"/>
  <c r="DL4" i="4"/>
  <c r="DL5" i="4" s="1"/>
  <c r="DL6" i="4" s="1"/>
  <c r="DL7" i="4" s="1"/>
  <c r="DL8" i="4" s="1"/>
  <c r="DL9" i="4" s="1"/>
  <c r="DL10" i="4" s="1"/>
  <c r="DL11" i="4" s="1"/>
  <c r="DL12" i="4" s="1"/>
  <c r="DL13" i="4" s="1"/>
  <c r="DL14" i="4" s="1"/>
  <c r="DL15" i="4" s="1"/>
  <c r="DL16" i="4" s="1"/>
  <c r="DL17" i="4" s="1"/>
  <c r="DL18" i="4" s="1"/>
  <c r="DL19" i="4" s="1"/>
  <c r="DL20" i="4" s="1"/>
  <c r="DL21" i="4" s="1"/>
  <c r="DL22" i="4" s="1"/>
  <c r="DL23" i="4" s="1"/>
  <c r="DP4" i="4"/>
  <c r="DP5" i="4" s="1"/>
  <c r="DP6" i="4" s="1"/>
  <c r="DP7" i="4" s="1"/>
  <c r="DP8" i="4" s="1"/>
  <c r="DP9" i="4" s="1"/>
  <c r="DP10" i="4" s="1"/>
  <c r="DP11" i="4" s="1"/>
  <c r="DP12" i="4" s="1"/>
  <c r="DP13" i="4" s="1"/>
  <c r="DP14" i="4" s="1"/>
  <c r="DP15" i="4" s="1"/>
  <c r="DP16" i="4" s="1"/>
  <c r="DP17" i="4" s="1"/>
  <c r="DP18" i="4" s="1"/>
  <c r="DP19" i="4" s="1"/>
  <c r="DP20" i="4" s="1"/>
  <c r="DP21" i="4" s="1"/>
  <c r="DP22" i="4" s="1"/>
  <c r="DP23" i="4" s="1"/>
  <c r="DT4" i="4"/>
  <c r="DT5" i="4" s="1"/>
  <c r="DT6" i="4" s="1"/>
  <c r="DT7" i="4" s="1"/>
  <c r="DT8" i="4" s="1"/>
  <c r="DT9" i="4" s="1"/>
  <c r="DT10" i="4" s="1"/>
  <c r="DT11" i="4" s="1"/>
  <c r="DT12" i="4" s="1"/>
  <c r="DT13" i="4" s="1"/>
  <c r="DT14" i="4" s="1"/>
  <c r="DT15" i="4" s="1"/>
  <c r="DT16" i="4" s="1"/>
  <c r="DT17" i="4" s="1"/>
  <c r="DT18" i="4" s="1"/>
  <c r="DT19" i="4" s="1"/>
  <c r="DT20" i="4" s="1"/>
  <c r="DT21" i="4" s="1"/>
  <c r="DT22" i="4" s="1"/>
  <c r="DT23" i="4" s="1"/>
  <c r="DX4" i="4"/>
  <c r="DX5" i="4" s="1"/>
  <c r="DX6" i="4" s="1"/>
  <c r="DX7" i="4" s="1"/>
  <c r="DX8" i="4" s="1"/>
  <c r="DX9" i="4" s="1"/>
  <c r="DX10" i="4" s="1"/>
  <c r="DX11" i="4" s="1"/>
  <c r="DX12" i="4" s="1"/>
  <c r="DX13" i="4" s="1"/>
  <c r="DX14" i="4" s="1"/>
  <c r="DX15" i="4" s="1"/>
  <c r="DX16" i="4" s="1"/>
  <c r="DX17" i="4" s="1"/>
  <c r="DX18" i="4" s="1"/>
  <c r="DX19" i="4" s="1"/>
  <c r="DX20" i="4" s="1"/>
  <c r="DX21" i="4" s="1"/>
  <c r="DX22" i="4" s="1"/>
  <c r="DX23" i="4" s="1"/>
  <c r="EB4" i="4"/>
  <c r="EB5" i="4" s="1"/>
  <c r="EB6" i="4" s="1"/>
  <c r="EB7" i="4" s="1"/>
  <c r="EB8" i="4" s="1"/>
  <c r="EB9" i="4" s="1"/>
  <c r="EB10" i="4" s="1"/>
  <c r="EB11" i="4" s="1"/>
  <c r="EB12" i="4" s="1"/>
  <c r="EB13" i="4" s="1"/>
  <c r="EB14" i="4" s="1"/>
  <c r="EB15" i="4" s="1"/>
  <c r="EB16" i="4" s="1"/>
  <c r="EB17" i="4" s="1"/>
  <c r="EB18" i="4" s="1"/>
  <c r="EB19" i="4" s="1"/>
  <c r="EB20" i="4" s="1"/>
  <c r="EB21" i="4" s="1"/>
  <c r="EB22" i="4" s="1"/>
  <c r="EB23" i="4" s="1"/>
  <c r="EF4" i="4"/>
  <c r="EF5" i="4" s="1"/>
  <c r="EF6" i="4" s="1"/>
  <c r="EF7" i="4" s="1"/>
  <c r="EF8" i="4" s="1"/>
  <c r="EF9" i="4" s="1"/>
  <c r="EF10" i="4" s="1"/>
  <c r="EF11" i="4" s="1"/>
  <c r="EF12" i="4" s="1"/>
  <c r="EF13" i="4" s="1"/>
  <c r="EF14" i="4" s="1"/>
  <c r="EF15" i="4" s="1"/>
  <c r="EF16" i="4" s="1"/>
  <c r="EF17" i="4" s="1"/>
  <c r="EF18" i="4" s="1"/>
  <c r="EF19" i="4" s="1"/>
  <c r="EF20" i="4" s="1"/>
  <c r="EF21" i="4" s="1"/>
  <c r="EF22" i="4" s="1"/>
  <c r="EF23" i="4" s="1"/>
  <c r="EJ4" i="4"/>
  <c r="EJ5" i="4" s="1"/>
  <c r="EJ6" i="4" s="1"/>
  <c r="EJ7" i="4" s="1"/>
  <c r="EJ8" i="4" s="1"/>
  <c r="EJ9" i="4" s="1"/>
  <c r="EJ10" i="4" s="1"/>
  <c r="EJ11" i="4" s="1"/>
  <c r="EJ12" i="4" s="1"/>
  <c r="EJ13" i="4" s="1"/>
  <c r="EJ14" i="4" s="1"/>
  <c r="EJ15" i="4" s="1"/>
  <c r="EJ16" i="4" s="1"/>
  <c r="EJ17" i="4" s="1"/>
  <c r="EJ18" i="4" s="1"/>
  <c r="EJ19" i="4" s="1"/>
  <c r="EJ20" i="4" s="1"/>
  <c r="EJ21" i="4" s="1"/>
  <c r="EJ22" i="4" s="1"/>
  <c r="EJ23" i="4" s="1"/>
  <c r="EN4" i="4"/>
  <c r="EN5" i="4" s="1"/>
  <c r="EN6" i="4" s="1"/>
  <c r="EN7" i="4" s="1"/>
  <c r="EN8" i="4" s="1"/>
  <c r="EN9" i="4" s="1"/>
  <c r="EN10" i="4" s="1"/>
  <c r="EN11" i="4" s="1"/>
  <c r="EN12" i="4" s="1"/>
  <c r="EN13" i="4" s="1"/>
  <c r="EN14" i="4" s="1"/>
  <c r="EN15" i="4" s="1"/>
  <c r="EN16" i="4" s="1"/>
  <c r="EN17" i="4" s="1"/>
  <c r="EN18" i="4" s="1"/>
  <c r="EN19" i="4" s="1"/>
  <c r="EN20" i="4" s="1"/>
  <c r="EN21" i="4" s="1"/>
  <c r="EN22" i="4" s="1"/>
  <c r="EN23" i="4" s="1"/>
  <c r="ER4" i="4"/>
  <c r="ER5" i="4" s="1"/>
  <c r="ER6" i="4" s="1"/>
  <c r="ER7" i="4" s="1"/>
  <c r="ER8" i="4" s="1"/>
  <c r="ER9" i="4" s="1"/>
  <c r="ER10" i="4" s="1"/>
  <c r="ER11" i="4" s="1"/>
  <c r="ER12" i="4" s="1"/>
  <c r="ER13" i="4" s="1"/>
  <c r="ER14" i="4" s="1"/>
  <c r="ER15" i="4" s="1"/>
  <c r="ER16" i="4" s="1"/>
  <c r="ER17" i="4" s="1"/>
  <c r="ER18" i="4" s="1"/>
  <c r="ER19" i="4" s="1"/>
  <c r="ER20" i="4" s="1"/>
  <c r="ER21" i="4" s="1"/>
  <c r="ER22" i="4" s="1"/>
  <c r="ER23" i="4" s="1"/>
  <c r="EV4" i="4"/>
  <c r="EV5" i="4" s="1"/>
  <c r="EV6" i="4" s="1"/>
  <c r="EV7" i="4" s="1"/>
  <c r="EV8" i="4" s="1"/>
  <c r="EV9" i="4" s="1"/>
  <c r="EV10" i="4" s="1"/>
  <c r="EV11" i="4" s="1"/>
  <c r="EV12" i="4" s="1"/>
  <c r="EV13" i="4" s="1"/>
  <c r="EV14" i="4" s="1"/>
  <c r="EV15" i="4" s="1"/>
  <c r="EV16" i="4" s="1"/>
  <c r="EV17" i="4" s="1"/>
  <c r="EV18" i="4" s="1"/>
  <c r="EV19" i="4" s="1"/>
  <c r="EV20" i="4" s="1"/>
  <c r="EV21" i="4" s="1"/>
  <c r="EV22" i="4" s="1"/>
  <c r="EV23" i="4" s="1"/>
  <c r="J4" i="4"/>
  <c r="M4" i="4"/>
  <c r="M5" i="4" s="1"/>
  <c r="M6" i="4" s="1"/>
  <c r="M7" i="4" s="1"/>
  <c r="M8" i="4" s="1"/>
  <c r="M9" i="4" s="1"/>
  <c r="M10" i="4" s="1"/>
  <c r="M11" i="4" s="1"/>
  <c r="M12" i="4" s="1"/>
  <c r="M13" i="4" s="1"/>
  <c r="M14" i="4" s="1"/>
  <c r="M15" i="4" s="1"/>
  <c r="M16" i="4" s="1"/>
  <c r="M17" i="4" s="1"/>
  <c r="M18" i="4" s="1"/>
  <c r="M19" i="4" s="1"/>
  <c r="M20" i="4" s="1"/>
  <c r="M21" i="4" s="1"/>
  <c r="M22" i="4" s="1"/>
  <c r="M23" i="4" s="1"/>
  <c r="Q4" i="4"/>
  <c r="Q5" i="4" s="1"/>
  <c r="Q6" i="4" s="1"/>
  <c r="Q7" i="4" s="1"/>
  <c r="Q8" i="4" s="1"/>
  <c r="Q9" i="4" s="1"/>
  <c r="Q10" i="4" s="1"/>
  <c r="Q11" i="4" s="1"/>
  <c r="Q12" i="4" s="1"/>
  <c r="Q13" i="4" s="1"/>
  <c r="Q14" i="4" s="1"/>
  <c r="Q15" i="4" s="1"/>
  <c r="Q16" i="4" s="1"/>
  <c r="Q17" i="4" s="1"/>
  <c r="Q18" i="4" s="1"/>
  <c r="Q19" i="4" s="1"/>
  <c r="Q20" i="4" s="1"/>
  <c r="Q21" i="4" s="1"/>
  <c r="Q22" i="4" s="1"/>
  <c r="Q23" i="4" s="1"/>
  <c r="U4" i="4"/>
  <c r="U5" i="4" s="1"/>
  <c r="U6" i="4" s="1"/>
  <c r="U7" i="4" s="1"/>
  <c r="U8" i="4" s="1"/>
  <c r="U9" i="4" s="1"/>
  <c r="U10" i="4" s="1"/>
  <c r="U11" i="4" s="1"/>
  <c r="U12" i="4" s="1"/>
  <c r="U13" i="4" s="1"/>
  <c r="U14" i="4" s="1"/>
  <c r="U15" i="4" s="1"/>
  <c r="U16" i="4" s="1"/>
  <c r="U17" i="4" s="1"/>
  <c r="U18" i="4" s="1"/>
  <c r="U19" i="4" s="1"/>
  <c r="U20" i="4" s="1"/>
  <c r="U21" i="4" s="1"/>
  <c r="U22" i="4" s="1"/>
  <c r="U23" i="4" s="1"/>
  <c r="Y4" i="4"/>
  <c r="Y5" i="4" s="1"/>
  <c r="Y6" i="4" s="1"/>
  <c r="Y7" i="4" s="1"/>
  <c r="Y8" i="4" s="1"/>
  <c r="Y9" i="4" s="1"/>
  <c r="Y10" i="4" s="1"/>
  <c r="Y11" i="4" s="1"/>
  <c r="Y12" i="4" s="1"/>
  <c r="Y13" i="4" s="1"/>
  <c r="Y14" i="4" s="1"/>
  <c r="Y15" i="4" s="1"/>
  <c r="Y16" i="4" s="1"/>
  <c r="Y17" i="4" s="1"/>
  <c r="Y18" i="4" s="1"/>
  <c r="Y19" i="4" s="1"/>
  <c r="Y20" i="4" s="1"/>
  <c r="Y21" i="4" s="1"/>
  <c r="Y22" i="4" s="1"/>
  <c r="Y23" i="4" s="1"/>
  <c r="AC4" i="4"/>
  <c r="AC5" i="4" s="1"/>
  <c r="AC6" i="4" s="1"/>
  <c r="AC7" i="4" s="1"/>
  <c r="AC8" i="4" s="1"/>
  <c r="AC9" i="4" s="1"/>
  <c r="AC10" i="4" s="1"/>
  <c r="AC11" i="4" s="1"/>
  <c r="AC12" i="4" s="1"/>
  <c r="AC13" i="4" s="1"/>
  <c r="AC14" i="4" s="1"/>
  <c r="AC15" i="4" s="1"/>
  <c r="AC16" i="4" s="1"/>
  <c r="AC17" i="4" s="1"/>
  <c r="AC18" i="4" s="1"/>
  <c r="AC19" i="4" s="1"/>
  <c r="AC20" i="4" s="1"/>
  <c r="AC21" i="4" s="1"/>
  <c r="AC22" i="4" s="1"/>
  <c r="AC23" i="4" s="1"/>
  <c r="AG4" i="4"/>
  <c r="AG5" i="4" s="1"/>
  <c r="AG6" i="4" s="1"/>
  <c r="AG7" i="4" s="1"/>
  <c r="AG8" i="4" s="1"/>
  <c r="AG9" i="4" s="1"/>
  <c r="AG10" i="4" s="1"/>
  <c r="AG11" i="4" s="1"/>
  <c r="AG12" i="4" s="1"/>
  <c r="AG13" i="4" s="1"/>
  <c r="AG14" i="4" s="1"/>
  <c r="AG15" i="4" s="1"/>
  <c r="AG16" i="4" s="1"/>
  <c r="AG17" i="4" s="1"/>
  <c r="AG18" i="4" s="1"/>
  <c r="AG19" i="4" s="1"/>
  <c r="AG20" i="4" s="1"/>
  <c r="AG21" i="4" s="1"/>
  <c r="AG22" i="4" s="1"/>
  <c r="AG23" i="4" s="1"/>
  <c r="AK4" i="4"/>
  <c r="AK5" i="4" s="1"/>
  <c r="AK6" i="4" s="1"/>
  <c r="AK7" i="4" s="1"/>
  <c r="AK8" i="4" s="1"/>
  <c r="AK9" i="4" s="1"/>
  <c r="AK10" i="4" s="1"/>
  <c r="AK11" i="4" s="1"/>
  <c r="AK12" i="4" s="1"/>
  <c r="AK13" i="4" s="1"/>
  <c r="AK14" i="4" s="1"/>
  <c r="AK15" i="4" s="1"/>
  <c r="AK16" i="4" s="1"/>
  <c r="AK17" i="4" s="1"/>
  <c r="AK18" i="4" s="1"/>
  <c r="AK19" i="4" s="1"/>
  <c r="AK20" i="4" s="1"/>
  <c r="AK21" i="4" s="1"/>
  <c r="AK22" i="4" s="1"/>
  <c r="AK23" i="4" s="1"/>
  <c r="AO4" i="4"/>
  <c r="AO5" i="4" s="1"/>
  <c r="AO6" i="4" s="1"/>
  <c r="AO7" i="4" s="1"/>
  <c r="AO8" i="4" s="1"/>
  <c r="AO9" i="4" s="1"/>
  <c r="AO10" i="4" s="1"/>
  <c r="AO11" i="4" s="1"/>
  <c r="AO12" i="4" s="1"/>
  <c r="AO13" i="4" s="1"/>
  <c r="AO14" i="4" s="1"/>
  <c r="AO15" i="4" s="1"/>
  <c r="AO16" i="4" s="1"/>
  <c r="AO17" i="4" s="1"/>
  <c r="AO18" i="4" s="1"/>
  <c r="AO19" i="4" s="1"/>
  <c r="AO20" i="4" s="1"/>
  <c r="AO21" i="4" s="1"/>
  <c r="AO22" i="4" s="1"/>
  <c r="AO23" i="4" s="1"/>
  <c r="AS4" i="4"/>
  <c r="AS5" i="4" s="1"/>
  <c r="AS6" i="4" s="1"/>
  <c r="AS7" i="4" s="1"/>
  <c r="AS8" i="4" s="1"/>
  <c r="AS9" i="4" s="1"/>
  <c r="AS10" i="4" s="1"/>
  <c r="AS11" i="4" s="1"/>
  <c r="AS12" i="4" s="1"/>
  <c r="AS13" i="4" s="1"/>
  <c r="AS14" i="4" s="1"/>
  <c r="AS15" i="4" s="1"/>
  <c r="AS16" i="4" s="1"/>
  <c r="AS17" i="4" s="1"/>
  <c r="AS18" i="4" s="1"/>
  <c r="AS19" i="4" s="1"/>
  <c r="AS20" i="4" s="1"/>
  <c r="AS21" i="4" s="1"/>
  <c r="AS22" i="4" s="1"/>
  <c r="AS23" i="4" s="1"/>
  <c r="AW4" i="4"/>
  <c r="AW5" i="4" s="1"/>
  <c r="AW6" i="4" s="1"/>
  <c r="AW7" i="4" s="1"/>
  <c r="AW8" i="4" s="1"/>
  <c r="AW9" i="4" s="1"/>
  <c r="AW10" i="4" s="1"/>
  <c r="AW11" i="4" s="1"/>
  <c r="AW12" i="4" s="1"/>
  <c r="AW13" i="4" s="1"/>
  <c r="AW14" i="4" s="1"/>
  <c r="AW15" i="4" s="1"/>
  <c r="AW16" i="4" s="1"/>
  <c r="AW17" i="4" s="1"/>
  <c r="AW18" i="4" s="1"/>
  <c r="AW19" i="4" s="1"/>
  <c r="AW20" i="4" s="1"/>
  <c r="AW21" i="4" s="1"/>
  <c r="AW22" i="4" s="1"/>
  <c r="AW23" i="4" s="1"/>
  <c r="BA4" i="4"/>
  <c r="BA5" i="4" s="1"/>
  <c r="BA6" i="4" s="1"/>
  <c r="BA7" i="4" s="1"/>
  <c r="BA8" i="4" s="1"/>
  <c r="BA9" i="4" s="1"/>
  <c r="BA10" i="4" s="1"/>
  <c r="BA11" i="4" s="1"/>
  <c r="BA12" i="4" s="1"/>
  <c r="BA13" i="4" s="1"/>
  <c r="BA14" i="4" s="1"/>
  <c r="BA15" i="4" s="1"/>
  <c r="BA16" i="4" s="1"/>
  <c r="BA17" i="4" s="1"/>
  <c r="BA18" i="4" s="1"/>
  <c r="BA19" i="4" s="1"/>
  <c r="BA20" i="4" s="1"/>
  <c r="BA21" i="4" s="1"/>
  <c r="BA22" i="4" s="1"/>
  <c r="BA23" i="4" s="1"/>
  <c r="BE4" i="4"/>
  <c r="BE5" i="4" s="1"/>
  <c r="BE6" i="4" s="1"/>
  <c r="BE7" i="4" s="1"/>
  <c r="BE8" i="4" s="1"/>
  <c r="BE9" i="4" s="1"/>
  <c r="BE10" i="4" s="1"/>
  <c r="BE11" i="4" s="1"/>
  <c r="BE12" i="4" s="1"/>
  <c r="BE13" i="4" s="1"/>
  <c r="BE14" i="4" s="1"/>
  <c r="BE15" i="4" s="1"/>
  <c r="BE16" i="4" s="1"/>
  <c r="BE17" i="4" s="1"/>
  <c r="BE18" i="4" s="1"/>
  <c r="BE19" i="4" s="1"/>
  <c r="BE20" i="4" s="1"/>
  <c r="BE21" i="4" s="1"/>
  <c r="BE22" i="4" s="1"/>
  <c r="BE23" i="4" s="1"/>
  <c r="BI4" i="4"/>
  <c r="BI5" i="4" s="1"/>
  <c r="BI6" i="4" s="1"/>
  <c r="BI7" i="4" s="1"/>
  <c r="BI8" i="4" s="1"/>
  <c r="BI9" i="4" s="1"/>
  <c r="BI10" i="4" s="1"/>
  <c r="BI11" i="4" s="1"/>
  <c r="BI12" i="4" s="1"/>
  <c r="BI13" i="4" s="1"/>
  <c r="BI14" i="4" s="1"/>
  <c r="BI15" i="4" s="1"/>
  <c r="BI16" i="4" s="1"/>
  <c r="BI17" i="4" s="1"/>
  <c r="BI18" i="4" s="1"/>
  <c r="BI19" i="4" s="1"/>
  <c r="BI20" i="4" s="1"/>
  <c r="BI21" i="4" s="1"/>
  <c r="BI22" i="4" s="1"/>
  <c r="BI23" i="4" s="1"/>
  <c r="BM4" i="4"/>
  <c r="BM5" i="4" s="1"/>
  <c r="BM6" i="4" s="1"/>
  <c r="BM7" i="4" s="1"/>
  <c r="BM8" i="4" s="1"/>
  <c r="BM9" i="4" s="1"/>
  <c r="BM10" i="4" s="1"/>
  <c r="BM11" i="4" s="1"/>
  <c r="BM12" i="4" s="1"/>
  <c r="BM13" i="4" s="1"/>
  <c r="BM14" i="4" s="1"/>
  <c r="BM15" i="4" s="1"/>
  <c r="BM16" i="4" s="1"/>
  <c r="BM17" i="4" s="1"/>
  <c r="BM18" i="4" s="1"/>
  <c r="BM19" i="4" s="1"/>
  <c r="BM20" i="4" s="1"/>
  <c r="BM21" i="4" s="1"/>
  <c r="BM22" i="4" s="1"/>
  <c r="BM23" i="4" s="1"/>
  <c r="BQ4" i="4"/>
  <c r="BQ5" i="4" s="1"/>
  <c r="BQ6" i="4" s="1"/>
  <c r="BQ7" i="4" s="1"/>
  <c r="BQ8" i="4" s="1"/>
  <c r="BQ9" i="4" s="1"/>
  <c r="BQ10" i="4" s="1"/>
  <c r="BQ11" i="4" s="1"/>
  <c r="BQ12" i="4" s="1"/>
  <c r="BQ13" i="4" s="1"/>
  <c r="BQ14" i="4" s="1"/>
  <c r="BQ15" i="4" s="1"/>
  <c r="BQ16" i="4" s="1"/>
  <c r="BQ17" i="4" s="1"/>
  <c r="BQ18" i="4" s="1"/>
  <c r="BQ19" i="4" s="1"/>
  <c r="BQ20" i="4" s="1"/>
  <c r="BQ21" i="4" s="1"/>
  <c r="BQ22" i="4" s="1"/>
  <c r="BQ23" i="4" s="1"/>
  <c r="BU4" i="4"/>
  <c r="BU5" i="4" s="1"/>
  <c r="BU6" i="4" s="1"/>
  <c r="BU7" i="4" s="1"/>
  <c r="BU8" i="4" s="1"/>
  <c r="BU9" i="4" s="1"/>
  <c r="BU10" i="4" s="1"/>
  <c r="BU11" i="4" s="1"/>
  <c r="BU12" i="4" s="1"/>
  <c r="BU13" i="4" s="1"/>
  <c r="BU14" i="4" s="1"/>
  <c r="BU15" i="4" s="1"/>
  <c r="BU16" i="4" s="1"/>
  <c r="BU17" i="4" s="1"/>
  <c r="BU18" i="4" s="1"/>
  <c r="BU19" i="4" s="1"/>
  <c r="BU20" i="4" s="1"/>
  <c r="BU21" i="4" s="1"/>
  <c r="BU22" i="4" s="1"/>
  <c r="BU23" i="4" s="1"/>
  <c r="BY4" i="4"/>
  <c r="BY5" i="4" s="1"/>
  <c r="BY6" i="4" s="1"/>
  <c r="BY7" i="4" s="1"/>
  <c r="BY8" i="4" s="1"/>
  <c r="BY9" i="4" s="1"/>
  <c r="BY10" i="4" s="1"/>
  <c r="BY11" i="4" s="1"/>
  <c r="BY12" i="4" s="1"/>
  <c r="BY13" i="4" s="1"/>
  <c r="BY14" i="4" s="1"/>
  <c r="BY15" i="4" s="1"/>
  <c r="BY16" i="4" s="1"/>
  <c r="BY17" i="4" s="1"/>
  <c r="BY18" i="4" s="1"/>
  <c r="BY19" i="4" s="1"/>
  <c r="BY20" i="4" s="1"/>
  <c r="BY21" i="4" s="1"/>
  <c r="BY22" i="4" s="1"/>
  <c r="BY23" i="4" s="1"/>
  <c r="CC4" i="4"/>
  <c r="CC5" i="4" s="1"/>
  <c r="CC6" i="4" s="1"/>
  <c r="CC7" i="4" s="1"/>
  <c r="CC8" i="4" s="1"/>
  <c r="CC9" i="4" s="1"/>
  <c r="CC10" i="4" s="1"/>
  <c r="CC11" i="4" s="1"/>
  <c r="CC12" i="4" s="1"/>
  <c r="CC13" i="4" s="1"/>
  <c r="CC14" i="4" s="1"/>
  <c r="CC15" i="4" s="1"/>
  <c r="CC16" i="4" s="1"/>
  <c r="CC17" i="4" s="1"/>
  <c r="CC18" i="4" s="1"/>
  <c r="CC19" i="4" s="1"/>
  <c r="CC20" i="4" s="1"/>
  <c r="CC21" i="4" s="1"/>
  <c r="CC22" i="4" s="1"/>
  <c r="CC23" i="4" s="1"/>
  <c r="CG4" i="4"/>
  <c r="CG5" i="4" s="1"/>
  <c r="CG6" i="4" s="1"/>
  <c r="CG7" i="4" s="1"/>
  <c r="CG8" i="4" s="1"/>
  <c r="CG9" i="4" s="1"/>
  <c r="CG10" i="4" s="1"/>
  <c r="CG11" i="4" s="1"/>
  <c r="CG12" i="4" s="1"/>
  <c r="CG13" i="4" s="1"/>
  <c r="CG14" i="4" s="1"/>
  <c r="CG15" i="4" s="1"/>
  <c r="CG16" i="4" s="1"/>
  <c r="CG17" i="4" s="1"/>
  <c r="CG18" i="4" s="1"/>
  <c r="CG19" i="4" s="1"/>
  <c r="CG20" i="4" s="1"/>
  <c r="CG21" i="4" s="1"/>
  <c r="CG22" i="4" s="1"/>
  <c r="CG23" i="4" s="1"/>
  <c r="CK4" i="4"/>
  <c r="CK5" i="4" s="1"/>
  <c r="CK6" i="4" s="1"/>
  <c r="CK7" i="4" s="1"/>
  <c r="CK8" i="4" s="1"/>
  <c r="CK9" i="4" s="1"/>
  <c r="CK10" i="4" s="1"/>
  <c r="CK11" i="4" s="1"/>
  <c r="CK12" i="4" s="1"/>
  <c r="CK13" i="4" s="1"/>
  <c r="CK14" i="4" s="1"/>
  <c r="CK15" i="4" s="1"/>
  <c r="CK16" i="4" s="1"/>
  <c r="CK17" i="4" s="1"/>
  <c r="CK18" i="4" s="1"/>
  <c r="CK19" i="4" s="1"/>
  <c r="CK20" i="4" s="1"/>
  <c r="CK21" i="4" s="1"/>
  <c r="CK22" i="4" s="1"/>
  <c r="CK23" i="4" s="1"/>
  <c r="CO4" i="4"/>
  <c r="CO5" i="4" s="1"/>
  <c r="CO6" i="4" s="1"/>
  <c r="CO7" i="4" s="1"/>
  <c r="CO8" i="4" s="1"/>
  <c r="CO9" i="4" s="1"/>
  <c r="CO10" i="4" s="1"/>
  <c r="CO11" i="4" s="1"/>
  <c r="CO12" i="4" s="1"/>
  <c r="CO13" i="4" s="1"/>
  <c r="CO14" i="4" s="1"/>
  <c r="CO15" i="4" s="1"/>
  <c r="CO16" i="4" s="1"/>
  <c r="CO17" i="4" s="1"/>
  <c r="CO18" i="4" s="1"/>
  <c r="CO19" i="4" s="1"/>
  <c r="CO20" i="4" s="1"/>
  <c r="CO21" i="4" s="1"/>
  <c r="CO22" i="4" s="1"/>
  <c r="CO23" i="4" s="1"/>
  <c r="CS4" i="4"/>
  <c r="CS5" i="4" s="1"/>
  <c r="CS6" i="4" s="1"/>
  <c r="CS7" i="4" s="1"/>
  <c r="CS8" i="4" s="1"/>
  <c r="CS9" i="4" s="1"/>
  <c r="CS10" i="4" s="1"/>
  <c r="CS11" i="4" s="1"/>
  <c r="CS12" i="4" s="1"/>
  <c r="CS13" i="4" s="1"/>
  <c r="CS14" i="4" s="1"/>
  <c r="CS15" i="4" s="1"/>
  <c r="CS16" i="4" s="1"/>
  <c r="CS17" i="4" s="1"/>
  <c r="CS18" i="4" s="1"/>
  <c r="CS19" i="4" s="1"/>
  <c r="CS20" i="4" s="1"/>
  <c r="CS21" i="4" s="1"/>
  <c r="CS22" i="4" s="1"/>
  <c r="CS23" i="4" s="1"/>
  <c r="CW4" i="4"/>
  <c r="CW5" i="4" s="1"/>
  <c r="CW6" i="4" s="1"/>
  <c r="CW7" i="4" s="1"/>
  <c r="CW8" i="4" s="1"/>
  <c r="CW9" i="4" s="1"/>
  <c r="CW10" i="4" s="1"/>
  <c r="CW11" i="4" s="1"/>
  <c r="CW12" i="4" s="1"/>
  <c r="CW13" i="4" s="1"/>
  <c r="CW14" i="4" s="1"/>
  <c r="CW15" i="4" s="1"/>
  <c r="CW16" i="4" s="1"/>
  <c r="CW17" i="4" s="1"/>
  <c r="CW18" i="4" s="1"/>
  <c r="CW19" i="4" s="1"/>
  <c r="CW20" i="4" s="1"/>
  <c r="CW21" i="4" s="1"/>
  <c r="CW22" i="4" s="1"/>
  <c r="CW23" i="4" s="1"/>
  <c r="DA4" i="4"/>
  <c r="DA5" i="4" s="1"/>
  <c r="DA6" i="4" s="1"/>
  <c r="DA7" i="4" s="1"/>
  <c r="DA8" i="4" s="1"/>
  <c r="DA9" i="4" s="1"/>
  <c r="DA10" i="4" s="1"/>
  <c r="DA11" i="4" s="1"/>
  <c r="DA12" i="4" s="1"/>
  <c r="DA13" i="4" s="1"/>
  <c r="DA14" i="4" s="1"/>
  <c r="DA15" i="4" s="1"/>
  <c r="DA16" i="4" s="1"/>
  <c r="DA17" i="4" s="1"/>
  <c r="DA18" i="4" s="1"/>
  <c r="DA19" i="4" s="1"/>
  <c r="DA20" i="4" s="1"/>
  <c r="DA21" i="4" s="1"/>
  <c r="DA22" i="4" s="1"/>
  <c r="DA23" i="4" s="1"/>
  <c r="DE4" i="4"/>
  <c r="DE5" i="4" s="1"/>
  <c r="DE6" i="4" s="1"/>
  <c r="DE7" i="4" s="1"/>
  <c r="DE8" i="4" s="1"/>
  <c r="DE9" i="4" s="1"/>
  <c r="DE10" i="4" s="1"/>
  <c r="DE11" i="4" s="1"/>
  <c r="DE12" i="4" s="1"/>
  <c r="DE13" i="4" s="1"/>
  <c r="DE14" i="4" s="1"/>
  <c r="DE15" i="4" s="1"/>
  <c r="DE16" i="4" s="1"/>
  <c r="DE17" i="4" s="1"/>
  <c r="DE18" i="4" s="1"/>
  <c r="DE19" i="4" s="1"/>
  <c r="DE20" i="4" s="1"/>
  <c r="DE21" i="4" s="1"/>
  <c r="DE22" i="4" s="1"/>
  <c r="DE23" i="4" s="1"/>
  <c r="DI4" i="4"/>
  <c r="DI5" i="4" s="1"/>
  <c r="DI6" i="4" s="1"/>
  <c r="DI7" i="4" s="1"/>
  <c r="DI8" i="4" s="1"/>
  <c r="DI9" i="4" s="1"/>
  <c r="DI10" i="4" s="1"/>
  <c r="DI11" i="4" s="1"/>
  <c r="DI12" i="4" s="1"/>
  <c r="DI13" i="4" s="1"/>
  <c r="DI14" i="4" s="1"/>
  <c r="DI15" i="4" s="1"/>
  <c r="DI16" i="4" s="1"/>
  <c r="DI17" i="4" s="1"/>
  <c r="DI18" i="4" s="1"/>
  <c r="DI19" i="4" s="1"/>
  <c r="DI20" i="4" s="1"/>
  <c r="DI21" i="4" s="1"/>
  <c r="DI22" i="4" s="1"/>
  <c r="DI23" i="4" s="1"/>
  <c r="DM4" i="4"/>
  <c r="DM5" i="4" s="1"/>
  <c r="DM6" i="4" s="1"/>
  <c r="DM7" i="4" s="1"/>
  <c r="DM8" i="4" s="1"/>
  <c r="DM9" i="4" s="1"/>
  <c r="DM10" i="4" s="1"/>
  <c r="DM11" i="4" s="1"/>
  <c r="DM12" i="4" s="1"/>
  <c r="DM13" i="4" s="1"/>
  <c r="DM14" i="4" s="1"/>
  <c r="DM15" i="4" s="1"/>
  <c r="DM16" i="4" s="1"/>
  <c r="DM17" i="4" s="1"/>
  <c r="DM18" i="4" s="1"/>
  <c r="DM19" i="4" s="1"/>
  <c r="DM20" i="4" s="1"/>
  <c r="DM21" i="4" s="1"/>
  <c r="DM22" i="4" s="1"/>
  <c r="DM23" i="4" s="1"/>
  <c r="DQ4" i="4"/>
  <c r="DQ5" i="4" s="1"/>
  <c r="DQ6" i="4" s="1"/>
  <c r="DQ7" i="4" s="1"/>
  <c r="DQ8" i="4" s="1"/>
  <c r="DQ9" i="4" s="1"/>
  <c r="DQ10" i="4" s="1"/>
  <c r="DQ11" i="4" s="1"/>
  <c r="DQ12" i="4" s="1"/>
  <c r="DQ13" i="4" s="1"/>
  <c r="DQ14" i="4" s="1"/>
  <c r="DQ15" i="4" s="1"/>
  <c r="DQ16" i="4" s="1"/>
  <c r="DQ17" i="4" s="1"/>
  <c r="DQ18" i="4" s="1"/>
  <c r="DQ19" i="4" s="1"/>
  <c r="DQ20" i="4" s="1"/>
  <c r="DQ21" i="4" s="1"/>
  <c r="DQ22" i="4" s="1"/>
  <c r="DQ23" i="4" s="1"/>
  <c r="DU4" i="4"/>
  <c r="DU5" i="4" s="1"/>
  <c r="DU6" i="4" s="1"/>
  <c r="DU7" i="4" s="1"/>
  <c r="DU8" i="4" s="1"/>
  <c r="DU9" i="4" s="1"/>
  <c r="DU10" i="4" s="1"/>
  <c r="DU11" i="4" s="1"/>
  <c r="DU12" i="4" s="1"/>
  <c r="DU13" i="4" s="1"/>
  <c r="DU14" i="4" s="1"/>
  <c r="DU15" i="4" s="1"/>
  <c r="DU16" i="4" s="1"/>
  <c r="DU17" i="4" s="1"/>
  <c r="DU18" i="4" s="1"/>
  <c r="DU19" i="4" s="1"/>
  <c r="DU20" i="4" s="1"/>
  <c r="DU21" i="4" s="1"/>
  <c r="DU22" i="4" s="1"/>
  <c r="DU23" i="4" s="1"/>
  <c r="DY4" i="4"/>
  <c r="DY5" i="4" s="1"/>
  <c r="DY6" i="4" s="1"/>
  <c r="DY7" i="4" s="1"/>
  <c r="DY8" i="4" s="1"/>
  <c r="DY9" i="4" s="1"/>
  <c r="DY10" i="4" s="1"/>
  <c r="DY11" i="4" s="1"/>
  <c r="DY12" i="4" s="1"/>
  <c r="DY13" i="4" s="1"/>
  <c r="DY14" i="4" s="1"/>
  <c r="DY15" i="4" s="1"/>
  <c r="DY16" i="4" s="1"/>
  <c r="DY17" i="4" s="1"/>
  <c r="DY18" i="4" s="1"/>
  <c r="DY19" i="4" s="1"/>
  <c r="DY20" i="4" s="1"/>
  <c r="DY21" i="4" s="1"/>
  <c r="DY22" i="4" s="1"/>
  <c r="DY23" i="4" s="1"/>
  <c r="EC4" i="4"/>
  <c r="EC5" i="4" s="1"/>
  <c r="EC6" i="4" s="1"/>
  <c r="EC7" i="4" s="1"/>
  <c r="EC8" i="4" s="1"/>
  <c r="EC9" i="4" s="1"/>
  <c r="EC10" i="4" s="1"/>
  <c r="EC11" i="4" s="1"/>
  <c r="EC12" i="4" s="1"/>
  <c r="EC13" i="4" s="1"/>
  <c r="EC14" i="4" s="1"/>
  <c r="EC15" i="4" s="1"/>
  <c r="EC16" i="4" s="1"/>
  <c r="EC17" i="4" s="1"/>
  <c r="EC18" i="4" s="1"/>
  <c r="EC19" i="4" s="1"/>
  <c r="EC20" i="4" s="1"/>
  <c r="EC21" i="4" s="1"/>
  <c r="EC22" i="4" s="1"/>
  <c r="EC23" i="4" s="1"/>
  <c r="EG4" i="4"/>
  <c r="EG5" i="4" s="1"/>
  <c r="EG6" i="4" s="1"/>
  <c r="EG7" i="4" s="1"/>
  <c r="EG8" i="4" s="1"/>
  <c r="EG9" i="4" s="1"/>
  <c r="EG10" i="4" s="1"/>
  <c r="EG11" i="4" s="1"/>
  <c r="EG12" i="4" s="1"/>
  <c r="EG13" i="4" s="1"/>
  <c r="EG14" i="4" s="1"/>
  <c r="EG15" i="4" s="1"/>
  <c r="EG16" i="4" s="1"/>
  <c r="EG17" i="4" s="1"/>
  <c r="EG18" i="4" s="1"/>
  <c r="EG19" i="4" s="1"/>
  <c r="EG20" i="4" s="1"/>
  <c r="EG21" i="4" s="1"/>
  <c r="EG22" i="4" s="1"/>
  <c r="EG23" i="4" s="1"/>
  <c r="EK4" i="4"/>
  <c r="EK5" i="4" s="1"/>
  <c r="EK6" i="4" s="1"/>
  <c r="EK7" i="4" s="1"/>
  <c r="EK8" i="4" s="1"/>
  <c r="EK9" i="4" s="1"/>
  <c r="EK10" i="4" s="1"/>
  <c r="EK11" i="4" s="1"/>
  <c r="EK12" i="4" s="1"/>
  <c r="EK13" i="4" s="1"/>
  <c r="EK14" i="4" s="1"/>
  <c r="EK15" i="4" s="1"/>
  <c r="EK16" i="4" s="1"/>
  <c r="EK17" i="4" s="1"/>
  <c r="EK18" i="4" s="1"/>
  <c r="EK19" i="4" s="1"/>
  <c r="EK20" i="4" s="1"/>
  <c r="EK21" i="4" s="1"/>
  <c r="EK22" i="4" s="1"/>
  <c r="EK23" i="4" s="1"/>
  <c r="EO4" i="4"/>
  <c r="EO5" i="4" s="1"/>
  <c r="EO6" i="4" s="1"/>
  <c r="EO7" i="4" s="1"/>
  <c r="EO8" i="4" s="1"/>
  <c r="EO9" i="4" s="1"/>
  <c r="EO10" i="4" s="1"/>
  <c r="EO11" i="4" s="1"/>
  <c r="EO12" i="4" s="1"/>
  <c r="EO13" i="4" s="1"/>
  <c r="EO14" i="4" s="1"/>
  <c r="EO15" i="4" s="1"/>
  <c r="EO16" i="4" s="1"/>
  <c r="EO17" i="4" s="1"/>
  <c r="EO18" i="4" s="1"/>
  <c r="EO19" i="4" s="1"/>
  <c r="EO20" i="4" s="1"/>
  <c r="EO21" i="4" s="1"/>
  <c r="EO22" i="4" s="1"/>
  <c r="EO23" i="4" s="1"/>
  <c r="ES4" i="4"/>
  <c r="ES5" i="4" s="1"/>
  <c r="ES6" i="4" s="1"/>
  <c r="ES7" i="4" s="1"/>
  <c r="ES8" i="4" s="1"/>
  <c r="ES9" i="4" s="1"/>
  <c r="ES10" i="4" s="1"/>
  <c r="ES11" i="4" s="1"/>
  <c r="ES12" i="4" s="1"/>
  <c r="ES13" i="4" s="1"/>
  <c r="ES14" i="4" s="1"/>
  <c r="ES15" i="4" s="1"/>
  <c r="ES16" i="4" s="1"/>
  <c r="ES17" i="4" s="1"/>
  <c r="ES18" i="4" s="1"/>
  <c r="ES19" i="4" s="1"/>
  <c r="ES20" i="4" s="1"/>
  <c r="ES21" i="4" s="1"/>
  <c r="ES22" i="4" s="1"/>
  <c r="ES23" i="4" s="1"/>
  <c r="EW4" i="4"/>
  <c r="EW5" i="4" s="1"/>
  <c r="EW6" i="4" s="1"/>
  <c r="EW7" i="4" s="1"/>
  <c r="EW8" i="4" s="1"/>
  <c r="EW9" i="4" s="1"/>
  <c r="EW10" i="4" s="1"/>
  <c r="EW11" i="4" s="1"/>
  <c r="EW12" i="4" s="1"/>
  <c r="EW13" i="4" s="1"/>
  <c r="EW14" i="4" s="1"/>
  <c r="EW15" i="4" s="1"/>
  <c r="EW16" i="4" s="1"/>
  <c r="EW17" i="4" s="1"/>
  <c r="EW18" i="4" s="1"/>
  <c r="EW19" i="4" s="1"/>
  <c r="EW20" i="4" s="1"/>
  <c r="EW21" i="4" s="1"/>
  <c r="EW22" i="4" s="1"/>
  <c r="EW23" i="4" s="1"/>
  <c r="N4" i="4"/>
  <c r="N5" i="4" s="1"/>
  <c r="N6" i="4" s="1"/>
  <c r="N7" i="4" s="1"/>
  <c r="N8" i="4" s="1"/>
  <c r="N9" i="4" s="1"/>
  <c r="N10" i="4" s="1"/>
  <c r="N11" i="4" s="1"/>
  <c r="N12" i="4" s="1"/>
  <c r="N13" i="4" s="1"/>
  <c r="N14" i="4" s="1"/>
  <c r="N15" i="4" s="1"/>
  <c r="N16" i="4" s="1"/>
  <c r="N17" i="4" s="1"/>
  <c r="N18" i="4" s="1"/>
  <c r="N19" i="4" s="1"/>
  <c r="N20" i="4" s="1"/>
  <c r="N21" i="4" s="1"/>
  <c r="N22" i="4" s="1"/>
  <c r="N23" i="4" s="1"/>
  <c r="R4" i="4"/>
  <c r="R5" i="4" s="1"/>
  <c r="R6" i="4" s="1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V4" i="4"/>
  <c r="V5" i="4" s="1"/>
  <c r="V6" i="4" s="1"/>
  <c r="V7" i="4" s="1"/>
  <c r="V8" i="4" s="1"/>
  <c r="V9" i="4" s="1"/>
  <c r="V10" i="4" s="1"/>
  <c r="V11" i="4" s="1"/>
  <c r="V12" i="4" s="1"/>
  <c r="V13" i="4" s="1"/>
  <c r="V14" i="4" s="1"/>
  <c r="V15" i="4" s="1"/>
  <c r="V16" i="4" s="1"/>
  <c r="V17" i="4" s="1"/>
  <c r="V18" i="4" s="1"/>
  <c r="V19" i="4" s="1"/>
  <c r="V20" i="4" s="1"/>
  <c r="V21" i="4" s="1"/>
  <c r="V22" i="4" s="1"/>
  <c r="V23" i="4" s="1"/>
  <c r="Z4" i="4"/>
  <c r="Z5" i="4" s="1"/>
  <c r="Z6" i="4" s="1"/>
  <c r="Z7" i="4" s="1"/>
  <c r="Z8" i="4" s="1"/>
  <c r="Z9" i="4" s="1"/>
  <c r="Z10" i="4" s="1"/>
  <c r="Z11" i="4" s="1"/>
  <c r="Z12" i="4" s="1"/>
  <c r="Z13" i="4" s="1"/>
  <c r="Z14" i="4" s="1"/>
  <c r="Z15" i="4" s="1"/>
  <c r="Z16" i="4" s="1"/>
  <c r="Z17" i="4" s="1"/>
  <c r="Z18" i="4" s="1"/>
  <c r="Z19" i="4" s="1"/>
  <c r="Z20" i="4" s="1"/>
  <c r="Z21" i="4" s="1"/>
  <c r="Z22" i="4" s="1"/>
  <c r="Z23" i="4" s="1"/>
  <c r="AD4" i="4"/>
  <c r="AD5" i="4" s="1"/>
  <c r="AD6" i="4" s="1"/>
  <c r="AD7" i="4" s="1"/>
  <c r="AD8" i="4" s="1"/>
  <c r="AD9" i="4" s="1"/>
  <c r="AD10" i="4" s="1"/>
  <c r="AD11" i="4" s="1"/>
  <c r="AD12" i="4" s="1"/>
  <c r="AD13" i="4" s="1"/>
  <c r="AD14" i="4" s="1"/>
  <c r="AD15" i="4" s="1"/>
  <c r="AD16" i="4" s="1"/>
  <c r="AD17" i="4" s="1"/>
  <c r="AD18" i="4" s="1"/>
  <c r="AD19" i="4" s="1"/>
  <c r="AD20" i="4" s="1"/>
  <c r="AD21" i="4" s="1"/>
  <c r="AD22" i="4" s="1"/>
  <c r="AD23" i="4" s="1"/>
  <c r="AH4" i="4"/>
  <c r="AH5" i="4" s="1"/>
  <c r="AH6" i="4" s="1"/>
  <c r="AH7" i="4" s="1"/>
  <c r="AH8" i="4" s="1"/>
  <c r="AH9" i="4" s="1"/>
  <c r="AH10" i="4" s="1"/>
  <c r="AH11" i="4" s="1"/>
  <c r="AH12" i="4" s="1"/>
  <c r="AH13" i="4" s="1"/>
  <c r="AH14" i="4" s="1"/>
  <c r="AH15" i="4" s="1"/>
  <c r="AH16" i="4" s="1"/>
  <c r="AH17" i="4" s="1"/>
  <c r="AH18" i="4" s="1"/>
  <c r="AH19" i="4" s="1"/>
  <c r="AH20" i="4" s="1"/>
  <c r="AH21" i="4" s="1"/>
  <c r="AH22" i="4" s="1"/>
  <c r="AH23" i="4" s="1"/>
  <c r="AL4" i="4"/>
  <c r="AL5" i="4" s="1"/>
  <c r="AL6" i="4" s="1"/>
  <c r="AL7" i="4" s="1"/>
  <c r="AL8" i="4" s="1"/>
  <c r="AL9" i="4" s="1"/>
  <c r="AL10" i="4" s="1"/>
  <c r="AL11" i="4" s="1"/>
  <c r="AL12" i="4" s="1"/>
  <c r="AL13" i="4" s="1"/>
  <c r="AL14" i="4" s="1"/>
  <c r="AL15" i="4" s="1"/>
  <c r="AL16" i="4" s="1"/>
  <c r="AL17" i="4" s="1"/>
  <c r="AL18" i="4" s="1"/>
  <c r="AL19" i="4" s="1"/>
  <c r="AL20" i="4" s="1"/>
  <c r="AL21" i="4" s="1"/>
  <c r="AL22" i="4" s="1"/>
  <c r="AL23" i="4" s="1"/>
  <c r="AP4" i="4"/>
  <c r="AP5" i="4" s="1"/>
  <c r="AP6" i="4" s="1"/>
  <c r="AP7" i="4" s="1"/>
  <c r="AP8" i="4" s="1"/>
  <c r="AP9" i="4" s="1"/>
  <c r="AP10" i="4" s="1"/>
  <c r="AP11" i="4" s="1"/>
  <c r="AP12" i="4" s="1"/>
  <c r="AP13" i="4" s="1"/>
  <c r="AP14" i="4" s="1"/>
  <c r="AP15" i="4" s="1"/>
  <c r="AP16" i="4" s="1"/>
  <c r="AP17" i="4" s="1"/>
  <c r="AP18" i="4" s="1"/>
  <c r="AP19" i="4" s="1"/>
  <c r="AP20" i="4" s="1"/>
  <c r="AP21" i="4" s="1"/>
  <c r="AP22" i="4" s="1"/>
  <c r="AP23" i="4" s="1"/>
  <c r="AT4" i="4"/>
  <c r="AT5" i="4" s="1"/>
  <c r="AT6" i="4" s="1"/>
  <c r="AT7" i="4" s="1"/>
  <c r="AT8" i="4" s="1"/>
  <c r="AT9" i="4" s="1"/>
  <c r="AT10" i="4" s="1"/>
  <c r="AT11" i="4" s="1"/>
  <c r="AT12" i="4" s="1"/>
  <c r="AT13" i="4" s="1"/>
  <c r="AT14" i="4" s="1"/>
  <c r="AT15" i="4" s="1"/>
  <c r="AT16" i="4" s="1"/>
  <c r="AT17" i="4" s="1"/>
  <c r="AT18" i="4" s="1"/>
  <c r="AT19" i="4" s="1"/>
  <c r="AT20" i="4" s="1"/>
  <c r="AT21" i="4" s="1"/>
  <c r="AT22" i="4" s="1"/>
  <c r="AT23" i="4" s="1"/>
  <c r="AX4" i="4"/>
  <c r="AX5" i="4" s="1"/>
  <c r="AX6" i="4" s="1"/>
  <c r="AX7" i="4" s="1"/>
  <c r="AX8" i="4" s="1"/>
  <c r="AX9" i="4" s="1"/>
  <c r="AX10" i="4" s="1"/>
  <c r="AX11" i="4" s="1"/>
  <c r="AX12" i="4" s="1"/>
  <c r="AX13" i="4" s="1"/>
  <c r="AX14" i="4" s="1"/>
  <c r="AX15" i="4" s="1"/>
  <c r="AX16" i="4" s="1"/>
  <c r="AX17" i="4" s="1"/>
  <c r="AX18" i="4" s="1"/>
  <c r="AX19" i="4" s="1"/>
  <c r="AX20" i="4" s="1"/>
  <c r="AX21" i="4" s="1"/>
  <c r="AX22" i="4" s="1"/>
  <c r="AX23" i="4" s="1"/>
  <c r="BB4" i="4"/>
  <c r="BB5" i="4" s="1"/>
  <c r="BB6" i="4" s="1"/>
  <c r="BB7" i="4" s="1"/>
  <c r="BB8" i="4" s="1"/>
  <c r="BB9" i="4" s="1"/>
  <c r="BB10" i="4" s="1"/>
  <c r="BB11" i="4" s="1"/>
  <c r="BB12" i="4" s="1"/>
  <c r="BB13" i="4" s="1"/>
  <c r="BB14" i="4" s="1"/>
  <c r="BB15" i="4" s="1"/>
  <c r="BB16" i="4" s="1"/>
  <c r="BB17" i="4" s="1"/>
  <c r="BB18" i="4" s="1"/>
  <c r="BB19" i="4" s="1"/>
  <c r="BB20" i="4" s="1"/>
  <c r="BB21" i="4" s="1"/>
  <c r="BB22" i="4" s="1"/>
  <c r="BB23" i="4" s="1"/>
  <c r="BF4" i="4"/>
  <c r="BF5" i="4" s="1"/>
  <c r="BF6" i="4" s="1"/>
  <c r="BF7" i="4" s="1"/>
  <c r="BF8" i="4" s="1"/>
  <c r="BF9" i="4" s="1"/>
  <c r="BF10" i="4" s="1"/>
  <c r="BF11" i="4" s="1"/>
  <c r="BF12" i="4" s="1"/>
  <c r="BF13" i="4" s="1"/>
  <c r="BF14" i="4" s="1"/>
  <c r="BF15" i="4" s="1"/>
  <c r="BF16" i="4" s="1"/>
  <c r="BF17" i="4" s="1"/>
  <c r="BF18" i="4" s="1"/>
  <c r="BF19" i="4" s="1"/>
  <c r="BF20" i="4" s="1"/>
  <c r="BF21" i="4" s="1"/>
  <c r="BF22" i="4" s="1"/>
  <c r="BF23" i="4" s="1"/>
  <c r="BJ4" i="4"/>
  <c r="BJ5" i="4" s="1"/>
  <c r="BJ6" i="4" s="1"/>
  <c r="BJ7" i="4" s="1"/>
  <c r="BJ8" i="4" s="1"/>
  <c r="BJ9" i="4" s="1"/>
  <c r="BJ10" i="4" s="1"/>
  <c r="BJ11" i="4" s="1"/>
  <c r="BJ12" i="4" s="1"/>
  <c r="BJ13" i="4" s="1"/>
  <c r="BJ14" i="4" s="1"/>
  <c r="BJ15" i="4" s="1"/>
  <c r="BJ16" i="4" s="1"/>
  <c r="BJ17" i="4" s="1"/>
  <c r="BJ18" i="4" s="1"/>
  <c r="BJ19" i="4" s="1"/>
  <c r="BJ20" i="4" s="1"/>
  <c r="BJ21" i="4" s="1"/>
  <c r="BJ22" i="4" s="1"/>
  <c r="BJ23" i="4" s="1"/>
  <c r="BN4" i="4"/>
  <c r="BN5" i="4" s="1"/>
  <c r="BN6" i="4" s="1"/>
  <c r="BN7" i="4" s="1"/>
  <c r="BN8" i="4" s="1"/>
  <c r="BN9" i="4" s="1"/>
  <c r="BN10" i="4" s="1"/>
  <c r="BN11" i="4" s="1"/>
  <c r="BN12" i="4" s="1"/>
  <c r="BN13" i="4" s="1"/>
  <c r="BN14" i="4" s="1"/>
  <c r="BN15" i="4" s="1"/>
  <c r="BN16" i="4" s="1"/>
  <c r="BN17" i="4" s="1"/>
  <c r="BN18" i="4" s="1"/>
  <c r="BN19" i="4" s="1"/>
  <c r="BN20" i="4" s="1"/>
  <c r="BN21" i="4" s="1"/>
  <c r="BN22" i="4" s="1"/>
  <c r="BN23" i="4" s="1"/>
  <c r="BR4" i="4"/>
  <c r="BR5" i="4" s="1"/>
  <c r="BR6" i="4" s="1"/>
  <c r="BR7" i="4" s="1"/>
  <c r="BR8" i="4" s="1"/>
  <c r="BR9" i="4" s="1"/>
  <c r="BR10" i="4" s="1"/>
  <c r="BR11" i="4" s="1"/>
  <c r="BR12" i="4" s="1"/>
  <c r="BR13" i="4" s="1"/>
  <c r="BR14" i="4" s="1"/>
  <c r="BR15" i="4" s="1"/>
  <c r="BR16" i="4" s="1"/>
  <c r="BR17" i="4" s="1"/>
  <c r="BR18" i="4" s="1"/>
  <c r="BR19" i="4" s="1"/>
  <c r="BR20" i="4" s="1"/>
  <c r="BR21" i="4" s="1"/>
  <c r="BR22" i="4" s="1"/>
  <c r="BR23" i="4" s="1"/>
  <c r="BV4" i="4"/>
  <c r="BV5" i="4" s="1"/>
  <c r="BV6" i="4" s="1"/>
  <c r="BV7" i="4" s="1"/>
  <c r="BV8" i="4" s="1"/>
  <c r="BV9" i="4" s="1"/>
  <c r="BV10" i="4" s="1"/>
  <c r="BV11" i="4" s="1"/>
  <c r="BV12" i="4" s="1"/>
  <c r="BV13" i="4" s="1"/>
  <c r="BV14" i="4" s="1"/>
  <c r="BV15" i="4" s="1"/>
  <c r="BV16" i="4" s="1"/>
  <c r="BV17" i="4" s="1"/>
  <c r="BV18" i="4" s="1"/>
  <c r="BV19" i="4" s="1"/>
  <c r="BV20" i="4" s="1"/>
  <c r="BV21" i="4" s="1"/>
  <c r="BV22" i="4" s="1"/>
  <c r="BV23" i="4" s="1"/>
  <c r="BZ4" i="4"/>
  <c r="BZ5" i="4" s="1"/>
  <c r="BZ6" i="4" s="1"/>
  <c r="BZ7" i="4" s="1"/>
  <c r="BZ8" i="4" s="1"/>
  <c r="BZ9" i="4" s="1"/>
  <c r="BZ10" i="4" s="1"/>
  <c r="BZ11" i="4" s="1"/>
  <c r="BZ12" i="4" s="1"/>
  <c r="BZ13" i="4" s="1"/>
  <c r="BZ14" i="4" s="1"/>
  <c r="BZ15" i="4" s="1"/>
  <c r="BZ16" i="4" s="1"/>
  <c r="BZ17" i="4" s="1"/>
  <c r="BZ18" i="4" s="1"/>
  <c r="BZ19" i="4" s="1"/>
  <c r="BZ20" i="4" s="1"/>
  <c r="BZ21" i="4" s="1"/>
  <c r="BZ22" i="4" s="1"/>
  <c r="BZ23" i="4" s="1"/>
  <c r="CD4" i="4"/>
  <c r="CD5" i="4" s="1"/>
  <c r="CD6" i="4" s="1"/>
  <c r="CD7" i="4" s="1"/>
  <c r="CD8" i="4" s="1"/>
  <c r="CD9" i="4" s="1"/>
  <c r="CD10" i="4" s="1"/>
  <c r="CD11" i="4" s="1"/>
  <c r="CD12" i="4" s="1"/>
  <c r="CD13" i="4" s="1"/>
  <c r="CD14" i="4" s="1"/>
  <c r="CD15" i="4" s="1"/>
  <c r="CD16" i="4" s="1"/>
  <c r="CD17" i="4" s="1"/>
  <c r="CD18" i="4" s="1"/>
  <c r="CD19" i="4" s="1"/>
  <c r="CD20" i="4" s="1"/>
  <c r="CD21" i="4" s="1"/>
  <c r="CD22" i="4" s="1"/>
  <c r="CD23" i="4" s="1"/>
  <c r="CH4" i="4"/>
  <c r="CH5" i="4" s="1"/>
  <c r="CH6" i="4" s="1"/>
  <c r="CH7" i="4" s="1"/>
  <c r="CH8" i="4" s="1"/>
  <c r="CH9" i="4" s="1"/>
  <c r="CH10" i="4" s="1"/>
  <c r="CH11" i="4" s="1"/>
  <c r="CH12" i="4" s="1"/>
  <c r="CH13" i="4" s="1"/>
  <c r="CH14" i="4" s="1"/>
  <c r="CH15" i="4" s="1"/>
  <c r="CH16" i="4" s="1"/>
  <c r="CH17" i="4" s="1"/>
  <c r="CH18" i="4" s="1"/>
  <c r="CH19" i="4" s="1"/>
  <c r="CH20" i="4" s="1"/>
  <c r="CH21" i="4" s="1"/>
  <c r="CH22" i="4" s="1"/>
  <c r="CH23" i="4" s="1"/>
  <c r="CL4" i="4"/>
  <c r="CL5" i="4" s="1"/>
  <c r="CL6" i="4" s="1"/>
  <c r="CL7" i="4" s="1"/>
  <c r="CL8" i="4" s="1"/>
  <c r="CL9" i="4" s="1"/>
  <c r="CL10" i="4" s="1"/>
  <c r="CL11" i="4" s="1"/>
  <c r="CL12" i="4" s="1"/>
  <c r="CL13" i="4" s="1"/>
  <c r="CL14" i="4" s="1"/>
  <c r="CL15" i="4" s="1"/>
  <c r="CL16" i="4" s="1"/>
  <c r="CL17" i="4" s="1"/>
  <c r="CL18" i="4" s="1"/>
  <c r="CL19" i="4" s="1"/>
  <c r="CL20" i="4" s="1"/>
  <c r="CL21" i="4" s="1"/>
  <c r="CL22" i="4" s="1"/>
  <c r="CL23" i="4" s="1"/>
  <c r="CP4" i="4"/>
  <c r="CP5" i="4" s="1"/>
  <c r="CP6" i="4" s="1"/>
  <c r="CP7" i="4" s="1"/>
  <c r="CP8" i="4" s="1"/>
  <c r="CP9" i="4" s="1"/>
  <c r="CP10" i="4" s="1"/>
  <c r="CP11" i="4" s="1"/>
  <c r="CP12" i="4" s="1"/>
  <c r="CP13" i="4" s="1"/>
  <c r="CP14" i="4" s="1"/>
  <c r="CP15" i="4" s="1"/>
  <c r="CP16" i="4" s="1"/>
  <c r="CP17" i="4" s="1"/>
  <c r="CP18" i="4" s="1"/>
  <c r="CP19" i="4" s="1"/>
  <c r="CP20" i="4" s="1"/>
  <c r="CP21" i="4" s="1"/>
  <c r="CP22" i="4" s="1"/>
  <c r="CP23" i="4" s="1"/>
  <c r="CT4" i="4"/>
  <c r="CT5" i="4" s="1"/>
  <c r="CT6" i="4" s="1"/>
  <c r="CT7" i="4" s="1"/>
  <c r="CT8" i="4" s="1"/>
  <c r="CT9" i="4" s="1"/>
  <c r="CT10" i="4" s="1"/>
  <c r="CT11" i="4" s="1"/>
  <c r="CT12" i="4" s="1"/>
  <c r="CT13" i="4" s="1"/>
  <c r="CT14" i="4" s="1"/>
  <c r="CT15" i="4" s="1"/>
  <c r="CT16" i="4" s="1"/>
  <c r="CT17" i="4" s="1"/>
  <c r="CT18" i="4" s="1"/>
  <c r="CT19" i="4" s="1"/>
  <c r="CT20" i="4" s="1"/>
  <c r="CT21" i="4" s="1"/>
  <c r="CT22" i="4" s="1"/>
  <c r="CT23" i="4" s="1"/>
  <c r="CX4" i="4"/>
  <c r="CX5" i="4" s="1"/>
  <c r="CX6" i="4" s="1"/>
  <c r="CX7" i="4" s="1"/>
  <c r="CX8" i="4" s="1"/>
  <c r="CX9" i="4" s="1"/>
  <c r="CX10" i="4" s="1"/>
  <c r="CX11" i="4" s="1"/>
  <c r="CX12" i="4" s="1"/>
  <c r="CX13" i="4" s="1"/>
  <c r="CX14" i="4" s="1"/>
  <c r="CX15" i="4" s="1"/>
  <c r="CX16" i="4" s="1"/>
  <c r="CX17" i="4" s="1"/>
  <c r="CX18" i="4" s="1"/>
  <c r="CX19" i="4" s="1"/>
  <c r="CX20" i="4" s="1"/>
  <c r="CX21" i="4" s="1"/>
  <c r="CX22" i="4" s="1"/>
  <c r="CX23" i="4" s="1"/>
  <c r="DB4" i="4"/>
  <c r="DB5" i="4" s="1"/>
  <c r="DB6" i="4" s="1"/>
  <c r="DB7" i="4" s="1"/>
  <c r="DB8" i="4" s="1"/>
  <c r="DB9" i="4" s="1"/>
  <c r="DB10" i="4" s="1"/>
  <c r="DB11" i="4" s="1"/>
  <c r="DB12" i="4" s="1"/>
  <c r="DB13" i="4" s="1"/>
  <c r="DB14" i="4" s="1"/>
  <c r="DB15" i="4" s="1"/>
  <c r="DB16" i="4" s="1"/>
  <c r="DB17" i="4" s="1"/>
  <c r="DB18" i="4" s="1"/>
  <c r="DB19" i="4" s="1"/>
  <c r="DB20" i="4" s="1"/>
  <c r="DB21" i="4" s="1"/>
  <c r="DB22" i="4" s="1"/>
  <c r="DB23" i="4" s="1"/>
  <c r="DF4" i="4"/>
  <c r="DF5" i="4" s="1"/>
  <c r="DF6" i="4" s="1"/>
  <c r="DF7" i="4" s="1"/>
  <c r="DF8" i="4" s="1"/>
  <c r="DF9" i="4" s="1"/>
  <c r="DF10" i="4" s="1"/>
  <c r="DF11" i="4" s="1"/>
  <c r="DF12" i="4" s="1"/>
  <c r="DF13" i="4" s="1"/>
  <c r="DF14" i="4" s="1"/>
  <c r="DF15" i="4" s="1"/>
  <c r="DF16" i="4" s="1"/>
  <c r="DF17" i="4" s="1"/>
  <c r="DF18" i="4" s="1"/>
  <c r="DF19" i="4" s="1"/>
  <c r="DF20" i="4" s="1"/>
  <c r="DF21" i="4" s="1"/>
  <c r="DF22" i="4" s="1"/>
  <c r="DF23" i="4" s="1"/>
  <c r="DJ4" i="4"/>
  <c r="DJ5" i="4" s="1"/>
  <c r="DJ6" i="4" s="1"/>
  <c r="DJ7" i="4" s="1"/>
  <c r="DJ8" i="4" s="1"/>
  <c r="DJ9" i="4" s="1"/>
  <c r="DJ10" i="4" s="1"/>
  <c r="DJ11" i="4" s="1"/>
  <c r="DJ12" i="4" s="1"/>
  <c r="DJ13" i="4" s="1"/>
  <c r="DJ14" i="4" s="1"/>
  <c r="DJ15" i="4" s="1"/>
  <c r="DJ16" i="4" s="1"/>
  <c r="DJ17" i="4" s="1"/>
  <c r="DJ18" i="4" s="1"/>
  <c r="DJ19" i="4" s="1"/>
  <c r="DJ20" i="4" s="1"/>
  <c r="DJ21" i="4" s="1"/>
  <c r="DJ22" i="4" s="1"/>
  <c r="DJ23" i="4" s="1"/>
  <c r="DN4" i="4"/>
  <c r="DN5" i="4" s="1"/>
  <c r="DN6" i="4" s="1"/>
  <c r="DN7" i="4" s="1"/>
  <c r="DN8" i="4" s="1"/>
  <c r="DN9" i="4" s="1"/>
  <c r="DN10" i="4" s="1"/>
  <c r="DN11" i="4" s="1"/>
  <c r="DN12" i="4" s="1"/>
  <c r="DN13" i="4" s="1"/>
  <c r="DN14" i="4" s="1"/>
  <c r="DN15" i="4" s="1"/>
  <c r="DN16" i="4" s="1"/>
  <c r="DN17" i="4" s="1"/>
  <c r="DN18" i="4" s="1"/>
  <c r="DN19" i="4" s="1"/>
  <c r="DN20" i="4" s="1"/>
  <c r="DN21" i="4" s="1"/>
  <c r="DN22" i="4" s="1"/>
  <c r="DN23" i="4" s="1"/>
  <c r="DR4" i="4"/>
  <c r="DR5" i="4" s="1"/>
  <c r="DR6" i="4" s="1"/>
  <c r="DR7" i="4" s="1"/>
  <c r="DR8" i="4" s="1"/>
  <c r="DR9" i="4" s="1"/>
  <c r="DR10" i="4" s="1"/>
  <c r="DR11" i="4" s="1"/>
  <c r="DR12" i="4" s="1"/>
  <c r="DR13" i="4" s="1"/>
  <c r="DR14" i="4" s="1"/>
  <c r="DR15" i="4" s="1"/>
  <c r="DR16" i="4" s="1"/>
  <c r="DR17" i="4" s="1"/>
  <c r="DR18" i="4" s="1"/>
  <c r="DR19" i="4" s="1"/>
  <c r="DR20" i="4" s="1"/>
  <c r="DR21" i="4" s="1"/>
  <c r="DR22" i="4" s="1"/>
  <c r="DR23" i="4" s="1"/>
  <c r="DV4" i="4"/>
  <c r="DV5" i="4" s="1"/>
  <c r="DV6" i="4" s="1"/>
  <c r="DV7" i="4" s="1"/>
  <c r="DV8" i="4" s="1"/>
  <c r="DV9" i="4" s="1"/>
  <c r="DV10" i="4" s="1"/>
  <c r="DV11" i="4" s="1"/>
  <c r="DV12" i="4" s="1"/>
  <c r="DV13" i="4" s="1"/>
  <c r="DV14" i="4" s="1"/>
  <c r="DV15" i="4" s="1"/>
  <c r="DV16" i="4" s="1"/>
  <c r="DV17" i="4" s="1"/>
  <c r="DV18" i="4" s="1"/>
  <c r="DV19" i="4" s="1"/>
  <c r="DV20" i="4" s="1"/>
  <c r="DV21" i="4" s="1"/>
  <c r="DV22" i="4" s="1"/>
  <c r="DV23" i="4" s="1"/>
  <c r="DZ4" i="4"/>
  <c r="DZ5" i="4" s="1"/>
  <c r="DZ6" i="4" s="1"/>
  <c r="DZ7" i="4" s="1"/>
  <c r="DZ8" i="4" s="1"/>
  <c r="DZ9" i="4" s="1"/>
  <c r="DZ10" i="4" s="1"/>
  <c r="DZ11" i="4" s="1"/>
  <c r="DZ12" i="4" s="1"/>
  <c r="DZ13" i="4" s="1"/>
  <c r="DZ14" i="4" s="1"/>
  <c r="DZ15" i="4" s="1"/>
  <c r="DZ16" i="4" s="1"/>
  <c r="DZ17" i="4" s="1"/>
  <c r="DZ18" i="4" s="1"/>
  <c r="DZ19" i="4" s="1"/>
  <c r="DZ20" i="4" s="1"/>
  <c r="DZ21" i="4" s="1"/>
  <c r="DZ22" i="4" s="1"/>
  <c r="DZ23" i="4" s="1"/>
  <c r="ED4" i="4"/>
  <c r="ED5" i="4" s="1"/>
  <c r="ED6" i="4" s="1"/>
  <c r="ED7" i="4" s="1"/>
  <c r="ED8" i="4" s="1"/>
  <c r="ED9" i="4" s="1"/>
  <c r="ED10" i="4" s="1"/>
  <c r="ED11" i="4" s="1"/>
  <c r="ED12" i="4" s="1"/>
  <c r="ED13" i="4" s="1"/>
  <c r="ED14" i="4" s="1"/>
  <c r="ED15" i="4" s="1"/>
  <c r="ED16" i="4" s="1"/>
  <c r="ED17" i="4" s="1"/>
  <c r="ED18" i="4" s="1"/>
  <c r="ED19" i="4" s="1"/>
  <c r="ED20" i="4" s="1"/>
  <c r="ED21" i="4" s="1"/>
  <c r="ED22" i="4" s="1"/>
  <c r="ED23" i="4" s="1"/>
  <c r="EH4" i="4"/>
  <c r="EH5" i="4" s="1"/>
  <c r="EH6" i="4" s="1"/>
  <c r="EH7" i="4" s="1"/>
  <c r="EH8" i="4" s="1"/>
  <c r="EH9" i="4" s="1"/>
  <c r="EH10" i="4" s="1"/>
  <c r="EH11" i="4" s="1"/>
  <c r="EH12" i="4" s="1"/>
  <c r="EH13" i="4" s="1"/>
  <c r="EH14" i="4" s="1"/>
  <c r="EH15" i="4" s="1"/>
  <c r="EH16" i="4" s="1"/>
  <c r="EH17" i="4" s="1"/>
  <c r="EH18" i="4" s="1"/>
  <c r="EH19" i="4" s="1"/>
  <c r="EH20" i="4" s="1"/>
  <c r="EH21" i="4" s="1"/>
  <c r="EH22" i="4" s="1"/>
  <c r="EH23" i="4" s="1"/>
  <c r="EL4" i="4"/>
  <c r="EL5" i="4" s="1"/>
  <c r="EL6" i="4" s="1"/>
  <c r="EL7" i="4" s="1"/>
  <c r="EL8" i="4" s="1"/>
  <c r="EL9" i="4" s="1"/>
  <c r="EL10" i="4" s="1"/>
  <c r="EL11" i="4" s="1"/>
  <c r="EL12" i="4" s="1"/>
  <c r="EL13" i="4" s="1"/>
  <c r="EL14" i="4" s="1"/>
  <c r="EL15" i="4" s="1"/>
  <c r="EL16" i="4" s="1"/>
  <c r="EL17" i="4" s="1"/>
  <c r="EL18" i="4" s="1"/>
  <c r="EL19" i="4" s="1"/>
  <c r="EL20" i="4" s="1"/>
  <c r="EL21" i="4" s="1"/>
  <c r="EL22" i="4" s="1"/>
  <c r="EL23" i="4" s="1"/>
  <c r="EP4" i="4"/>
  <c r="EP5" i="4" s="1"/>
  <c r="EP6" i="4" s="1"/>
  <c r="EP7" i="4" s="1"/>
  <c r="EP8" i="4" s="1"/>
  <c r="EP9" i="4" s="1"/>
  <c r="EP10" i="4" s="1"/>
  <c r="EP11" i="4" s="1"/>
  <c r="EP12" i="4" s="1"/>
  <c r="EP13" i="4" s="1"/>
  <c r="EP14" i="4" s="1"/>
  <c r="EP15" i="4" s="1"/>
  <c r="EP16" i="4" s="1"/>
  <c r="EP17" i="4" s="1"/>
  <c r="EP18" i="4" s="1"/>
  <c r="EP19" i="4" s="1"/>
  <c r="EP20" i="4" s="1"/>
  <c r="EP21" i="4" s="1"/>
  <c r="EP22" i="4" s="1"/>
  <c r="EP23" i="4" s="1"/>
  <c r="ET4" i="4"/>
  <c r="ET5" i="4" s="1"/>
  <c r="ET6" i="4" s="1"/>
  <c r="ET7" i="4" s="1"/>
  <c r="ET8" i="4" s="1"/>
  <c r="ET9" i="4" s="1"/>
  <c r="ET10" i="4" s="1"/>
  <c r="ET11" i="4" s="1"/>
  <c r="ET12" i="4" s="1"/>
  <c r="ET13" i="4" s="1"/>
  <c r="ET14" i="4" s="1"/>
  <c r="ET15" i="4" s="1"/>
  <c r="ET16" i="4" s="1"/>
  <c r="ET17" i="4" s="1"/>
  <c r="ET18" i="4" s="1"/>
  <c r="ET19" i="4" s="1"/>
  <c r="ET20" i="4" s="1"/>
  <c r="ET21" i="4" s="1"/>
  <c r="ET22" i="4" s="1"/>
  <c r="ET23" i="4" s="1"/>
  <c r="EX4" i="4"/>
  <c r="EX5" i="4" s="1"/>
  <c r="EX6" i="4" s="1"/>
  <c r="EX7" i="4" s="1"/>
  <c r="EX8" i="4" s="1"/>
  <c r="EX9" i="4" s="1"/>
  <c r="EX10" i="4" s="1"/>
  <c r="EX11" i="4" s="1"/>
  <c r="EX12" i="4" s="1"/>
  <c r="EX13" i="4" s="1"/>
  <c r="EX14" i="4" s="1"/>
  <c r="EX15" i="4" s="1"/>
  <c r="EX16" i="4" s="1"/>
  <c r="EX17" i="4" s="1"/>
  <c r="EX18" i="4" s="1"/>
  <c r="EX19" i="4" s="1"/>
  <c r="EX20" i="4" s="1"/>
  <c r="EX21" i="4" s="1"/>
  <c r="EX22" i="4" s="1"/>
  <c r="EX23" i="4" s="1"/>
  <c r="K22" i="1"/>
  <c r="K18" i="1"/>
  <c r="K14" i="1"/>
  <c r="K10" i="1"/>
  <c r="K6" i="1"/>
  <c r="K20" i="1"/>
  <c r="K16" i="1"/>
  <c r="K12" i="1"/>
  <c r="K8" i="1"/>
  <c r="K4" i="1"/>
  <c r="K21" i="1"/>
  <c r="K13" i="1"/>
  <c r="K5" i="1"/>
  <c r="K17" i="1"/>
  <c r="K9" i="1"/>
  <c r="K11" i="1"/>
  <c r="K19" i="1"/>
  <c r="K7" i="1"/>
  <c r="K15" i="1"/>
  <c r="Q3" i="1"/>
  <c r="Q7" i="1"/>
  <c r="Q11" i="1"/>
  <c r="Q15" i="1"/>
  <c r="Q19" i="1"/>
  <c r="Q23" i="1"/>
  <c r="Q4" i="1"/>
  <c r="Q8" i="1"/>
  <c r="Q12" i="1"/>
  <c r="Q16" i="1"/>
  <c r="Q20" i="1"/>
  <c r="Q6" i="1"/>
  <c r="Q10" i="1"/>
  <c r="Q14" i="1"/>
  <c r="Q18" i="1"/>
  <c r="Q22" i="1"/>
  <c r="Q5" i="1"/>
  <c r="Q9" i="1"/>
  <c r="Q13" i="1"/>
  <c r="Q17" i="1"/>
  <c r="Q21" i="1"/>
  <c r="J5" i="4" l="1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F7" i="4"/>
  <c r="M4" i="1"/>
  <c r="M6" i="1"/>
  <c r="M8" i="1"/>
  <c r="M10" i="1"/>
  <c r="M12" i="1"/>
  <c r="M14" i="1"/>
  <c r="M16" i="1"/>
  <c r="M18" i="1"/>
  <c r="M20" i="1"/>
  <c r="M22" i="1"/>
  <c r="M7" i="1"/>
  <c r="M15" i="1"/>
  <c r="M9" i="1"/>
  <c r="M17" i="1"/>
  <c r="M3" i="1"/>
  <c r="M11" i="1"/>
  <c r="M19" i="1"/>
  <c r="M5" i="1"/>
  <c r="M13" i="1"/>
  <c r="M21" i="1"/>
  <c r="S23" i="1"/>
  <c r="S22" i="1"/>
  <c r="N11" i="1"/>
  <c r="N14" i="1"/>
  <c r="N17" i="1"/>
  <c r="N6" i="1"/>
  <c r="N19" i="1"/>
  <c r="N13" i="1"/>
  <c r="N7" i="1"/>
  <c r="N15" i="1"/>
  <c r="K3" i="1"/>
  <c r="N3" i="1"/>
  <c r="N22" i="1"/>
  <c r="N5" i="1"/>
  <c r="N21" i="1"/>
  <c r="N8" i="1"/>
  <c r="N18" i="1"/>
  <c r="N4" i="1"/>
  <c r="N10" i="1"/>
  <c r="N16" i="1"/>
  <c r="N12" i="1"/>
  <c r="N20" i="1"/>
  <c r="N9" i="1"/>
  <c r="S7" i="1"/>
  <c r="S17" i="1"/>
  <c r="S14" i="1"/>
  <c r="S12" i="1"/>
  <c r="S3" i="1"/>
  <c r="S13" i="1"/>
  <c r="S10" i="1"/>
  <c r="S8" i="1"/>
  <c r="S15" i="1"/>
  <c r="S9" i="1"/>
  <c r="S6" i="1"/>
  <c r="S20" i="1"/>
  <c r="S4" i="1"/>
  <c r="S11" i="1"/>
  <c r="S19" i="1"/>
  <c r="S21" i="1"/>
  <c r="S5" i="1"/>
  <c r="S18" i="1"/>
  <c r="S16" i="1"/>
  <c r="O14" i="1" l="1"/>
  <c r="O12" i="1"/>
  <c r="O17" i="1"/>
  <c r="O20" i="1"/>
  <c r="O18" i="1"/>
  <c r="O13" i="1"/>
  <c r="O9" i="1"/>
  <c r="O5" i="1"/>
  <c r="O11" i="1"/>
  <c r="O22" i="1"/>
  <c r="O6" i="1"/>
  <c r="O15" i="1"/>
  <c r="O21" i="1"/>
  <c r="O16" i="1"/>
  <c r="O8" i="1"/>
  <c r="O10" i="1"/>
  <c r="O4" i="1"/>
  <c r="O19" i="1"/>
  <c r="O3" i="1"/>
  <c r="O7" i="1"/>
  <c r="R235" i="1" l="1"/>
  <c r="R73" i="1"/>
  <c r="R265" i="1"/>
  <c r="R345" i="1"/>
  <c r="R36" i="1"/>
  <c r="R192" i="1"/>
  <c r="R284" i="1"/>
  <c r="R330" i="1"/>
  <c r="R164" i="1"/>
  <c r="R75" i="1"/>
  <c r="R203" i="1"/>
  <c r="R299" i="1"/>
  <c r="R65" i="1"/>
  <c r="R129" i="1"/>
  <c r="R193" i="1"/>
  <c r="R25" i="1"/>
  <c r="R89" i="1"/>
  <c r="R281" i="1"/>
  <c r="R351" i="1"/>
  <c r="R64" i="1"/>
  <c r="R240" i="1"/>
  <c r="R408" i="1"/>
  <c r="R374" i="1"/>
  <c r="R388" i="1"/>
  <c r="R107" i="1"/>
  <c r="R98" i="1"/>
  <c r="R416" i="1"/>
  <c r="R81" i="1"/>
  <c r="R145" i="1"/>
  <c r="R209" i="1"/>
  <c r="R273" i="1"/>
  <c r="R337" i="1"/>
  <c r="R415" i="1"/>
  <c r="R80" i="1"/>
  <c r="R256" i="1"/>
  <c r="R440" i="1"/>
  <c r="R390" i="1"/>
  <c r="R420" i="1"/>
  <c r="R123" i="1"/>
  <c r="R251" i="1"/>
  <c r="R380" i="1"/>
  <c r="R176" i="1"/>
  <c r="R350" i="1"/>
  <c r="R216" i="1"/>
  <c r="R433" i="1"/>
  <c r="R26" i="1"/>
  <c r="R90" i="1"/>
  <c r="R158" i="1"/>
  <c r="R290" i="1"/>
  <c r="R31" i="1"/>
  <c r="R268" i="1"/>
  <c r="R448" i="1"/>
  <c r="R85" i="1"/>
  <c r="R149" i="1"/>
  <c r="R213" i="1"/>
  <c r="R391" i="1"/>
  <c r="R132" i="1"/>
  <c r="R318" i="1"/>
  <c r="R327" i="1"/>
  <c r="R377" i="1"/>
  <c r="R441" i="1"/>
  <c r="R312" i="1"/>
  <c r="R82" i="1"/>
  <c r="R166" i="1"/>
  <c r="R322" i="1"/>
  <c r="R63" i="1"/>
  <c r="R332" i="1"/>
  <c r="R45" i="1"/>
  <c r="R109" i="1"/>
  <c r="R173" i="1"/>
  <c r="R237" i="1"/>
  <c r="R301" i="1"/>
  <c r="R319" i="1"/>
  <c r="R44" i="1"/>
  <c r="R208" i="1"/>
  <c r="R314" i="1"/>
  <c r="R261" i="1"/>
  <c r="R325" i="1"/>
  <c r="R423" i="1"/>
  <c r="R88" i="1"/>
  <c r="R272" i="1"/>
  <c r="R450" i="1"/>
  <c r="R398" i="1"/>
  <c r="R432" i="1"/>
  <c r="R127" i="1"/>
  <c r="R255" i="1"/>
  <c r="R424" i="1"/>
  <c r="R196" i="1"/>
  <c r="R39" i="1"/>
  <c r="R232" i="1"/>
  <c r="R405" i="1"/>
  <c r="R156" i="1"/>
  <c r="R46" i="1"/>
  <c r="R110" i="1"/>
  <c r="R182" i="1"/>
  <c r="R354" i="1"/>
  <c r="R151" i="1"/>
  <c r="R146" i="1"/>
  <c r="R446" i="1"/>
  <c r="R51" i="1"/>
  <c r="R41" i="1"/>
  <c r="R313" i="1"/>
  <c r="R96" i="1"/>
  <c r="R230" i="1"/>
  <c r="R452" i="1"/>
  <c r="R267" i="1"/>
  <c r="R97" i="1"/>
  <c r="R225" i="1"/>
  <c r="R305" i="1"/>
  <c r="R375" i="1"/>
  <c r="R108" i="1"/>
  <c r="R352" i="1"/>
  <c r="R358" i="1"/>
  <c r="R27" i="1"/>
  <c r="R187" i="1"/>
  <c r="R439" i="1"/>
  <c r="R356" i="1"/>
  <c r="R135" i="1"/>
  <c r="R401" i="1"/>
  <c r="R42" i="1"/>
  <c r="R122" i="1"/>
  <c r="R226" i="1"/>
  <c r="R95" i="1"/>
  <c r="R274" i="1"/>
  <c r="R69" i="1"/>
  <c r="R165" i="1"/>
  <c r="R245" i="1"/>
  <c r="R92" i="1"/>
  <c r="R55" i="1"/>
  <c r="R248" i="1"/>
  <c r="R425" i="1"/>
  <c r="R34" i="1"/>
  <c r="R130" i="1"/>
  <c r="R266" i="1"/>
  <c r="R183" i="1"/>
  <c r="R384" i="1"/>
  <c r="R93" i="1"/>
  <c r="R189" i="1"/>
  <c r="R269" i="1"/>
  <c r="R349" i="1"/>
  <c r="R72" i="1"/>
  <c r="R288" i="1"/>
  <c r="R294" i="1"/>
  <c r="R341" i="1"/>
  <c r="R28" i="1"/>
  <c r="R224" i="1"/>
  <c r="R262" i="1"/>
  <c r="R462" i="1"/>
  <c r="R99" i="1"/>
  <c r="R287" i="1"/>
  <c r="R84" i="1"/>
  <c r="R302" i="1"/>
  <c r="R344" i="1"/>
  <c r="R437" i="1"/>
  <c r="R30" i="1"/>
  <c r="R126" i="1"/>
  <c r="R250" i="1"/>
  <c r="R47" i="1"/>
  <c r="R342" i="1"/>
  <c r="R400" i="1"/>
  <c r="R175" i="1"/>
  <c r="R431" i="1"/>
  <c r="R148" i="1"/>
  <c r="R334" i="1"/>
  <c r="R136" i="1"/>
  <c r="R397" i="1"/>
  <c r="R461" i="1"/>
  <c r="R38" i="1"/>
  <c r="R102" i="1"/>
  <c r="R190" i="1"/>
  <c r="R370" i="1"/>
  <c r="R215" i="1"/>
  <c r="R242" i="1"/>
  <c r="R178" i="1"/>
  <c r="R236" i="1"/>
  <c r="R428" i="1"/>
  <c r="R121" i="1"/>
  <c r="R169" i="1"/>
  <c r="R233" i="1"/>
  <c r="R451" i="1"/>
  <c r="R364" i="1"/>
  <c r="R137" i="1"/>
  <c r="R217" i="1"/>
  <c r="R361" i="1"/>
  <c r="R163" i="1"/>
  <c r="R246" i="1"/>
  <c r="R134" i="1"/>
  <c r="R153" i="1"/>
  <c r="R427" i="1"/>
  <c r="R297" i="1"/>
  <c r="R243" i="1"/>
  <c r="R249" i="1"/>
  <c r="R49" i="1"/>
  <c r="R289" i="1"/>
  <c r="R52" i="1"/>
  <c r="R57" i="1"/>
  <c r="R329" i="1"/>
  <c r="R120" i="1"/>
  <c r="R278" i="1"/>
  <c r="R43" i="1"/>
  <c r="R228" i="1"/>
  <c r="R113" i="1"/>
  <c r="R241" i="1"/>
  <c r="R321" i="1"/>
  <c r="R447" i="1"/>
  <c r="R160" i="1"/>
  <c r="R376" i="1"/>
  <c r="R422" i="1"/>
  <c r="R59" i="1"/>
  <c r="R219" i="1"/>
  <c r="R40" i="1"/>
  <c r="R222" i="1"/>
  <c r="R263" i="1"/>
  <c r="R152" i="1"/>
  <c r="R58" i="1"/>
  <c r="R138" i="1"/>
  <c r="R346" i="1"/>
  <c r="R247" i="1"/>
  <c r="R218" i="1"/>
  <c r="R101" i="1"/>
  <c r="R181" i="1"/>
  <c r="R367" i="1"/>
  <c r="R304" i="1"/>
  <c r="R111" i="1"/>
  <c r="R360" i="1"/>
  <c r="R457" i="1"/>
  <c r="R50" i="1"/>
  <c r="R150" i="1"/>
  <c r="R362" i="1"/>
  <c r="R311" i="1"/>
  <c r="R29" i="1"/>
  <c r="R125" i="1"/>
  <c r="R205" i="1"/>
  <c r="R285" i="1"/>
  <c r="R363" i="1"/>
  <c r="R100" i="1"/>
  <c r="R336" i="1"/>
  <c r="R277" i="1"/>
  <c r="R357" i="1"/>
  <c r="R56" i="1"/>
  <c r="R320" i="1"/>
  <c r="R326" i="1"/>
  <c r="R368" i="1"/>
  <c r="R159" i="1"/>
  <c r="R347" i="1"/>
  <c r="R128" i="1"/>
  <c r="R103" i="1"/>
  <c r="R373" i="1"/>
  <c r="R453" i="1"/>
  <c r="R62" i="1"/>
  <c r="R142" i="1"/>
  <c r="R298" i="1"/>
  <c r="R279" i="1"/>
  <c r="R382" i="1"/>
  <c r="R464" i="1"/>
  <c r="R207" i="1"/>
  <c r="R32" i="1"/>
  <c r="R340" i="1"/>
  <c r="R71" i="1"/>
  <c r="R260" i="1"/>
  <c r="R413" i="1"/>
  <c r="R184" i="1"/>
  <c r="R54" i="1"/>
  <c r="R118" i="1"/>
  <c r="R206" i="1"/>
  <c r="R410" i="1"/>
  <c r="R343" i="1"/>
  <c r="R412" i="1"/>
  <c r="R172" i="1"/>
  <c r="R460" i="1"/>
  <c r="R115" i="1"/>
  <c r="R395" i="1"/>
  <c r="R131" i="1"/>
  <c r="R259" i="1"/>
  <c r="R372" i="1"/>
  <c r="R387" i="1"/>
  <c r="R147" i="1"/>
  <c r="R275" i="1"/>
  <c r="R403" i="1"/>
  <c r="R227" i="1"/>
  <c r="R355" i="1"/>
  <c r="R417" i="1"/>
  <c r="R300" i="1"/>
  <c r="R105" i="1"/>
  <c r="R399" i="1"/>
  <c r="R276" i="1"/>
  <c r="R406" i="1"/>
  <c r="R139" i="1"/>
  <c r="R33" i="1"/>
  <c r="R161" i="1"/>
  <c r="R257" i="1"/>
  <c r="R353" i="1"/>
  <c r="R24" i="1"/>
  <c r="R212" i="1"/>
  <c r="R454" i="1"/>
  <c r="R91" i="1"/>
  <c r="R283" i="1"/>
  <c r="R76" i="1"/>
  <c r="R286" i="1"/>
  <c r="R328" i="1"/>
  <c r="R200" i="1"/>
  <c r="R74" i="1"/>
  <c r="R174" i="1"/>
  <c r="R378" i="1"/>
  <c r="R140" i="1"/>
  <c r="R37" i="1"/>
  <c r="R117" i="1"/>
  <c r="R197" i="1"/>
  <c r="R456" i="1"/>
  <c r="R258" i="1"/>
  <c r="R199" i="1"/>
  <c r="R393" i="1"/>
  <c r="R168" i="1"/>
  <c r="R66" i="1"/>
  <c r="R186" i="1"/>
  <c r="R402" i="1"/>
  <c r="R204" i="1"/>
  <c r="R61" i="1"/>
  <c r="R141" i="1"/>
  <c r="R221" i="1"/>
  <c r="R317" i="1"/>
  <c r="R407" i="1"/>
  <c r="R144" i="1"/>
  <c r="R418" i="1"/>
  <c r="R293" i="1"/>
  <c r="R335" i="1"/>
  <c r="R112" i="1"/>
  <c r="R188" i="1"/>
  <c r="R366" i="1"/>
  <c r="R35" i="1"/>
  <c r="R191" i="1"/>
  <c r="R383" i="1"/>
  <c r="R210" i="1"/>
  <c r="R231" i="1"/>
  <c r="R389" i="1"/>
  <c r="R252" i="1"/>
  <c r="R78" i="1"/>
  <c r="R162" i="1"/>
  <c r="R394" i="1"/>
  <c r="R119" i="1"/>
  <c r="R414" i="1"/>
  <c r="R83" i="1"/>
  <c r="R239" i="1"/>
  <c r="R68" i="1"/>
  <c r="R214" i="1"/>
  <c r="R167" i="1"/>
  <c r="R365" i="1"/>
  <c r="R429" i="1"/>
  <c r="R280" i="1"/>
  <c r="R70" i="1"/>
  <c r="R154" i="1"/>
  <c r="R282" i="1"/>
  <c r="R458" i="1"/>
  <c r="R306" i="1"/>
  <c r="R201" i="1"/>
  <c r="R291" i="1"/>
  <c r="R185" i="1"/>
  <c r="R419" i="1"/>
  <c r="R444" i="1"/>
  <c r="R463" i="1"/>
  <c r="R324" i="1"/>
  <c r="R438" i="1"/>
  <c r="R171" i="1"/>
  <c r="R177" i="1"/>
  <c r="R331" i="1"/>
  <c r="R308" i="1"/>
  <c r="R315" i="1"/>
  <c r="R292" i="1"/>
  <c r="R404" i="1"/>
  <c r="R60" i="1"/>
  <c r="R264" i="1"/>
  <c r="R436" i="1"/>
  <c r="R333" i="1"/>
  <c r="R309" i="1"/>
  <c r="R430" i="1"/>
  <c r="R238" i="1"/>
  <c r="R94" i="1"/>
  <c r="R220" i="1"/>
  <c r="R270" i="1"/>
  <c r="R348" i="1"/>
  <c r="R79" i="1"/>
  <c r="R435" i="1"/>
  <c r="R339" i="1"/>
  <c r="R323" i="1"/>
  <c r="R379" i="1"/>
  <c r="R449" i="1"/>
  <c r="R310" i="1"/>
  <c r="R116" i="1"/>
  <c r="R106" i="1"/>
  <c r="R53" i="1"/>
  <c r="R254" i="1"/>
  <c r="R114" i="1"/>
  <c r="R77" i="1"/>
  <c r="R392" i="1"/>
  <c r="R455" i="1"/>
  <c r="R67" i="1"/>
  <c r="R359" i="1"/>
  <c r="R198" i="1"/>
  <c r="R143" i="1"/>
  <c r="R295" i="1"/>
  <c r="R86" i="1"/>
  <c r="R211" i="1"/>
  <c r="R195" i="1"/>
  <c r="R385" i="1"/>
  <c r="R316" i="1"/>
  <c r="R87" i="1"/>
  <c r="R194" i="1"/>
  <c r="R133" i="1"/>
  <c r="R124" i="1"/>
  <c r="R202" i="1"/>
  <c r="R157" i="1"/>
  <c r="R244" i="1"/>
  <c r="R180" i="1"/>
  <c r="R223" i="1"/>
  <c r="R421" i="1"/>
  <c r="R434" i="1"/>
  <c r="R303" i="1"/>
  <c r="R381" i="1"/>
  <c r="R170" i="1"/>
  <c r="R411" i="1"/>
  <c r="R459" i="1"/>
  <c r="R443" i="1"/>
  <c r="R307" i="1"/>
  <c r="R155" i="1"/>
  <c r="R369" i="1"/>
  <c r="R426" i="1"/>
  <c r="R229" i="1"/>
  <c r="R409" i="1"/>
  <c r="R442" i="1"/>
  <c r="R253" i="1"/>
  <c r="R234" i="1"/>
  <c r="R386" i="1"/>
  <c r="R48" i="1"/>
  <c r="R296" i="1"/>
  <c r="R396" i="1"/>
  <c r="R104" i="1"/>
  <c r="R445" i="1"/>
  <c r="R338" i="1"/>
  <c r="R271" i="1"/>
  <c r="R371" i="1"/>
  <c r="R179" i="1"/>
  <c r="R7" i="1"/>
  <c r="R6" i="1"/>
  <c r="R21" i="1"/>
  <c r="R13" i="1"/>
  <c r="R11" i="1"/>
  <c r="R5" i="1"/>
  <c r="R8" i="1"/>
  <c r="R10" i="1"/>
  <c r="R18" i="1"/>
  <c r="R23" i="1"/>
  <c r="R9" i="1"/>
  <c r="R19" i="1"/>
  <c r="R15" i="1"/>
  <c r="R12" i="1"/>
  <c r="R20" i="1"/>
  <c r="R16" i="1"/>
  <c r="R17" i="1"/>
  <c r="R14" i="1"/>
  <c r="R3" i="1"/>
  <c r="R4" i="1"/>
  <c r="R22" i="1"/>
  <c r="F8" i="4"/>
</calcChain>
</file>

<file path=xl/sharedStrings.xml><?xml version="1.0" encoding="utf-8"?>
<sst xmlns="http://schemas.openxmlformats.org/spreadsheetml/2006/main" count="186" uniqueCount="179">
  <si>
    <t>Date</t>
  </si>
  <si>
    <t>Close</t>
  </si>
  <si>
    <t>SBI</t>
  </si>
  <si>
    <t>PNB</t>
  </si>
  <si>
    <t>R_Mean_SBI</t>
  </si>
  <si>
    <t>R_Mean_PNB</t>
  </si>
  <si>
    <t>Ret_SBI</t>
  </si>
  <si>
    <t>Ret_PNB</t>
  </si>
  <si>
    <t>Si -Sm</t>
  </si>
  <si>
    <t>Pi-Pm</t>
  </si>
  <si>
    <t>Std_SBI</t>
  </si>
  <si>
    <t>(Si-Sm)^2</t>
  </si>
  <si>
    <t>(Pi-Pm)^2</t>
  </si>
  <si>
    <t>Std_PNB</t>
  </si>
  <si>
    <t>Cov_SBI_PNB</t>
  </si>
  <si>
    <t>w</t>
  </si>
  <si>
    <t>1-w</t>
  </si>
  <si>
    <t>Product</t>
  </si>
  <si>
    <t>Exp Return</t>
  </si>
  <si>
    <t>Exp  Std Returns</t>
  </si>
  <si>
    <t>Returns</t>
  </si>
  <si>
    <t>Average</t>
  </si>
  <si>
    <t>Std dev</t>
  </si>
  <si>
    <t>Variance</t>
  </si>
  <si>
    <t>Drift</t>
  </si>
  <si>
    <t xml:space="preserve">Exp Closing 1 </t>
  </si>
  <si>
    <t>Exp Closing 3</t>
  </si>
  <si>
    <t>Exp Closing 4</t>
  </si>
  <si>
    <t>Exp Closing 5</t>
  </si>
  <si>
    <t>Exp Closing 6</t>
  </si>
  <si>
    <t>Exp Closing 7</t>
  </si>
  <si>
    <t>Exp Closing 8</t>
  </si>
  <si>
    <t>Exp Closing 9</t>
  </si>
  <si>
    <t>Exp Closing 10</t>
  </si>
  <si>
    <t>SMA_20</t>
  </si>
  <si>
    <t>STD_DEV</t>
  </si>
  <si>
    <t>2nd_Std_Up</t>
  </si>
  <si>
    <t>2nd_Std_Down</t>
  </si>
  <si>
    <t>Var_Percent</t>
  </si>
  <si>
    <t>Stock_Price</t>
  </si>
  <si>
    <t>Var_Value_Dollars</t>
  </si>
  <si>
    <t>Portfolio_Dollars</t>
  </si>
  <si>
    <t>Log Normal</t>
  </si>
  <si>
    <t>Exp Closing 2</t>
  </si>
  <si>
    <t>Exp Closing 11</t>
  </si>
  <si>
    <t>Exp Closing 12</t>
  </si>
  <si>
    <t>Exp Closing 13</t>
  </si>
  <si>
    <t>Exp Closing 14</t>
  </si>
  <si>
    <t>Exp Closing 15</t>
  </si>
  <si>
    <t>Exp Closing 16</t>
  </si>
  <si>
    <t>Exp Closing 17</t>
  </si>
  <si>
    <t>Exp Closing 18</t>
  </si>
  <si>
    <t>Exp Closing 19</t>
  </si>
  <si>
    <t>Exp Closing 20</t>
  </si>
  <si>
    <t>Exp Closing 21</t>
  </si>
  <si>
    <t>Exp Closing 22</t>
  </si>
  <si>
    <t>Exp Closing 23</t>
  </si>
  <si>
    <t>Exp Closing 24</t>
  </si>
  <si>
    <t>Exp Closing 25</t>
  </si>
  <si>
    <t>Exp Closing 26</t>
  </si>
  <si>
    <t>Exp Closing 27</t>
  </si>
  <si>
    <t>Exp Closing 28</t>
  </si>
  <si>
    <t>Exp Closing 29</t>
  </si>
  <si>
    <t>Exp Closing 30</t>
  </si>
  <si>
    <t>Exp Closing 31</t>
  </si>
  <si>
    <t>Exp Closing 32</t>
  </si>
  <si>
    <t>Exp Closing 33</t>
  </si>
  <si>
    <t>Exp Closing 34</t>
  </si>
  <si>
    <t>Exp Closing 35</t>
  </si>
  <si>
    <t>Exp Closing 36</t>
  </si>
  <si>
    <t>Exp Closing 37</t>
  </si>
  <si>
    <t>Exp Closing 38</t>
  </si>
  <si>
    <t>Exp Closing 39</t>
  </si>
  <si>
    <t>Exp Closing 40</t>
  </si>
  <si>
    <t>Exp Closing 41</t>
  </si>
  <si>
    <t>Exp Closing 42</t>
  </si>
  <si>
    <t>Exp Closing 43</t>
  </si>
  <si>
    <t>Exp Closing 44</t>
  </si>
  <si>
    <t>Exp Closing 45</t>
  </si>
  <si>
    <t>Exp Closing 46</t>
  </si>
  <si>
    <t>Exp Closing 47</t>
  </si>
  <si>
    <t>Exp Closing 48</t>
  </si>
  <si>
    <t>Exp Closing 49</t>
  </si>
  <si>
    <t>Exp Closing 50</t>
  </si>
  <si>
    <t>Exp Closing 51</t>
  </si>
  <si>
    <t>Exp Closing 52</t>
  </si>
  <si>
    <t>Exp Closing 53</t>
  </si>
  <si>
    <t>Exp Closing 54</t>
  </si>
  <si>
    <t>Exp Closing 55</t>
  </si>
  <si>
    <t>Exp Closing 56</t>
  </si>
  <si>
    <t>Exp Closing 57</t>
  </si>
  <si>
    <t>Exp Closing 58</t>
  </si>
  <si>
    <t>Exp Closing 59</t>
  </si>
  <si>
    <t>Exp Closing 60</t>
  </si>
  <si>
    <t>Exp Closing 61</t>
  </si>
  <si>
    <t>Exp Closing 62</t>
  </si>
  <si>
    <t>Exp Closing 63</t>
  </si>
  <si>
    <t>Exp Closing 64</t>
  </si>
  <si>
    <t>Exp Closing 65</t>
  </si>
  <si>
    <t>Exp Closing 66</t>
  </si>
  <si>
    <t>Exp Closing 67</t>
  </si>
  <si>
    <t>Exp Closing 68</t>
  </si>
  <si>
    <t>Exp Closing 69</t>
  </si>
  <si>
    <t>Exp Closing 70</t>
  </si>
  <si>
    <t>Exp Closing 71</t>
  </si>
  <si>
    <t>Exp Closing 72</t>
  </si>
  <si>
    <t>Exp Closing 73</t>
  </si>
  <si>
    <t>Exp Closing 74</t>
  </si>
  <si>
    <t>Exp Closing 75</t>
  </si>
  <si>
    <t>Exp Closing 76</t>
  </si>
  <si>
    <t>Exp Closing 77</t>
  </si>
  <si>
    <t>Exp Closing 78</t>
  </si>
  <si>
    <t>Exp Closing 79</t>
  </si>
  <si>
    <t>Exp Closing 80</t>
  </si>
  <si>
    <t>Exp Closing 81</t>
  </si>
  <si>
    <t>Exp Closing 82</t>
  </si>
  <si>
    <t>Exp Closing 83</t>
  </si>
  <si>
    <t>Exp Closing 84</t>
  </si>
  <si>
    <t>Exp Closing 85</t>
  </si>
  <si>
    <t>Exp Closing 86</t>
  </si>
  <si>
    <t>Exp Closing 87</t>
  </si>
  <si>
    <t>Exp Closing 88</t>
  </si>
  <si>
    <t>Exp Closing 89</t>
  </si>
  <si>
    <t>Exp Closing 90</t>
  </si>
  <si>
    <t>Exp Closing 91</t>
  </si>
  <si>
    <t>Exp Closing 92</t>
  </si>
  <si>
    <t>Exp Closing 93</t>
  </si>
  <si>
    <t>Exp Closing 94</t>
  </si>
  <si>
    <t>Exp Closing 95</t>
  </si>
  <si>
    <t>Exp Closing 96</t>
  </si>
  <si>
    <t>Exp Closing 97</t>
  </si>
  <si>
    <t>Exp Closing 98</t>
  </si>
  <si>
    <t>Exp Closing 99</t>
  </si>
  <si>
    <t>Exp Closing 100</t>
  </si>
  <si>
    <t>Exp Closing 101</t>
  </si>
  <si>
    <t>Exp Closing 102</t>
  </si>
  <si>
    <t>Exp Closing 103</t>
  </si>
  <si>
    <t>Exp Closing 104</t>
  </si>
  <si>
    <t>Exp Closing 105</t>
  </si>
  <si>
    <t>Exp Closing 106</t>
  </si>
  <si>
    <t>Exp Closing 107</t>
  </si>
  <si>
    <t>Exp Closing 108</t>
  </si>
  <si>
    <t>Exp Closing 109</t>
  </si>
  <si>
    <t>Exp Closing 110</t>
  </si>
  <si>
    <t>Exp Closing 111</t>
  </si>
  <si>
    <t>Exp Closing 112</t>
  </si>
  <si>
    <t>Exp Closing 113</t>
  </si>
  <si>
    <t>Exp Closing 114</t>
  </si>
  <si>
    <t>Exp Closing 115</t>
  </si>
  <si>
    <t>Exp Closing 116</t>
  </si>
  <si>
    <t>Exp Closing 117</t>
  </si>
  <si>
    <t>Exp Closing 118</t>
  </si>
  <si>
    <t>Exp Closing 119</t>
  </si>
  <si>
    <t>Exp Closing 120</t>
  </si>
  <si>
    <t>Exp Closing 121</t>
  </si>
  <si>
    <t>Exp Closing 122</t>
  </si>
  <si>
    <t>Exp Closing 123</t>
  </si>
  <si>
    <t>Exp Closing 124</t>
  </si>
  <si>
    <t>Exp Closing 125</t>
  </si>
  <si>
    <t>Exp Closing 126</t>
  </si>
  <si>
    <t>Exp Closing 127</t>
  </si>
  <si>
    <t>Exp Closing 128</t>
  </si>
  <si>
    <t>Exp Closing 129</t>
  </si>
  <si>
    <t>Exp Closing 130</t>
  </si>
  <si>
    <t>Exp Closing 131</t>
  </si>
  <si>
    <t>Exp Closing 132</t>
  </si>
  <si>
    <t>Exp Closing 133</t>
  </si>
  <si>
    <t>Exp Closing 134</t>
  </si>
  <si>
    <t>Exp Closing 135</t>
  </si>
  <si>
    <t>Exp Closing 136</t>
  </si>
  <si>
    <t>Exp Closing 137</t>
  </si>
  <si>
    <t>Exp Closing 138</t>
  </si>
  <si>
    <t>Exp Closing 139</t>
  </si>
  <si>
    <t>Exp Closing 140</t>
  </si>
  <si>
    <t>Exp Closing 141</t>
  </si>
  <si>
    <t>Exp Closing 142</t>
  </si>
  <si>
    <t>Exp Closing 143</t>
  </si>
  <si>
    <t>Exp Closing 144</t>
  </si>
  <si>
    <t>Exp Closing 145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</si>
</sst>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Rs.&quot;\ #,##0.00;[Red]&quot;Rs.&quot;\ \-#,##0.00"/>
    <numFmt numFmtId="165" formatCode="[$$-409]#,##0.00_ ;[Red]\-[$$-409]#,##0.00\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5">
    <xf numFmtId="0" fontId="0" fillId="0" borderId="0" xfId="0"/>
    <xf numFmtId="0" fontId="0" fillId="0" borderId="0" xfId="0" applyNumberFormat="1"/>
    <xf numFmtId="0" fontId="0" fillId="34" borderId="0" xfId="0" applyFill="1"/>
    <xf numFmtId="14" fontId="0" fillId="35" borderId="0" xfId="0" applyNumberFormat="1" applyFill="1"/>
    <xf numFmtId="0" fontId="0" fillId="35" borderId="0" xfId="0" applyFill="1"/>
    <xf numFmtId="2" fontId="0" fillId="35" borderId="0" xfId="0" applyNumberFormat="1" applyFill="1"/>
    <xf numFmtId="0" fontId="0" fillId="36" borderId="0" xfId="0" applyFill="1"/>
    <xf numFmtId="0" fontId="0" fillId="36" borderId="0" xfId="0" applyNumberFormat="1" applyFill="1"/>
    <xf numFmtId="0" fontId="0" fillId="37" borderId="0" xfId="0" applyFill="1"/>
    <xf numFmtId="0" fontId="0" fillId="37" borderId="0" xfId="0" applyNumberFormat="1" applyFill="1"/>
    <xf numFmtId="0" fontId="0" fillId="38" borderId="0" xfId="0" applyFill="1"/>
    <xf numFmtId="14" fontId="0" fillId="36" borderId="0" xfId="0" applyNumberFormat="1" applyFill="1"/>
    <xf numFmtId="0" fontId="10" fillId="6" borderId="10" xfId="10" applyBorder="1"/>
    <xf numFmtId="164" fontId="10" fillId="6" borderId="11" xfId="10" applyNumberFormat="1" applyBorder="1"/>
    <xf numFmtId="0" fontId="10" fillId="6" borderId="12" xfId="10" applyBorder="1"/>
    <xf numFmtId="9" fontId="10" fillId="6" borderId="13" xfId="10" applyNumberFormat="1" applyBorder="1"/>
    <xf numFmtId="0" fontId="10" fillId="6" borderId="13" xfId="10" applyBorder="1"/>
    <xf numFmtId="0" fontId="10" fillId="6" borderId="14" xfId="10" applyBorder="1"/>
    <xf numFmtId="165" fontId="10" fillId="6" borderId="15" xfId="10" applyNumberFormat="1" applyBorder="1"/>
    <xf numFmtId="0" fontId="16" fillId="37" borderId="0" xfId="0" applyFont="1" applyFill="1"/>
    <xf numFmtId="0" fontId="16" fillId="39" borderId="0" xfId="0" applyFont="1" applyFill="1"/>
    <xf numFmtId="0" fontId="16" fillId="39" borderId="0" xfId="0" applyNumberFormat="1" applyFont="1" applyFill="1"/>
    <xf numFmtId="0" fontId="16" fillId="33" borderId="0" xfId="0" applyFont="1" applyFill="1"/>
    <xf numFmtId="0" fontId="0" fillId="40" borderId="0" xfId="0" applyFill="1"/>
    <xf numFmtId="14" fontId="0" fillId="38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w Vs [Std Deviation, Returns]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790613673290838"/>
          <c:y val="0.17538886371228135"/>
          <c:w val="0.6848528698063685"/>
          <c:h val="0.66188625777678001"/>
        </c:manualLayout>
      </c:layout>
      <c:scatterChart>
        <c:scatterStyle val="lineMarker"/>
        <c:varyColors val="0"/>
        <c:ser>
          <c:idx val="0"/>
          <c:order val="0"/>
          <c:tx>
            <c:v>Expected Standard Deviation</c:v>
          </c:tx>
          <c:spPr>
            <a:ln w="28575">
              <a:noFill/>
            </a:ln>
          </c:spPr>
          <c:xVal>
            <c:numRef>
              <c:f>'Portfolio weights '!$P$3:$P$464</c:f>
              <c:numCache>
                <c:formatCode>General</c:formatCode>
                <c:ptCount val="462"/>
                <c:pt idx="0">
                  <c:v>0.27513063159079842</c:v>
                </c:pt>
                <c:pt idx="1">
                  <c:v>0.6321795958083064</c:v>
                </c:pt>
                <c:pt idx="2">
                  <c:v>0.81647001149761422</c:v>
                </c:pt>
                <c:pt idx="3">
                  <c:v>0.94316401159691754</c:v>
                </c:pt>
                <c:pt idx="4">
                  <c:v>0.47179927036901281</c:v>
                </c:pt>
                <c:pt idx="5">
                  <c:v>0.54376918866418711</c:v>
                </c:pt>
                <c:pt idx="6">
                  <c:v>6.8556063463360628E-2</c:v>
                </c:pt>
                <c:pt idx="7">
                  <c:v>0.36962861195356633</c:v>
                </c:pt>
                <c:pt idx="8">
                  <c:v>0.83113312363637537</c:v>
                </c:pt>
                <c:pt idx="9">
                  <c:v>0.18227568955621831</c:v>
                </c:pt>
                <c:pt idx="10">
                  <c:v>0.52737373290058243</c:v>
                </c:pt>
                <c:pt idx="11">
                  <c:v>0.74040065480012451</c:v>
                </c:pt>
                <c:pt idx="12">
                  <c:v>0.29563587048725637</c:v>
                </c:pt>
                <c:pt idx="13">
                  <c:v>0.86479842416975539</c:v>
                </c:pt>
                <c:pt idx="14">
                  <c:v>0.5764012465381696</c:v>
                </c:pt>
                <c:pt idx="15">
                  <c:v>0.5063004402873138</c:v>
                </c:pt>
                <c:pt idx="16">
                  <c:v>0.28172580774314271</c:v>
                </c:pt>
                <c:pt idx="17">
                  <c:v>8.8226890265836078E-2</c:v>
                </c:pt>
                <c:pt idx="18">
                  <c:v>0.91425788123838592</c:v>
                </c:pt>
                <c:pt idx="19">
                  <c:v>0.75783467487338629</c:v>
                </c:pt>
                <c:pt idx="20">
                  <c:v>0.35324442784412757</c:v>
                </c:pt>
                <c:pt idx="21">
                  <c:v>0.97553373719154202</c:v>
                </c:pt>
                <c:pt idx="22">
                  <c:v>0.55897935398550203</c:v>
                </c:pt>
                <c:pt idx="23">
                  <c:v>0.9347336634620016</c:v>
                </c:pt>
                <c:pt idx="24">
                  <c:v>0.97412144945067913</c:v>
                </c:pt>
                <c:pt idx="25">
                  <c:v>0.48265023842609012</c:v>
                </c:pt>
                <c:pt idx="26">
                  <c:v>0.70669289469874386</c:v>
                </c:pt>
                <c:pt idx="27">
                  <c:v>0.8436084960038045</c:v>
                </c:pt>
                <c:pt idx="28">
                  <c:v>0.80146557917580508</c:v>
                </c:pt>
                <c:pt idx="29">
                  <c:v>7.4692094727279335E-2</c:v>
                </c:pt>
                <c:pt idx="30">
                  <c:v>0.15083347908678812</c:v>
                </c:pt>
                <c:pt idx="31">
                  <c:v>0.35873151005614357</c:v>
                </c:pt>
                <c:pt idx="32">
                  <c:v>0.52987598278370485</c:v>
                </c:pt>
                <c:pt idx="33">
                  <c:v>0.69910345579004396</c:v>
                </c:pt>
                <c:pt idx="34">
                  <c:v>0.93221176040931664</c:v>
                </c:pt>
                <c:pt idx="35">
                  <c:v>0.56739171487453843</c:v>
                </c:pt>
                <c:pt idx="36">
                  <c:v>4.0114276732829746E-2</c:v>
                </c:pt>
                <c:pt idx="37">
                  <c:v>0.98046908360601748</c:v>
                </c:pt>
                <c:pt idx="38">
                  <c:v>0.47588663405719156</c:v>
                </c:pt>
                <c:pt idx="39">
                  <c:v>0.91556094505735519</c:v>
                </c:pt>
                <c:pt idx="40">
                  <c:v>0.99002058267059301</c:v>
                </c:pt>
                <c:pt idx="41">
                  <c:v>0.25799426489751542</c:v>
                </c:pt>
                <c:pt idx="42">
                  <c:v>0.85428347968240215</c:v>
                </c:pt>
                <c:pt idx="43">
                  <c:v>0.85777932975968774</c:v>
                </c:pt>
                <c:pt idx="44">
                  <c:v>0.54295414048218316</c:v>
                </c:pt>
                <c:pt idx="45">
                  <c:v>0.53706368342869071</c:v>
                </c:pt>
                <c:pt idx="46">
                  <c:v>0.79073671781334243</c:v>
                </c:pt>
                <c:pt idx="47">
                  <c:v>0.14899161732586441</c:v>
                </c:pt>
                <c:pt idx="48">
                  <c:v>0.27096145606211453</c:v>
                </c:pt>
                <c:pt idx="49">
                  <c:v>1.6030217884058229E-2</c:v>
                </c:pt>
                <c:pt idx="50">
                  <c:v>0.63693453070526163</c:v>
                </c:pt>
                <c:pt idx="51">
                  <c:v>8.8288411237140596E-2</c:v>
                </c:pt>
                <c:pt idx="52">
                  <c:v>0.17759139081260766</c:v>
                </c:pt>
                <c:pt idx="53">
                  <c:v>0.37803326634357504</c:v>
                </c:pt>
                <c:pt idx="54">
                  <c:v>0.80622891689439569</c:v>
                </c:pt>
                <c:pt idx="55">
                  <c:v>0.52863373158511728</c:v>
                </c:pt>
                <c:pt idx="56">
                  <c:v>0.79997800304841271</c:v>
                </c:pt>
                <c:pt idx="57">
                  <c:v>0.73093308023798931</c:v>
                </c:pt>
                <c:pt idx="58">
                  <c:v>0.10856008849041776</c:v>
                </c:pt>
                <c:pt idx="59">
                  <c:v>0.54883716988977094</c:v>
                </c:pt>
                <c:pt idx="60">
                  <c:v>0.20077572008122924</c:v>
                </c:pt>
                <c:pt idx="61">
                  <c:v>0.76941803724334101</c:v>
                </c:pt>
                <c:pt idx="62">
                  <c:v>8.5777996915371135E-2</c:v>
                </c:pt>
                <c:pt idx="63">
                  <c:v>0.16827903901837882</c:v>
                </c:pt>
                <c:pt idx="64">
                  <c:v>0.57586104687592665</c:v>
                </c:pt>
                <c:pt idx="65">
                  <c:v>0.30975366397523052</c:v>
                </c:pt>
                <c:pt idx="66">
                  <c:v>0.68787468321661172</c:v>
                </c:pt>
                <c:pt idx="67">
                  <c:v>0.99091148234538196</c:v>
                </c:pt>
                <c:pt idx="68">
                  <c:v>0.86417978062084533</c:v>
                </c:pt>
                <c:pt idx="69">
                  <c:v>0.3567606135351743</c:v>
                </c:pt>
                <c:pt idx="70">
                  <c:v>0.49803117651490802</c:v>
                </c:pt>
                <c:pt idx="71">
                  <c:v>0.45722024419986163</c:v>
                </c:pt>
                <c:pt idx="72">
                  <c:v>0.37234469138492954</c:v>
                </c:pt>
                <c:pt idx="73">
                  <c:v>0.35721541451361627</c:v>
                </c:pt>
                <c:pt idx="74">
                  <c:v>0.97024875972636515</c:v>
                </c:pt>
                <c:pt idx="75">
                  <c:v>0.84692310601741549</c:v>
                </c:pt>
                <c:pt idx="76">
                  <c:v>0.45098982626746942</c:v>
                </c:pt>
                <c:pt idx="77">
                  <c:v>0.54150552164929266</c:v>
                </c:pt>
                <c:pt idx="78">
                  <c:v>0.26655584626263118</c:v>
                </c:pt>
                <c:pt idx="79">
                  <c:v>0.40296108974097622</c:v>
                </c:pt>
                <c:pt idx="80">
                  <c:v>0.28377756539848009</c:v>
                </c:pt>
                <c:pt idx="81">
                  <c:v>0.68641599461358327</c:v>
                </c:pt>
                <c:pt idx="82">
                  <c:v>0.27672328198078711</c:v>
                </c:pt>
                <c:pt idx="83">
                  <c:v>0.76607597473741473</c:v>
                </c:pt>
                <c:pt idx="84">
                  <c:v>0.15331513944316355</c:v>
                </c:pt>
                <c:pt idx="85">
                  <c:v>0.96788222823665382</c:v>
                </c:pt>
                <c:pt idx="86">
                  <c:v>0.48109518875726209</c:v>
                </c:pt>
                <c:pt idx="87">
                  <c:v>0.83299386663790342</c:v>
                </c:pt>
                <c:pt idx="88">
                  <c:v>7.5223770831600922E-2</c:v>
                </c:pt>
                <c:pt idx="89">
                  <c:v>3.3413196962461811E-4</c:v>
                </c:pt>
                <c:pt idx="90">
                  <c:v>0.97919979781011868</c:v>
                </c:pt>
                <c:pt idx="91">
                  <c:v>0.9465007279338965</c:v>
                </c:pt>
                <c:pt idx="92">
                  <c:v>0.17810218255661625</c:v>
                </c:pt>
                <c:pt idx="93">
                  <c:v>0.15884981982321811</c:v>
                </c:pt>
                <c:pt idx="94">
                  <c:v>0.76504278435930517</c:v>
                </c:pt>
                <c:pt idx="95">
                  <c:v>0.86714106504011523</c:v>
                </c:pt>
                <c:pt idx="96">
                  <c:v>0.96918872922103949</c:v>
                </c:pt>
                <c:pt idx="97">
                  <c:v>0.22955913152402729</c:v>
                </c:pt>
                <c:pt idx="98">
                  <c:v>0.88150906405535279</c:v>
                </c:pt>
                <c:pt idx="99">
                  <c:v>0.56024850760880673</c:v>
                </c:pt>
                <c:pt idx="100">
                  <c:v>0.68521908718560653</c:v>
                </c:pt>
                <c:pt idx="101">
                  <c:v>0.95100539747122625</c:v>
                </c:pt>
                <c:pt idx="102">
                  <c:v>0.19015579454140352</c:v>
                </c:pt>
                <c:pt idx="103">
                  <c:v>0.72975068700207368</c:v>
                </c:pt>
                <c:pt idx="104">
                  <c:v>0.14669497545466037</c:v>
                </c:pt>
                <c:pt idx="105">
                  <c:v>0.13620575911779831</c:v>
                </c:pt>
                <c:pt idx="106">
                  <c:v>0.91709221324310042</c:v>
                </c:pt>
                <c:pt idx="107">
                  <c:v>0.50378786862591762</c:v>
                </c:pt>
                <c:pt idx="108">
                  <c:v>0.12287609130315702</c:v>
                </c:pt>
                <c:pt idx="109">
                  <c:v>0.25097465544434261</c:v>
                </c:pt>
                <c:pt idx="110">
                  <c:v>0.23081281224888051</c:v>
                </c:pt>
                <c:pt idx="111">
                  <c:v>4.4529063923932855E-2</c:v>
                </c:pt>
                <c:pt idx="112">
                  <c:v>0.90681065289410401</c:v>
                </c:pt>
                <c:pt idx="113">
                  <c:v>0.6187945113148785</c:v>
                </c:pt>
                <c:pt idx="114">
                  <c:v>0.91835307978192982</c:v>
                </c:pt>
                <c:pt idx="115">
                  <c:v>0.49522941672532894</c:v>
                </c:pt>
                <c:pt idx="116">
                  <c:v>1.1685619814403747E-2</c:v>
                </c:pt>
                <c:pt idx="117">
                  <c:v>0.63467877148750496</c:v>
                </c:pt>
                <c:pt idx="118">
                  <c:v>0.73054231558417371</c:v>
                </c:pt>
                <c:pt idx="119">
                  <c:v>4.2570623734472512E-3</c:v>
                </c:pt>
                <c:pt idx="120">
                  <c:v>0.10046370738556321</c:v>
                </c:pt>
                <c:pt idx="121">
                  <c:v>0.16611918042123064</c:v>
                </c:pt>
                <c:pt idx="122">
                  <c:v>0.20622001273938928</c:v>
                </c:pt>
                <c:pt idx="123">
                  <c:v>0.63968200864521907</c:v>
                </c:pt>
                <c:pt idx="124">
                  <c:v>0.67032712161750052</c:v>
                </c:pt>
                <c:pt idx="125">
                  <c:v>0.33758956829607156</c:v>
                </c:pt>
                <c:pt idx="126">
                  <c:v>0.61821005796887629</c:v>
                </c:pt>
                <c:pt idx="127">
                  <c:v>7.6763322710650783E-2</c:v>
                </c:pt>
                <c:pt idx="128">
                  <c:v>0.19220861468492778</c:v>
                </c:pt>
                <c:pt idx="129">
                  <c:v>8.8422689170648439E-2</c:v>
                </c:pt>
                <c:pt idx="130">
                  <c:v>0.32128103423026699</c:v>
                </c:pt>
                <c:pt idx="131">
                  <c:v>1.500905228239191E-2</c:v>
                </c:pt>
                <c:pt idx="132">
                  <c:v>0.7643208821240447</c:v>
                </c:pt>
                <c:pt idx="133">
                  <c:v>0.28583739222124893</c:v>
                </c:pt>
                <c:pt idx="134">
                  <c:v>0.36613523852043484</c:v>
                </c:pt>
                <c:pt idx="135">
                  <c:v>0.84345730934023799</c:v>
                </c:pt>
                <c:pt idx="136">
                  <c:v>0.79692247859864729</c:v>
                </c:pt>
                <c:pt idx="137">
                  <c:v>0.97717883158266172</c:v>
                </c:pt>
                <c:pt idx="138">
                  <c:v>0.25824884754000399</c:v>
                </c:pt>
                <c:pt idx="139">
                  <c:v>0.79050958510601654</c:v>
                </c:pt>
                <c:pt idx="140">
                  <c:v>0.66252601366420394</c:v>
                </c:pt>
                <c:pt idx="141">
                  <c:v>0.88171049864117168</c:v>
                </c:pt>
                <c:pt idx="142">
                  <c:v>0.92861883011729529</c:v>
                </c:pt>
                <c:pt idx="143">
                  <c:v>0.7338341910346371</c:v>
                </c:pt>
                <c:pt idx="144">
                  <c:v>0.89110716397922851</c:v>
                </c:pt>
                <c:pt idx="145">
                  <c:v>0.92729735613445441</c:v>
                </c:pt>
                <c:pt idx="146">
                  <c:v>0.37668058582377895</c:v>
                </c:pt>
                <c:pt idx="147">
                  <c:v>0.34432556046499685</c:v>
                </c:pt>
                <c:pt idx="148">
                  <c:v>1.4705286991492428E-2</c:v>
                </c:pt>
                <c:pt idx="149">
                  <c:v>0.4331617315442583</c:v>
                </c:pt>
                <c:pt idx="150">
                  <c:v>0.29280654119688954</c:v>
                </c:pt>
                <c:pt idx="151">
                  <c:v>0.34350742039344362</c:v>
                </c:pt>
                <c:pt idx="152">
                  <c:v>0.86638753059064344</c:v>
                </c:pt>
                <c:pt idx="153">
                  <c:v>0.7189415541664006</c:v>
                </c:pt>
                <c:pt idx="154">
                  <c:v>0.56611395548272525</c:v>
                </c:pt>
                <c:pt idx="155">
                  <c:v>0.39949153050380715</c:v>
                </c:pt>
                <c:pt idx="156">
                  <c:v>0.50133504859418143</c:v>
                </c:pt>
                <c:pt idx="157">
                  <c:v>0.99162482830315823</c:v>
                </c:pt>
                <c:pt idx="158">
                  <c:v>0.67098799117655084</c:v>
                </c:pt>
                <c:pt idx="159">
                  <c:v>2.9899913528078748E-2</c:v>
                </c:pt>
                <c:pt idx="160">
                  <c:v>0.53840024101527684</c:v>
                </c:pt>
                <c:pt idx="161">
                  <c:v>0.45635323022289154</c:v>
                </c:pt>
                <c:pt idx="162">
                  <c:v>0.84727242079130649</c:v>
                </c:pt>
                <c:pt idx="163">
                  <c:v>0.98167048179695959</c:v>
                </c:pt>
                <c:pt idx="164">
                  <c:v>0.27985150218207122</c:v>
                </c:pt>
                <c:pt idx="165">
                  <c:v>0.67953605306027021</c:v>
                </c:pt>
                <c:pt idx="166">
                  <c:v>0.53253689866348575</c:v>
                </c:pt>
                <c:pt idx="167">
                  <c:v>0.24553308228936077</c:v>
                </c:pt>
                <c:pt idx="168">
                  <c:v>0.83366040235903582</c:v>
                </c:pt>
                <c:pt idx="169">
                  <c:v>3.7407982825771957E-2</c:v>
                </c:pt>
                <c:pt idx="170">
                  <c:v>0.78571090895646523</c:v>
                </c:pt>
                <c:pt idx="171">
                  <c:v>0.82198693821301416</c:v>
                </c:pt>
                <c:pt idx="172">
                  <c:v>0.17694687890206917</c:v>
                </c:pt>
                <c:pt idx="173">
                  <c:v>0.97546445649874147</c:v>
                </c:pt>
                <c:pt idx="174">
                  <c:v>0.29645448649317752</c:v>
                </c:pt>
                <c:pt idx="175">
                  <c:v>0.66939051887236212</c:v>
                </c:pt>
                <c:pt idx="176">
                  <c:v>0.85137347318878698</c:v>
                </c:pt>
                <c:pt idx="177">
                  <c:v>0.68671652118265136</c:v>
                </c:pt>
                <c:pt idx="178">
                  <c:v>0.18453239328859861</c:v>
                </c:pt>
                <c:pt idx="179">
                  <c:v>7.7048218330787788E-2</c:v>
                </c:pt>
                <c:pt idx="180">
                  <c:v>0.52351507092984806</c:v>
                </c:pt>
                <c:pt idx="181">
                  <c:v>0.91045666462354669</c:v>
                </c:pt>
                <c:pt idx="182">
                  <c:v>1.6653549040780646E-2</c:v>
                </c:pt>
                <c:pt idx="183">
                  <c:v>0.18274367154695081</c:v>
                </c:pt>
                <c:pt idx="184">
                  <c:v>0.16466134593052795</c:v>
                </c:pt>
                <c:pt idx="185">
                  <c:v>0.26003537521192877</c:v>
                </c:pt>
                <c:pt idx="186">
                  <c:v>0.58272331917322828</c:v>
                </c:pt>
                <c:pt idx="187">
                  <c:v>0.40842529950018691</c:v>
                </c:pt>
                <c:pt idx="188">
                  <c:v>0.70670718091950568</c:v>
                </c:pt>
                <c:pt idx="189">
                  <c:v>0.39807366791902521</c:v>
                </c:pt>
                <c:pt idx="190">
                  <c:v>0.75126411468970711</c:v>
                </c:pt>
                <c:pt idx="191">
                  <c:v>3.5161464902937589E-2</c:v>
                </c:pt>
                <c:pt idx="192">
                  <c:v>0.35623371552784933</c:v>
                </c:pt>
                <c:pt idx="193">
                  <c:v>0.62283177707496551</c:v>
                </c:pt>
                <c:pt idx="194">
                  <c:v>0.4971150669402965</c:v>
                </c:pt>
                <c:pt idx="195">
                  <c:v>0.33943853439376215</c:v>
                </c:pt>
                <c:pt idx="196">
                  <c:v>0.82065559887956785</c:v>
                </c:pt>
                <c:pt idx="197">
                  <c:v>0.2197186309529201</c:v>
                </c:pt>
                <c:pt idx="198">
                  <c:v>0.63892770982671632</c:v>
                </c:pt>
                <c:pt idx="199">
                  <c:v>0.84319802533917887</c:v>
                </c:pt>
                <c:pt idx="200">
                  <c:v>0.42146708608752514</c:v>
                </c:pt>
                <c:pt idx="201">
                  <c:v>0.29784300807198227</c:v>
                </c:pt>
                <c:pt idx="202">
                  <c:v>0.57219480994627392</c:v>
                </c:pt>
                <c:pt idx="203">
                  <c:v>0.95768675118074775</c:v>
                </c:pt>
                <c:pt idx="204">
                  <c:v>3.4729399653430693E-2</c:v>
                </c:pt>
                <c:pt idx="205">
                  <c:v>0.46320306656610233</c:v>
                </c:pt>
                <c:pt idx="206">
                  <c:v>0.52011106817321018</c:v>
                </c:pt>
                <c:pt idx="207">
                  <c:v>0.12913339722643968</c:v>
                </c:pt>
                <c:pt idx="208">
                  <c:v>0.78970224572703962</c:v>
                </c:pt>
                <c:pt idx="209">
                  <c:v>0.1952550813627556</c:v>
                </c:pt>
                <c:pt idx="210">
                  <c:v>0.83242013960778272</c:v>
                </c:pt>
                <c:pt idx="211">
                  <c:v>0.4825551203536772</c:v>
                </c:pt>
                <c:pt idx="212">
                  <c:v>0.91069813706029146</c:v>
                </c:pt>
                <c:pt idx="213">
                  <c:v>5.5528653768950775E-2</c:v>
                </c:pt>
                <c:pt idx="214">
                  <c:v>0.70563065456142338</c:v>
                </c:pt>
                <c:pt idx="215">
                  <c:v>2.635502351175667E-2</c:v>
                </c:pt>
                <c:pt idx="216">
                  <c:v>0.14450936274630932</c:v>
                </c:pt>
                <c:pt idx="217">
                  <c:v>6.3291568750006522E-2</c:v>
                </c:pt>
                <c:pt idx="218">
                  <c:v>0.787282176062857</c:v>
                </c:pt>
                <c:pt idx="219">
                  <c:v>0.96297314602856521</c:v>
                </c:pt>
                <c:pt idx="220">
                  <c:v>0.66217998059594407</c:v>
                </c:pt>
                <c:pt idx="221">
                  <c:v>0.55673699945148392</c:v>
                </c:pt>
                <c:pt idx="222">
                  <c:v>0.58731190454648019</c:v>
                </c:pt>
                <c:pt idx="223">
                  <c:v>0.94415088743364994</c:v>
                </c:pt>
                <c:pt idx="224">
                  <c:v>0.91043787381974184</c:v>
                </c:pt>
                <c:pt idx="225">
                  <c:v>0.28472427073727691</c:v>
                </c:pt>
                <c:pt idx="226">
                  <c:v>0.23105666675525038</c:v>
                </c:pt>
                <c:pt idx="227">
                  <c:v>0.27324663807397387</c:v>
                </c:pt>
                <c:pt idx="228">
                  <c:v>0.60168974541352349</c:v>
                </c:pt>
                <c:pt idx="229">
                  <c:v>0.35039477704231559</c:v>
                </c:pt>
                <c:pt idx="230">
                  <c:v>0.68789544666486913</c:v>
                </c:pt>
                <c:pt idx="231">
                  <c:v>0.79651837397031988</c:v>
                </c:pt>
                <c:pt idx="232">
                  <c:v>0.92692910876586054</c:v>
                </c:pt>
                <c:pt idx="233">
                  <c:v>0.78701872708445431</c:v>
                </c:pt>
                <c:pt idx="234">
                  <c:v>0.56051158811778001</c:v>
                </c:pt>
                <c:pt idx="235">
                  <c:v>0.70958129427142558</c:v>
                </c:pt>
                <c:pt idx="236">
                  <c:v>7.204695217396595E-2</c:v>
                </c:pt>
                <c:pt idx="237">
                  <c:v>0.29863508754335999</c:v>
                </c:pt>
                <c:pt idx="238">
                  <c:v>0.78233339939525237</c:v>
                </c:pt>
                <c:pt idx="239">
                  <c:v>0.1209129781541366</c:v>
                </c:pt>
                <c:pt idx="240">
                  <c:v>0.85514367730653684</c:v>
                </c:pt>
                <c:pt idx="241">
                  <c:v>0.57736860868748396</c:v>
                </c:pt>
                <c:pt idx="242">
                  <c:v>0.4595857654694111</c:v>
                </c:pt>
                <c:pt idx="243">
                  <c:v>3.6121513401020877E-2</c:v>
                </c:pt>
                <c:pt idx="244">
                  <c:v>0.26331269955266379</c:v>
                </c:pt>
                <c:pt idx="245">
                  <c:v>0.34990241606938988</c:v>
                </c:pt>
                <c:pt idx="246">
                  <c:v>0.75974202145858383</c:v>
                </c:pt>
                <c:pt idx="247">
                  <c:v>9.5851076529043233E-3</c:v>
                </c:pt>
                <c:pt idx="248">
                  <c:v>0.97586406905706979</c:v>
                </c:pt>
                <c:pt idx="249">
                  <c:v>0.52570776947974718</c:v>
                </c:pt>
                <c:pt idx="250">
                  <c:v>0.74170277760909997</c:v>
                </c:pt>
                <c:pt idx="251">
                  <c:v>0.84288747964651656</c:v>
                </c:pt>
                <c:pt idx="252">
                  <c:v>0.65285150052486662</c:v>
                </c:pt>
                <c:pt idx="253">
                  <c:v>0.40004322042562246</c:v>
                </c:pt>
                <c:pt idx="254">
                  <c:v>0.99903062248171581</c:v>
                </c:pt>
                <c:pt idx="255">
                  <c:v>0.43158121215431955</c:v>
                </c:pt>
                <c:pt idx="256">
                  <c:v>0.83088138387200083</c:v>
                </c:pt>
                <c:pt idx="257">
                  <c:v>0.13782903482927589</c:v>
                </c:pt>
                <c:pt idx="258">
                  <c:v>0.52336318348189215</c:v>
                </c:pt>
                <c:pt idx="259">
                  <c:v>0.27702487792677832</c:v>
                </c:pt>
                <c:pt idx="260">
                  <c:v>0.522874284030314</c:v>
                </c:pt>
                <c:pt idx="261">
                  <c:v>0.78697765897374361</c:v>
                </c:pt>
                <c:pt idx="262">
                  <c:v>0.8346708575211178</c:v>
                </c:pt>
                <c:pt idx="263">
                  <c:v>0.35024948050452676</c:v>
                </c:pt>
                <c:pt idx="264">
                  <c:v>0.21529648844972005</c:v>
                </c:pt>
                <c:pt idx="265">
                  <c:v>0.14476732184305952</c:v>
                </c:pt>
                <c:pt idx="266">
                  <c:v>0.48484360352939326</c:v>
                </c:pt>
                <c:pt idx="267">
                  <c:v>0.64909253145206747</c:v>
                </c:pt>
                <c:pt idx="268">
                  <c:v>0.74531478410112451</c:v>
                </c:pt>
                <c:pt idx="269">
                  <c:v>0.77314812829193991</c:v>
                </c:pt>
                <c:pt idx="270">
                  <c:v>0.46315586547321985</c:v>
                </c:pt>
                <c:pt idx="271">
                  <c:v>0.27816858226975782</c:v>
                </c:pt>
                <c:pt idx="272">
                  <c:v>0.52539175277527439</c:v>
                </c:pt>
                <c:pt idx="273">
                  <c:v>0.86915425495684295</c:v>
                </c:pt>
                <c:pt idx="274">
                  <c:v>0.1231735739808153</c:v>
                </c:pt>
                <c:pt idx="275">
                  <c:v>0.62165734494344549</c:v>
                </c:pt>
                <c:pt idx="276">
                  <c:v>0.23686500949989087</c:v>
                </c:pt>
                <c:pt idx="277">
                  <c:v>0.43405527990142478</c:v>
                </c:pt>
                <c:pt idx="278">
                  <c:v>0.1535890844115444</c:v>
                </c:pt>
                <c:pt idx="279">
                  <c:v>0.1940705421466653</c:v>
                </c:pt>
                <c:pt idx="280">
                  <c:v>0.25470214911727151</c:v>
                </c:pt>
                <c:pt idx="281">
                  <c:v>2.0351276526300865E-2</c:v>
                </c:pt>
                <c:pt idx="282">
                  <c:v>0.76788152305403057</c:v>
                </c:pt>
                <c:pt idx="283">
                  <c:v>0.96298149827302804</c:v>
                </c:pt>
                <c:pt idx="284">
                  <c:v>0.42385460175218537</c:v>
                </c:pt>
                <c:pt idx="285">
                  <c:v>0.10678983228509387</c:v>
                </c:pt>
                <c:pt idx="286">
                  <c:v>0.37677618774671406</c:v>
                </c:pt>
                <c:pt idx="287">
                  <c:v>0.83838654582583416</c:v>
                </c:pt>
                <c:pt idx="288">
                  <c:v>0.5139048146847992</c:v>
                </c:pt>
                <c:pt idx="289">
                  <c:v>0.57470463529049631</c:v>
                </c:pt>
                <c:pt idx="290">
                  <c:v>0.27556039282370615</c:v>
                </c:pt>
                <c:pt idx="291">
                  <c:v>0.19465271361422354</c:v>
                </c:pt>
                <c:pt idx="292">
                  <c:v>0.25128594542707849</c:v>
                </c:pt>
                <c:pt idx="293">
                  <c:v>0.37415824169566603</c:v>
                </c:pt>
                <c:pt idx="294">
                  <c:v>0.2912012985805662</c:v>
                </c:pt>
                <c:pt idx="295">
                  <c:v>0.48382279794212968</c:v>
                </c:pt>
                <c:pt idx="296">
                  <c:v>0.66670116345890229</c:v>
                </c:pt>
                <c:pt idx="297">
                  <c:v>0.85830573293897761</c:v>
                </c:pt>
                <c:pt idx="298">
                  <c:v>0.10059156629158328</c:v>
                </c:pt>
                <c:pt idx="299">
                  <c:v>0.11633327418547679</c:v>
                </c:pt>
                <c:pt idx="300">
                  <c:v>0.2832535286155029</c:v>
                </c:pt>
                <c:pt idx="301">
                  <c:v>0.52047338469762727</c:v>
                </c:pt>
                <c:pt idx="302">
                  <c:v>7.2853704922980489E-3</c:v>
                </c:pt>
                <c:pt idx="303">
                  <c:v>0.74886444548101383</c:v>
                </c:pt>
                <c:pt idx="304">
                  <c:v>2.372581040485644E-2</c:v>
                </c:pt>
                <c:pt idx="305">
                  <c:v>0.16172181290942766</c:v>
                </c:pt>
                <c:pt idx="306">
                  <c:v>0.52572248242421582</c:v>
                </c:pt>
                <c:pt idx="307">
                  <c:v>0.57139997121345409</c:v>
                </c:pt>
                <c:pt idx="308">
                  <c:v>0.94703114131051214</c:v>
                </c:pt>
                <c:pt idx="309">
                  <c:v>0.73505470597113542</c:v>
                </c:pt>
                <c:pt idx="310">
                  <c:v>4.3914684029345841E-3</c:v>
                </c:pt>
                <c:pt idx="311">
                  <c:v>0.31564027065483891</c:v>
                </c:pt>
                <c:pt idx="312">
                  <c:v>0.28586252495818687</c:v>
                </c:pt>
                <c:pt idx="313">
                  <c:v>0.41000230260229076</c:v>
                </c:pt>
                <c:pt idx="314">
                  <c:v>0.49631121676320389</c:v>
                </c:pt>
                <c:pt idx="315">
                  <c:v>0.16677007257549259</c:v>
                </c:pt>
                <c:pt idx="316">
                  <c:v>0.6839015025883024</c:v>
                </c:pt>
                <c:pt idx="317">
                  <c:v>0.47496989037618365</c:v>
                </c:pt>
                <c:pt idx="318">
                  <c:v>0.51857083029752837</c:v>
                </c:pt>
                <c:pt idx="319">
                  <c:v>0.20407561971902288</c:v>
                </c:pt>
                <c:pt idx="320">
                  <c:v>0.33093636704064755</c:v>
                </c:pt>
                <c:pt idx="321">
                  <c:v>0.78390689116764256</c:v>
                </c:pt>
                <c:pt idx="322">
                  <c:v>0.94205983452799802</c:v>
                </c:pt>
                <c:pt idx="323">
                  <c:v>0.5031846008861971</c:v>
                </c:pt>
                <c:pt idx="324">
                  <c:v>0.6971570590350824</c:v>
                </c:pt>
                <c:pt idx="325">
                  <c:v>0.85905910042892852</c:v>
                </c:pt>
                <c:pt idx="326">
                  <c:v>0.41590377381720611</c:v>
                </c:pt>
                <c:pt idx="327">
                  <c:v>0.67640457988553415</c:v>
                </c:pt>
                <c:pt idx="328">
                  <c:v>0.63875172389286694</c:v>
                </c:pt>
                <c:pt idx="329">
                  <c:v>0.27495558936658004</c:v>
                </c:pt>
                <c:pt idx="330">
                  <c:v>0.38407927676337261</c:v>
                </c:pt>
                <c:pt idx="331">
                  <c:v>0.61946872090872418</c:v>
                </c:pt>
                <c:pt idx="332">
                  <c:v>0.16626085091884679</c:v>
                </c:pt>
                <c:pt idx="333">
                  <c:v>0.2403565485558592</c:v>
                </c:pt>
                <c:pt idx="334">
                  <c:v>0.88919373130679524</c:v>
                </c:pt>
                <c:pt idx="335">
                  <c:v>0.16280912472657494</c:v>
                </c:pt>
                <c:pt idx="336">
                  <c:v>0.96451947331476728</c:v>
                </c:pt>
                <c:pt idx="337">
                  <c:v>0.31104972066460324</c:v>
                </c:pt>
                <c:pt idx="338">
                  <c:v>0.58488022665085915</c:v>
                </c:pt>
                <c:pt idx="339">
                  <c:v>0.14695099276968226</c:v>
                </c:pt>
                <c:pt idx="340">
                  <c:v>8.2999974505654439E-2</c:v>
                </c:pt>
                <c:pt idx="341">
                  <c:v>0.83547635163184475</c:v>
                </c:pt>
                <c:pt idx="342">
                  <c:v>0.8973174264507483</c:v>
                </c:pt>
                <c:pt idx="343">
                  <c:v>0.99086500080474882</c:v>
                </c:pt>
                <c:pt idx="344">
                  <c:v>0.89417670579812558</c:v>
                </c:pt>
                <c:pt idx="345">
                  <c:v>0.54174772056172715</c:v>
                </c:pt>
                <c:pt idx="346">
                  <c:v>0.75292285772298817</c:v>
                </c:pt>
                <c:pt idx="347">
                  <c:v>0.39215514719367051</c:v>
                </c:pt>
                <c:pt idx="348">
                  <c:v>0.32604330087859812</c:v>
                </c:pt>
                <c:pt idx="349">
                  <c:v>0.26515716549358359</c:v>
                </c:pt>
                <c:pt idx="350">
                  <c:v>0.50488355479439251</c:v>
                </c:pt>
                <c:pt idx="351">
                  <c:v>0.70465229085420111</c:v>
                </c:pt>
                <c:pt idx="352">
                  <c:v>0.32789594772638531</c:v>
                </c:pt>
                <c:pt idx="353">
                  <c:v>5.7090141646872095E-2</c:v>
                </c:pt>
                <c:pt idx="354">
                  <c:v>0.80846405650661268</c:v>
                </c:pt>
                <c:pt idx="355">
                  <c:v>0.22536098808079452</c:v>
                </c:pt>
                <c:pt idx="356">
                  <c:v>0.84251163177411648</c:v>
                </c:pt>
                <c:pt idx="357">
                  <c:v>6.7809659115024679E-2</c:v>
                </c:pt>
                <c:pt idx="358">
                  <c:v>0.89866550051455318</c:v>
                </c:pt>
                <c:pt idx="359">
                  <c:v>6.7564743896477042E-2</c:v>
                </c:pt>
                <c:pt idx="360">
                  <c:v>0.36505436950510406</c:v>
                </c:pt>
                <c:pt idx="361">
                  <c:v>0.70910918428713965</c:v>
                </c:pt>
                <c:pt idx="362">
                  <c:v>9.0596292097763542E-2</c:v>
                </c:pt>
                <c:pt idx="363">
                  <c:v>0.15893859468573512</c:v>
                </c:pt>
                <c:pt idx="364">
                  <c:v>0.26128362708399278</c:v>
                </c:pt>
                <c:pt idx="365">
                  <c:v>0.70303594813624726</c:v>
                </c:pt>
                <c:pt idx="366">
                  <c:v>0.90530635136720605</c:v>
                </c:pt>
                <c:pt idx="367">
                  <c:v>0.65578945956954382</c:v>
                </c:pt>
                <c:pt idx="368">
                  <c:v>0.77727890380702014</c:v>
                </c:pt>
                <c:pt idx="369">
                  <c:v>0.7614920213554538</c:v>
                </c:pt>
                <c:pt idx="370">
                  <c:v>0.47543014086813928</c:v>
                </c:pt>
                <c:pt idx="371">
                  <c:v>0.62733387163097654</c:v>
                </c:pt>
                <c:pt idx="372">
                  <c:v>0.39925355943780805</c:v>
                </c:pt>
                <c:pt idx="373">
                  <c:v>0.20389009717093853</c:v>
                </c:pt>
                <c:pt idx="374">
                  <c:v>0.62229535835380978</c:v>
                </c:pt>
                <c:pt idx="375">
                  <c:v>0.8557795479211201</c:v>
                </c:pt>
                <c:pt idx="376">
                  <c:v>0.13657980382317325</c:v>
                </c:pt>
                <c:pt idx="377">
                  <c:v>0.98094678853028994</c:v>
                </c:pt>
                <c:pt idx="378">
                  <c:v>0.34905945708221786</c:v>
                </c:pt>
                <c:pt idx="379">
                  <c:v>7.4853168192605457E-2</c:v>
                </c:pt>
                <c:pt idx="380">
                  <c:v>0.26213919393415019</c:v>
                </c:pt>
                <c:pt idx="381">
                  <c:v>0.38505212553914581</c:v>
                </c:pt>
                <c:pt idx="382">
                  <c:v>0.83158020390540677</c:v>
                </c:pt>
                <c:pt idx="383">
                  <c:v>0.72534300250180483</c:v>
                </c:pt>
                <c:pt idx="384">
                  <c:v>0.63129432363347426</c:v>
                </c:pt>
                <c:pt idx="385">
                  <c:v>0.81678392665196431</c:v>
                </c:pt>
                <c:pt idx="386">
                  <c:v>0.15763066702542383</c:v>
                </c:pt>
                <c:pt idx="387">
                  <c:v>0.96342805964452061</c:v>
                </c:pt>
                <c:pt idx="388">
                  <c:v>0.37122094950855222</c:v>
                </c:pt>
                <c:pt idx="389">
                  <c:v>0.69973119126537564</c:v>
                </c:pt>
                <c:pt idx="390">
                  <c:v>0.72727038418218082</c:v>
                </c:pt>
                <c:pt idx="391">
                  <c:v>0.80737417341387874</c:v>
                </c:pt>
                <c:pt idx="392">
                  <c:v>0.51067418317340585</c:v>
                </c:pt>
                <c:pt idx="393">
                  <c:v>0.67636082685068044</c:v>
                </c:pt>
                <c:pt idx="394">
                  <c:v>0.23353182865346955</c:v>
                </c:pt>
                <c:pt idx="395">
                  <c:v>0.88761419936348573</c:v>
                </c:pt>
                <c:pt idx="396">
                  <c:v>0.56120424322148665</c:v>
                </c:pt>
                <c:pt idx="397">
                  <c:v>0.18205900386536833</c:v>
                </c:pt>
                <c:pt idx="398">
                  <c:v>0.11057894277696689</c:v>
                </c:pt>
                <c:pt idx="399">
                  <c:v>0.2666905329384055</c:v>
                </c:pt>
                <c:pt idx="400">
                  <c:v>0.48937120789080768</c:v>
                </c:pt>
                <c:pt idx="401">
                  <c:v>0.64427682573883915</c:v>
                </c:pt>
                <c:pt idx="402">
                  <c:v>3.276062500925081E-2</c:v>
                </c:pt>
                <c:pt idx="403">
                  <c:v>0.31476345841710351</c:v>
                </c:pt>
                <c:pt idx="404">
                  <c:v>0.26694358636505144</c:v>
                </c:pt>
                <c:pt idx="405">
                  <c:v>3.1120245377228906E-2</c:v>
                </c:pt>
                <c:pt idx="406">
                  <c:v>0.67870438228632879</c:v>
                </c:pt>
                <c:pt idx="407">
                  <c:v>0.21917307502664762</c:v>
                </c:pt>
                <c:pt idx="408">
                  <c:v>0.64805324412923215</c:v>
                </c:pt>
                <c:pt idx="409">
                  <c:v>0.82835419627003082</c:v>
                </c:pt>
                <c:pt idx="410">
                  <c:v>0.16073729069705844</c:v>
                </c:pt>
                <c:pt idx="411">
                  <c:v>0.9367260919780025</c:v>
                </c:pt>
                <c:pt idx="412">
                  <c:v>0.63331860770550497</c:v>
                </c:pt>
                <c:pt idx="413">
                  <c:v>0.91997229179848183</c:v>
                </c:pt>
                <c:pt idx="414">
                  <c:v>0.40410848962848467</c:v>
                </c:pt>
                <c:pt idx="415">
                  <c:v>0.77802664229499663</c:v>
                </c:pt>
                <c:pt idx="416">
                  <c:v>0.77676771750119888</c:v>
                </c:pt>
                <c:pt idx="417">
                  <c:v>0.1512487154204939</c:v>
                </c:pt>
                <c:pt idx="418">
                  <c:v>0.39402893433664699</c:v>
                </c:pt>
                <c:pt idx="419">
                  <c:v>0.27192236982112383</c:v>
                </c:pt>
                <c:pt idx="420">
                  <c:v>0.61724812829464548</c:v>
                </c:pt>
                <c:pt idx="421">
                  <c:v>0.21920286192918947</c:v>
                </c:pt>
                <c:pt idx="422">
                  <c:v>0.86235026257471625</c:v>
                </c:pt>
                <c:pt idx="423">
                  <c:v>0.9478367027487149</c:v>
                </c:pt>
                <c:pt idx="424">
                  <c:v>0.33838357558012966</c:v>
                </c:pt>
                <c:pt idx="425">
                  <c:v>0.82904254508073938</c:v>
                </c:pt>
                <c:pt idx="426">
                  <c:v>4.821335907576052E-3</c:v>
                </c:pt>
                <c:pt idx="427">
                  <c:v>0.97821169076153192</c:v>
                </c:pt>
                <c:pt idx="428">
                  <c:v>1.469545027747865E-2</c:v>
                </c:pt>
                <c:pt idx="429">
                  <c:v>0.64523139924661699</c:v>
                </c:pt>
                <c:pt idx="430">
                  <c:v>0.23116219700857843</c:v>
                </c:pt>
                <c:pt idx="431">
                  <c:v>0.3658641895590945</c:v>
                </c:pt>
                <c:pt idx="432">
                  <c:v>0.76714026149994696</c:v>
                </c:pt>
                <c:pt idx="433">
                  <c:v>0.87988353278786025</c:v>
                </c:pt>
                <c:pt idx="434">
                  <c:v>0.99685248790281</c:v>
                </c:pt>
                <c:pt idx="435">
                  <c:v>0.91134402000616965</c:v>
                </c:pt>
                <c:pt idx="436">
                  <c:v>0.15424490647291433</c:v>
                </c:pt>
                <c:pt idx="437">
                  <c:v>0.8668953005259018</c:v>
                </c:pt>
                <c:pt idx="438">
                  <c:v>0.63635573886946006</c:v>
                </c:pt>
                <c:pt idx="439">
                  <c:v>0.76515215535743086</c:v>
                </c:pt>
                <c:pt idx="440">
                  <c:v>0.77484519251682149</c:v>
                </c:pt>
                <c:pt idx="441">
                  <c:v>0.61116943513145372</c:v>
                </c:pt>
                <c:pt idx="442">
                  <c:v>0.28015535278544113</c:v>
                </c:pt>
                <c:pt idx="443">
                  <c:v>0.75735943767301295</c:v>
                </c:pt>
                <c:pt idx="444">
                  <c:v>3.2541297369201194E-2</c:v>
                </c:pt>
                <c:pt idx="445">
                  <c:v>0.92524021022978775</c:v>
                </c:pt>
                <c:pt idx="446">
                  <c:v>0.17101357853051657</c:v>
                </c:pt>
                <c:pt idx="447">
                  <c:v>0.64623343677668621</c:v>
                </c:pt>
                <c:pt idx="448">
                  <c:v>0.47525580682707425</c:v>
                </c:pt>
                <c:pt idx="449">
                  <c:v>0.62990760456722661</c:v>
                </c:pt>
                <c:pt idx="450">
                  <c:v>0.45396258677199208</c:v>
                </c:pt>
                <c:pt idx="451">
                  <c:v>0.12513080727621029</c:v>
                </c:pt>
                <c:pt idx="452">
                  <c:v>0.18159127179412149</c:v>
                </c:pt>
                <c:pt idx="453">
                  <c:v>0.15956428889212759</c:v>
                </c:pt>
                <c:pt idx="454">
                  <c:v>0.47179958944391875</c:v>
                </c:pt>
                <c:pt idx="455">
                  <c:v>0.9929326721675743</c:v>
                </c:pt>
                <c:pt idx="456">
                  <c:v>0.82719488179146272</c:v>
                </c:pt>
                <c:pt idx="457">
                  <c:v>0.9706241166939058</c:v>
                </c:pt>
                <c:pt idx="458">
                  <c:v>0.65087900107012431</c:v>
                </c:pt>
                <c:pt idx="459">
                  <c:v>0.68432745327811884</c:v>
                </c:pt>
                <c:pt idx="460">
                  <c:v>0.40813138759073853</c:v>
                </c:pt>
                <c:pt idx="461">
                  <c:v>0.34943661027589679</c:v>
                </c:pt>
              </c:numCache>
            </c:numRef>
          </c:xVal>
          <c:yVal>
            <c:numRef>
              <c:f>'Portfolio weights '!$R$3:$R$464</c:f>
              <c:numCache>
                <c:formatCode>General</c:formatCode>
                <c:ptCount val="462"/>
                <c:pt idx="0">
                  <c:v>1.962434248112924E-2</c:v>
                </c:pt>
                <c:pt idx="1">
                  <c:v>1.6960146810492394E-2</c:v>
                </c:pt>
                <c:pt idx="2">
                  <c:v>1.5976087593295114E-2</c:v>
                </c:pt>
                <c:pt idx="3">
                  <c:v>1.5492634730521471E-2</c:v>
                </c:pt>
                <c:pt idx="4">
                  <c:v>1.8049079669608063E-2</c:v>
                </c:pt>
                <c:pt idx="5">
                  <c:v>1.7536260628647125E-2</c:v>
                </c:pt>
                <c:pt idx="6">
                  <c:v>2.150332351521576E-2</c:v>
                </c:pt>
                <c:pt idx="7">
                  <c:v>1.8837931187356084E-2</c:v>
                </c:pt>
                <c:pt idx="8">
                  <c:v>1.5911628103711887E-2</c:v>
                </c:pt>
                <c:pt idx="9">
                  <c:v>2.0443994585553658E-2</c:v>
                </c:pt>
                <c:pt idx="10">
                  <c:v>1.7649766141003838E-2</c:v>
                </c:pt>
                <c:pt idx="11">
                  <c:v>1.6344322985720545E-2</c:v>
                </c:pt>
                <c:pt idx="12">
                  <c:v>1.9449402660897504E-2</c:v>
                </c:pt>
                <c:pt idx="13">
                  <c:v>1.577189269184618E-2</c:v>
                </c:pt>
                <c:pt idx="14">
                  <c:v>1.7316423470922264E-2</c:v>
                </c:pt>
                <c:pt idx="15">
                  <c:v>1.7798572561136643E-2</c:v>
                </c:pt>
                <c:pt idx="16">
                  <c:v>1.9567826036801329E-2</c:v>
                </c:pt>
                <c:pt idx="17">
                  <c:v>2.131606565855659E-2</c:v>
                </c:pt>
                <c:pt idx="18">
                  <c:v>1.558800006909514E-2</c:v>
                </c:pt>
                <c:pt idx="19">
                  <c:v>1.6255025363046873E-2</c:v>
                </c:pt>
                <c:pt idx="20">
                  <c:v>1.8970565412093167E-2</c:v>
                </c:pt>
                <c:pt idx="21">
                  <c:v>1.5396700427340851E-2</c:v>
                </c:pt>
                <c:pt idx="22">
                  <c:v>1.7432773606701795E-2</c:v>
                </c:pt>
                <c:pt idx="23">
                  <c:v>1.5519510516474976E-2</c:v>
                </c:pt>
                <c:pt idx="24">
                  <c:v>1.5400643861514577E-2</c:v>
                </c:pt>
                <c:pt idx="25">
                  <c:v>1.7969388128799592E-2</c:v>
                </c:pt>
                <c:pt idx="26">
                  <c:v>1.6524965842583075E-2</c:v>
                </c:pt>
                <c:pt idx="27">
                  <c:v>1.5858494721937091E-2</c:v>
                </c:pt>
                <c:pt idx="28">
                  <c:v>1.6044268216691433E-2</c:v>
                </c:pt>
                <c:pt idx="29">
                  <c:v>2.1444739229741251E-2</c:v>
                </c:pt>
                <c:pt idx="30">
                  <c:v>2.0731109204462327E-2</c:v>
                </c:pt>
                <c:pt idx="31">
                  <c:v>1.8925966197388646E-2</c:v>
                </c:pt>
                <c:pt idx="32">
                  <c:v>1.7632313500233879E-2</c:v>
                </c:pt>
                <c:pt idx="33">
                  <c:v>1.6567063625774606E-2</c:v>
                </c:pt>
                <c:pt idx="34">
                  <c:v>1.5527700807322012E-2</c:v>
                </c:pt>
                <c:pt idx="35">
                  <c:v>1.7376298643472111E-2</c:v>
                </c:pt>
                <c:pt idx="36">
                  <c:v>2.1776866416814814E-2</c:v>
                </c:pt>
                <c:pt idx="37">
                  <c:v>1.5383094527886677E-2</c:v>
                </c:pt>
                <c:pt idx="38">
                  <c:v>1.8018965066279122E-2</c:v>
                </c:pt>
                <c:pt idx="39">
                  <c:v>1.5583506612770061E-2</c:v>
                </c:pt>
                <c:pt idx="40">
                  <c:v>1.5357536636511975E-2</c:v>
                </c:pt>
                <c:pt idx="41">
                  <c:v>1.9772279894990686E-2</c:v>
                </c:pt>
                <c:pt idx="42">
                  <c:v>1.5814289310255497E-2</c:v>
                </c:pt>
                <c:pt idx="43">
                  <c:v>1.5800067246833822E-2</c:v>
                </c:pt>
                <c:pt idx="44">
                  <c:v>1.7541855611173125E-2</c:v>
                </c:pt>
                <c:pt idx="45">
                  <c:v>1.7582439834286971E-2</c:v>
                </c:pt>
                <c:pt idx="46">
                  <c:v>1.6094382149774031E-2</c:v>
                </c:pt>
                <c:pt idx="47">
                  <c:v>2.0748070009321856E-2</c:v>
                </c:pt>
                <c:pt idx="48">
                  <c:v>1.966019058798793E-2</c:v>
                </c:pt>
                <c:pt idx="49">
                  <c:v>2.2010995424294622E-2</c:v>
                </c:pt>
                <c:pt idx="50">
                  <c:v>1.6930953425993642E-2</c:v>
                </c:pt>
                <c:pt idx="51">
                  <c:v>2.1315482533052984E-2</c:v>
                </c:pt>
                <c:pt idx="52">
                  <c:v>2.0486475568188844E-2</c:v>
                </c:pt>
                <c:pt idx="53">
                  <c:v>1.8770525226761637E-2</c:v>
                </c:pt>
                <c:pt idx="54">
                  <c:v>1.602238180100992E-2</c:v>
                </c:pt>
                <c:pt idx="55">
                  <c:v>1.7640972127873068E-2</c:v>
                </c:pt>
                <c:pt idx="56">
                  <c:v>1.6051149126481701E-2</c:v>
                </c:pt>
                <c:pt idx="57">
                  <c:v>1.639400596630777E-2</c:v>
                </c:pt>
                <c:pt idx="58">
                  <c:v>2.1124211485892355E-2</c:v>
                </c:pt>
                <c:pt idx="59">
                  <c:v>1.7501583613385458E-2</c:v>
                </c:pt>
                <c:pt idx="60">
                  <c:v>2.0277248951878185E-2</c:v>
                </c:pt>
                <c:pt idx="61">
                  <c:v>1.6197284211472148E-2</c:v>
                </c:pt>
                <c:pt idx="62">
                  <c:v>2.1339290353119805E-2</c:v>
                </c:pt>
                <c:pt idx="63">
                  <c:v>2.0571235231294109E-2</c:v>
                </c:pt>
                <c:pt idx="64">
                  <c:v>1.7319995647166152E-2</c:v>
                </c:pt>
                <c:pt idx="65">
                  <c:v>1.9330305058222724E-2</c:v>
                </c:pt>
                <c:pt idx="66">
                  <c:v>1.663029263908427E-2</c:v>
                </c:pt>
                <c:pt idx="67">
                  <c:v>1.5355204942919639E-2</c:v>
                </c:pt>
                <c:pt idx="68">
                  <c:v>1.577435542615168E-2</c:v>
                </c:pt>
                <c:pt idx="69">
                  <c:v>1.8941964989020281E-2</c:v>
                </c:pt>
                <c:pt idx="70">
                  <c:v>1.7857844942174243E-2</c:v>
                </c:pt>
                <c:pt idx="71">
                  <c:v>1.8157431614137669E-2</c:v>
                </c:pt>
                <c:pt idx="72">
                  <c:v>1.8816100781193855E-2</c:v>
                </c:pt>
                <c:pt idx="73">
                  <c:v>1.8938271066862803E-2</c:v>
                </c:pt>
                <c:pt idx="74">
                  <c:v>1.5411571250750241E-2</c:v>
                </c:pt>
                <c:pt idx="75">
                  <c:v>1.5844643919623484E-2</c:v>
                </c:pt>
                <c:pt idx="76">
                  <c:v>1.8204178482271422E-2</c:v>
                </c:pt>
                <c:pt idx="77">
                  <c:v>1.7551812160931553E-2</c:v>
                </c:pt>
                <c:pt idx="78">
                  <c:v>1.9698172770795167E-2</c:v>
                </c:pt>
                <c:pt idx="79">
                  <c:v>1.8573176356753582E-2</c:v>
                </c:pt>
                <c:pt idx="80">
                  <c:v>1.9550291862817756E-2</c:v>
                </c:pt>
                <c:pt idx="81">
                  <c:v>1.6638588623072464E-2</c:v>
                </c:pt>
                <c:pt idx="82">
                  <c:v>1.9610672961095109E-2</c:v>
                </c:pt>
                <c:pt idx="83">
                  <c:v>1.6213812577599632E-2</c:v>
                </c:pt>
                <c:pt idx="84">
                  <c:v>2.0708281313486371E-2</c:v>
                </c:pt>
                <c:pt idx="85">
                  <c:v>1.541833086862494E-2</c:v>
                </c:pt>
                <c:pt idx="86">
                  <c:v>1.7980758274620118E-2</c:v>
                </c:pt>
                <c:pt idx="87">
                  <c:v>1.5903602952141053E-2</c:v>
                </c:pt>
                <c:pt idx="88">
                  <c:v>2.1439670301469187E-2</c:v>
                </c:pt>
                <c:pt idx="89">
                  <c:v>2.2164777918925318E-2</c:v>
                </c:pt>
                <c:pt idx="90">
                  <c:v>1.5386567752855037E-2</c:v>
                </c:pt>
                <c:pt idx="91">
                  <c:v>1.5482211931271389E-2</c:v>
                </c:pt>
                <c:pt idx="92">
                  <c:v>2.0481838242688916E-2</c:v>
                </c:pt>
                <c:pt idx="93">
                  <c:v>2.0657471583815718E-2</c:v>
                </c:pt>
                <c:pt idx="94">
                  <c:v>1.6218943872548332E-2</c:v>
                </c:pt>
                <c:pt idx="95">
                  <c:v>1.576260295177434E-2</c:v>
                </c:pt>
                <c:pt idx="96">
                  <c:v>1.5414591365662733E-2</c:v>
                </c:pt>
                <c:pt idx="97">
                  <c:v>2.0021152900259999E-2</c:v>
                </c:pt>
                <c:pt idx="98">
                  <c:v>1.570687764598765E-2</c:v>
                </c:pt>
                <c:pt idx="99">
                  <c:v>1.7424218413864649E-2</c:v>
                </c:pt>
                <c:pt idx="100">
                  <c:v>1.6645409821475336E-2</c:v>
                </c:pt>
                <c:pt idx="101">
                  <c:v>1.5468334520058748E-2</c:v>
                </c:pt>
                <c:pt idx="102">
                  <c:v>2.0372767534566596E-2</c:v>
                </c:pt>
                <c:pt idx="103">
                  <c:v>1.6400269108639343E-2</c:v>
                </c:pt>
                <c:pt idx="104">
                  <c:v>2.0769240307144124E-2</c:v>
                </c:pt>
                <c:pt idx="105">
                  <c:v>2.0866232676402197E-2</c:v>
                </c:pt>
                <c:pt idx="106">
                  <c:v>1.5578249554715795E-2</c:v>
                </c:pt>
                <c:pt idx="107">
                  <c:v>1.7816530193891802E-2</c:v>
                </c:pt>
                <c:pt idx="108">
                  <c:v>2.0990200409186453E-2</c:v>
                </c:pt>
                <c:pt idx="109">
                  <c:v>1.9833328118598788E-2</c:v>
                </c:pt>
                <c:pt idx="110">
                  <c:v>2.0010092777309658E-2</c:v>
                </c:pt>
                <c:pt idx="111">
                  <c:v>2.1734194534357845E-2</c:v>
                </c:pt>
                <c:pt idx="112">
                  <c:v>1.5614030465640057E-2</c:v>
                </c:pt>
                <c:pt idx="113">
                  <c:v>1.7043335210891977E-2</c:v>
                </c:pt>
                <c:pt idx="114">
                  <c:v>1.5573939767235426E-2</c:v>
                </c:pt>
                <c:pt idx="115">
                  <c:v>1.7878038433713998E-2</c:v>
                </c:pt>
                <c:pt idx="116">
                  <c:v>2.2053468394818906E-2</c:v>
                </c:pt>
                <c:pt idx="117">
                  <c:v>1.6944779307174005E-2</c:v>
                </c:pt>
                <c:pt idx="118">
                  <c:v>1.6396074420853002E-2</c:v>
                </c:pt>
                <c:pt idx="119">
                  <c:v>2.2126255940607607E-2</c:v>
                </c:pt>
                <c:pt idx="120">
                  <c:v>2.1200393857128946E-2</c:v>
                </c:pt>
                <c:pt idx="121">
                  <c:v>2.0590952040109529E-2</c:v>
                </c:pt>
                <c:pt idx="122">
                  <c:v>2.0228494385890167E-2</c:v>
                </c:pt>
                <c:pt idx="123">
                  <c:v>1.6914171360131878E-2</c:v>
                </c:pt>
                <c:pt idx="124">
                  <c:v>1.6731331368562093E-2</c:v>
                </c:pt>
                <c:pt idx="125">
                  <c:v>1.9098790700944154E-2</c:v>
                </c:pt>
                <c:pt idx="126">
                  <c:v>1.7047001302492908E-2</c:v>
                </c:pt>
                <c:pt idx="127">
                  <c:v>2.1424999007277887E-2</c:v>
                </c:pt>
                <c:pt idx="128">
                  <c:v>2.0354261343825383E-2</c:v>
                </c:pt>
                <c:pt idx="129">
                  <c:v>2.1314209837124558E-2</c:v>
                </c:pt>
                <c:pt idx="130">
                  <c:v>1.9233891980482715E-2</c:v>
                </c:pt>
                <c:pt idx="131">
                  <c:v>2.2020971922327895E-2</c:v>
                </c:pt>
                <c:pt idx="132">
                  <c:v>1.6222535210741032E-2</c:v>
                </c:pt>
                <c:pt idx="133">
                  <c:v>1.9532711788588605E-2</c:v>
                </c:pt>
                <c:pt idx="134">
                  <c:v>1.8866075063831825E-2</c:v>
                </c:pt>
                <c:pt idx="135">
                  <c:v>1.5859129162629861E-2</c:v>
                </c:pt>
                <c:pt idx="136">
                  <c:v>1.6065350974736325E-2</c:v>
                </c:pt>
                <c:pt idx="137">
                  <c:v>1.5392134979427742E-2</c:v>
                </c:pt>
                <c:pt idx="138">
                  <c:v>1.9770070697202782E-2</c:v>
                </c:pt>
                <c:pt idx="139">
                  <c:v>1.6095455255513362E-2</c:v>
                </c:pt>
                <c:pt idx="140">
                  <c:v>1.6777111951966715E-2</c:v>
                </c:pt>
                <c:pt idx="141">
                  <c:v>1.5706111750680627E-2</c:v>
                </c:pt>
                <c:pt idx="142">
                  <c:v>1.5539488793499999E-2</c:v>
                </c:pt>
                <c:pt idx="143">
                  <c:v>1.6378693499559102E-2</c:v>
                </c:pt>
                <c:pt idx="144">
                  <c:v>1.5670858350382497E-2</c:v>
                </c:pt>
                <c:pt idx="145">
                  <c:v>1.5543859622658958E-2</c:v>
                </c:pt>
                <c:pt idx="146">
                  <c:v>1.8781344603849798E-2</c:v>
                </c:pt>
                <c:pt idx="147">
                  <c:v>1.904344062054179E-2</c:v>
                </c:pt>
                <c:pt idx="148">
                  <c:v>2.2023940390002529E-2</c:v>
                </c:pt>
                <c:pt idx="149">
                  <c:v>1.8339382349436498E-2</c:v>
                </c:pt>
                <c:pt idx="150">
                  <c:v>1.9473404105394151E-2</c:v>
                </c:pt>
                <c:pt idx="151">
                  <c:v>1.9050149113709496E-2</c:v>
                </c:pt>
                <c:pt idx="152">
                  <c:v>1.5765584876344177E-2</c:v>
                </c:pt>
                <c:pt idx="153">
                  <c:v>1.6458121073449704E-2</c:v>
                </c:pt>
                <c:pt idx="154">
                  <c:v>1.7384841446607142E-2</c:v>
                </c:pt>
                <c:pt idx="155">
                  <c:v>1.8600410615012351E-2</c:v>
                </c:pt>
                <c:pt idx="156">
                  <c:v>1.7834104588259354E-2</c:v>
                </c:pt>
                <c:pt idx="157">
                  <c:v>1.5353344379457633E-2</c:v>
                </c:pt>
                <c:pt idx="158">
                  <c:v>1.6727477304340974E-2</c:v>
                </c:pt>
                <c:pt idx="159">
                  <c:v>2.1875888707665263E-2</c:v>
                </c:pt>
                <c:pt idx="160">
                  <c:v>1.7573208339232999E-2</c:v>
                </c:pt>
                <c:pt idx="161">
                  <c:v>1.816392106874808E-2</c:v>
                </c:pt>
                <c:pt idx="162">
                  <c:v>1.5843190774279852E-2</c:v>
                </c:pt>
                <c:pt idx="163">
                  <c:v>1.5379823656670233E-2</c:v>
                </c:pt>
                <c:pt idx="164">
                  <c:v>1.9583863700349622E-2</c:v>
                </c:pt>
                <c:pt idx="165">
                  <c:v>1.667796975194525E-2</c:v>
                </c:pt>
                <c:pt idx="166">
                  <c:v>1.761380518993198E-2</c:v>
                </c:pt>
                <c:pt idx="167">
                  <c:v>1.9880829405043113E-2</c:v>
                </c:pt>
                <c:pt idx="168">
                  <c:v>1.590073678419119E-2</c:v>
                </c:pt>
                <c:pt idx="169">
                  <c:v>2.1803062558113609E-2</c:v>
                </c:pt>
                <c:pt idx="170">
                  <c:v>1.6118244476753495E-2</c:v>
                </c:pt>
                <c:pt idx="171">
                  <c:v>1.5951581849087296E-2</c:v>
                </c:pt>
                <c:pt idx="172">
                  <c:v>2.049232866084523E-2</c:v>
                </c:pt>
                <c:pt idx="173">
                  <c:v>1.5396893356581814E-2</c:v>
                </c:pt>
                <c:pt idx="174">
                  <c:v>1.9442466521073662E-2</c:v>
                </c:pt>
                <c:pt idx="175">
                  <c:v>1.673679995402776E-2</c:v>
                </c:pt>
                <c:pt idx="176">
                  <c:v>1.5826223906611727E-2</c:v>
                </c:pt>
                <c:pt idx="177">
                  <c:v>1.6636877903364763E-2</c:v>
                </c:pt>
                <c:pt idx="178">
                  <c:v>2.0423566238354909E-2</c:v>
                </c:pt>
                <c:pt idx="179">
                  <c:v>2.1422285144191699E-2</c:v>
                </c:pt>
                <c:pt idx="180">
                  <c:v>1.767677022864949E-2</c:v>
                </c:pt>
                <c:pt idx="181">
                  <c:v>1.5601212257339431E-2</c:v>
                </c:pt>
                <c:pt idx="182">
                  <c:v>2.200490761109361E-2</c:v>
                </c:pt>
                <c:pt idx="183">
                  <c:v>2.0439756279202637E-2</c:v>
                </c:pt>
                <c:pt idx="184">
                  <c:v>2.0604272540418175E-2</c:v>
                </c:pt>
                <c:pt idx="185">
                  <c:v>1.9754577310999277E-2</c:v>
                </c:pt>
                <c:pt idx="186">
                  <c:v>1.7274787880736109E-2</c:v>
                </c:pt>
                <c:pt idx="187">
                  <c:v>1.8530440253046582E-2</c:v>
                </c:pt>
                <c:pt idx="188">
                  <c:v>1.6524887086990583E-2</c:v>
                </c:pt>
                <c:pt idx="189">
                  <c:v>1.8611562034615281E-2</c:v>
                </c:pt>
                <c:pt idx="190">
                  <c:v>1.6288344405896164E-2</c:v>
                </c:pt>
                <c:pt idx="191">
                  <c:v>2.1824830045593033E-2</c:v>
                </c:pt>
                <c:pt idx="192">
                  <c:v>1.8946246036104168E-2</c:v>
                </c:pt>
                <c:pt idx="193">
                  <c:v>1.7018087491112249E-2</c:v>
                </c:pt>
                <c:pt idx="194">
                  <c:v>1.7864441577195345E-2</c:v>
                </c:pt>
                <c:pt idx="195">
                  <c:v>1.9083571142190957E-2</c:v>
                </c:pt>
                <c:pt idx="196">
                  <c:v>1.5957467673705917E-2</c:v>
                </c:pt>
                <c:pt idx="197">
                  <c:v>2.0108242693448332E-2</c:v>
                </c:pt>
                <c:pt idx="198">
                  <c:v>1.6918772433540927E-2</c:v>
                </c:pt>
                <c:pt idx="199">
                  <c:v>1.5860217766504484E-2</c:v>
                </c:pt>
                <c:pt idx="200">
                  <c:v>1.8429213352681276E-2</c:v>
                </c:pt>
                <c:pt idx="201">
                  <c:v>1.9430710052437881E-2</c:v>
                </c:pt>
                <c:pt idx="202">
                  <c:v>1.7344299672078553E-2</c:v>
                </c:pt>
                <c:pt idx="203">
                  <c:v>1.5448162455389713E-2</c:v>
                </c:pt>
                <c:pt idx="204">
                  <c:v>2.1829018780091927E-2</c:v>
                </c:pt>
                <c:pt idx="205">
                  <c:v>1.8112790756624256E-2</c:v>
                </c:pt>
                <c:pt idx="206">
                  <c:v>1.7700683548451526E-2</c:v>
                </c:pt>
                <c:pt idx="207">
                  <c:v>2.093190840446077E-2</c:v>
                </c:pt>
                <c:pt idx="208">
                  <c:v>1.6099273665913866E-2</c:v>
                </c:pt>
                <c:pt idx="209">
                  <c:v>2.0326834916525906E-2</c:v>
                </c:pt>
                <c:pt idx="210">
                  <c:v>1.5906073632813239E-2</c:v>
                </c:pt>
                <c:pt idx="211">
                  <c:v>1.7970083122488736E-2</c:v>
                </c:pt>
                <c:pt idx="212">
                  <c:v>1.5600368343109053E-2</c:v>
                </c:pt>
                <c:pt idx="213">
                  <c:v>2.1628213083285584E-2</c:v>
                </c:pt>
                <c:pt idx="214">
                  <c:v>1.6530826803267812E-2</c:v>
                </c:pt>
                <c:pt idx="215">
                  <c:v>2.1910349415996309E-2</c:v>
                </c:pt>
                <c:pt idx="216">
                  <c:v>2.0789409392408718E-2</c:v>
                </c:pt>
                <c:pt idx="217">
                  <c:v>2.1553709582051005E-2</c:v>
                </c:pt>
                <c:pt idx="218">
                  <c:v>1.6110757744478267E-2</c:v>
                </c:pt>
                <c:pt idx="219">
                  <c:v>1.5432551026034476E-2</c:v>
                </c:pt>
                <c:pt idx="220">
                  <c:v>1.6779154814703642E-2</c:v>
                </c:pt>
                <c:pt idx="221">
                  <c:v>1.7447919241138247E-2</c:v>
                </c:pt>
                <c:pt idx="222">
                  <c:v>1.7244766051575801E-2</c:v>
                </c:pt>
                <c:pt idx="223">
                  <c:v>1.5489539358088809E-2</c:v>
                </c:pt>
                <c:pt idx="224">
                  <c:v>1.5601277954916471E-2</c:v>
                </c:pt>
                <c:pt idx="225">
                  <c:v>1.9542209111627323E-2</c:v>
                </c:pt>
                <c:pt idx="226">
                  <c:v>2.0007942390223452E-2</c:v>
                </c:pt>
                <c:pt idx="227">
                  <c:v>1.9640530192617651E-2</c:v>
                </c:pt>
                <c:pt idx="228">
                  <c:v>1.7151781689638962E-2</c:v>
                </c:pt>
                <c:pt idx="229">
                  <c:v>1.8993798356677461E-2</c:v>
                </c:pt>
                <c:pt idx="230">
                  <c:v>1.6630174687158703E-2</c:v>
                </c:pt>
                <c:pt idx="231">
                  <c:v>1.6067236087569155E-2</c:v>
                </c:pt>
                <c:pt idx="232">
                  <c:v>1.5545080987275642E-2</c:v>
                </c:pt>
                <c:pt idx="233">
                  <c:v>1.6112011343907162E-2</c:v>
                </c:pt>
                <c:pt idx="234">
                  <c:v>1.7422446573389743E-2</c:v>
                </c:pt>
                <c:pt idx="235">
                  <c:v>1.6509080436907773E-2</c:v>
                </c:pt>
                <c:pt idx="236">
                  <c:v>2.1469974980836276E-2</c:v>
                </c:pt>
                <c:pt idx="237">
                  <c:v>1.9424008386083064E-2</c:v>
                </c:pt>
                <c:pt idx="238">
                  <c:v>1.6134418707849325E-2</c:v>
                </c:pt>
                <c:pt idx="239">
                  <c:v>2.1008524008010013E-2</c:v>
                </c:pt>
                <c:pt idx="240">
                  <c:v>1.5810778118357557E-2</c:v>
                </c:pt>
                <c:pt idx="241">
                  <c:v>1.7310032313789091E-2</c:v>
                </c:pt>
                <c:pt idx="242">
                  <c:v>1.8139752085864491E-2</c:v>
                </c:pt>
                <c:pt idx="243">
                  <c:v>2.1815525298398288E-2</c:v>
                </c:pt>
                <c:pt idx="244">
                  <c:v>1.9726199045663501E-2</c:v>
                </c:pt>
                <c:pt idx="245">
                  <c:v>1.8997817421406198E-2</c:v>
                </c:pt>
                <c:pt idx="246">
                  <c:v>1.6245429770368833E-2</c:v>
                </c:pt>
                <c:pt idx="247">
                  <c:v>2.2074028792769457E-2</c:v>
                </c:pt>
                <c:pt idx="248">
                  <c:v>1.5395781272301717E-2</c:v>
                </c:pt>
                <c:pt idx="249">
                  <c:v>1.766141157144803E-2</c:v>
                </c:pt>
                <c:pt idx="250">
                  <c:v>1.6337555010294828E-2</c:v>
                </c:pt>
                <c:pt idx="251">
                  <c:v>1.5861522494955552E-2</c:v>
                </c:pt>
                <c:pt idx="252">
                  <c:v>1.6834614456064823E-2</c:v>
                </c:pt>
                <c:pt idx="253">
                  <c:v>1.859607503471692E-2</c:v>
                </c:pt>
                <c:pt idx="254">
                  <c:v>1.5334366818018147E-2</c:v>
                </c:pt>
                <c:pt idx="255">
                  <c:v>1.8351470483481784E-2</c:v>
                </c:pt>
                <c:pt idx="256">
                  <c:v>1.5912716512596594E-2</c:v>
                </c:pt>
                <c:pt idx="257">
                  <c:v>2.0851190062978062E-2</c:v>
                </c:pt>
                <c:pt idx="258">
                  <c:v>1.7677835430097554E-2</c:v>
                </c:pt>
                <c:pt idx="259">
                  <c:v>1.9608085940860429E-2</c:v>
                </c:pt>
                <c:pt idx="260">
                  <c:v>1.7681265283051886E-2</c:v>
                </c:pt>
                <c:pt idx="261">
                  <c:v>1.6112206823832301E-2</c:v>
                </c:pt>
                <c:pt idx="262">
                  <c:v>1.5896400305374307E-2</c:v>
                </c:pt>
                <c:pt idx="263">
                  <c:v>1.8994984239651718E-2</c:v>
                </c:pt>
                <c:pt idx="264">
                  <c:v>2.0147537463683696E-2</c:v>
                </c:pt>
                <c:pt idx="265">
                  <c:v>2.0787027789097721E-2</c:v>
                </c:pt>
                <c:pt idx="266">
                  <c:v>1.7953379610190712E-2</c:v>
                </c:pt>
                <c:pt idx="267">
                  <c:v>1.6857172456560213E-2</c:v>
                </c:pt>
                <c:pt idx="268">
                  <c:v>1.6318863943614724E-2</c:v>
                </c:pt>
                <c:pt idx="269">
                  <c:v>1.6178963138227906E-2</c:v>
                </c:pt>
                <c:pt idx="270">
                  <c:v>1.8113141990981196E-2</c:v>
                </c:pt>
                <c:pt idx="271">
                  <c:v>1.9598279972090554E-2</c:v>
                </c:pt>
                <c:pt idx="272">
                  <c:v>1.7663622908120506E-2</c:v>
                </c:pt>
                <c:pt idx="273">
                  <c:v>1.5754665198343658E-2</c:v>
                </c:pt>
                <c:pt idx="274">
                  <c:v>2.0987425199207974E-2</c:v>
                </c:pt>
                <c:pt idx="275">
                  <c:v>1.7025418147965304E-2</c:v>
                </c:pt>
                <c:pt idx="276">
                  <c:v>1.9956812074246096E-2</c:v>
                </c:pt>
                <c:pt idx="277">
                  <c:v>1.8332555599173364E-2</c:v>
                </c:pt>
                <c:pt idx="278">
                  <c:v>2.0705763121060251E-2</c:v>
                </c:pt>
                <c:pt idx="279">
                  <c:v>2.0337493635853982E-2</c:v>
                </c:pt>
                <c:pt idx="280">
                  <c:v>1.9800878655456079E-2</c:v>
                </c:pt>
                <c:pt idx="281">
                  <c:v>2.1968824011721028E-2</c:v>
                </c:pt>
                <c:pt idx="282">
                  <c:v>1.6204869870224611E-2</c:v>
                </c:pt>
                <c:pt idx="283">
                  <c:v>1.5432526605278801E-2</c:v>
                </c:pt>
                <c:pt idx="284">
                  <c:v>1.8410801288209273E-2</c:v>
                </c:pt>
                <c:pt idx="285">
                  <c:v>2.1140844532175268E-2</c:v>
                </c:pt>
                <c:pt idx="286">
                  <c:v>1.8780579565273087E-2</c:v>
                </c:pt>
                <c:pt idx="287">
                  <c:v>1.588054302703646E-2</c:v>
                </c:pt>
                <c:pt idx="288">
                  <c:v>1.7744501397214459E-2</c:v>
                </c:pt>
                <c:pt idx="289">
                  <c:v>1.7327650326225318E-2</c:v>
                </c:pt>
                <c:pt idx="290">
                  <c:v>1.9620652547456673E-2</c:v>
                </c:pt>
                <c:pt idx="291">
                  <c:v>2.0332254292466222E-2</c:v>
                </c:pt>
                <c:pt idx="292">
                  <c:v>1.9830615425077705E-2</c:v>
                </c:pt>
                <c:pt idx="293">
                  <c:v>1.8801549502836412E-2</c:v>
                </c:pt>
                <c:pt idx="294">
                  <c:v>1.9487041139039062E-2</c:v>
                </c:pt>
                <c:pt idx="295">
                  <c:v>1.7960825870457921E-2</c:v>
                </c:pt>
                <c:pt idx="296">
                  <c:v>1.675254470653156E-2</c:v>
                </c:pt>
                <c:pt idx="297">
                  <c:v>1.5797936608873766E-2</c:v>
                </c:pt>
                <c:pt idx="298">
                  <c:v>2.1199188593781133E-2</c:v>
                </c:pt>
                <c:pt idx="299">
                  <c:v>2.1051336401532922E-2</c:v>
                </c:pt>
                <c:pt idx="300">
                  <c:v>1.9554768066415248E-2</c:v>
                </c:pt>
                <c:pt idx="301">
                  <c:v>1.7698134204721647E-2</c:v>
                </c:pt>
                <c:pt idx="302">
                  <c:v>2.2096558399415833E-2</c:v>
                </c:pt>
                <c:pt idx="303">
                  <c:v>1.6300614500109788E-2</c:v>
                </c:pt>
                <c:pt idx="304">
                  <c:v>2.1935940024488267E-2</c:v>
                </c:pt>
                <c:pt idx="305">
                  <c:v>2.0631161635220899E-2</c:v>
                </c:pt>
                <c:pt idx="306">
                  <c:v>1.7661308635131226E-2</c:v>
                </c:pt>
                <c:pt idx="307">
                  <c:v>1.7349582616284408E-2</c:v>
                </c:pt>
                <c:pt idx="308">
                  <c:v>1.5480566333542386E-2</c:v>
                </c:pt>
                <c:pt idx="309">
                  <c:v>1.6372274731834332E-2</c:v>
                </c:pt>
                <c:pt idx="310">
                  <c:v>2.2124937136924615E-2</c:v>
                </c:pt>
                <c:pt idx="311">
                  <c:v>1.9280976187328269E-2</c:v>
                </c:pt>
                <c:pt idx="312">
                  <c:v>1.9532497430286833E-2</c:v>
                </c:pt>
                <c:pt idx="313">
                  <c:v>1.8518141807128956E-2</c:v>
                </c:pt>
                <c:pt idx="314">
                  <c:v>1.7870234799276716E-2</c:v>
                </c:pt>
                <c:pt idx="315">
                  <c:v>2.058500791682558E-2</c:v>
                </c:pt>
                <c:pt idx="316">
                  <c:v>1.6652933375490286E-2</c:v>
                </c:pt>
                <c:pt idx="317">
                  <c:v>1.8025709301763251E-2</c:v>
                </c:pt>
                <c:pt idx="318">
                  <c:v>1.771153176681017E-2</c:v>
                </c:pt>
                <c:pt idx="319">
                  <c:v>2.0247680455656836E-2</c:v>
                </c:pt>
                <c:pt idx="320">
                  <c:v>1.9153720636845565E-2</c:v>
                </c:pt>
                <c:pt idx="321">
                  <c:v>1.6126869794383766E-2</c:v>
                </c:pt>
                <c:pt idx="322">
                  <c:v>1.5496110654312065E-2</c:v>
                </c:pt>
                <c:pt idx="323">
                  <c:v>1.7820848583361207E-2</c:v>
                </c:pt>
                <c:pt idx="324">
                  <c:v>1.6577943274482049E-2</c:v>
                </c:pt>
                <c:pt idx="325">
                  <c:v>1.5794892298944731E-2</c:v>
                </c:pt>
                <c:pt idx="326">
                  <c:v>1.8472260133316473E-2</c:v>
                </c:pt>
                <c:pt idx="327">
                  <c:v>1.6696032124811491E-2</c:v>
                </c:pt>
                <c:pt idx="328">
                  <c:v>1.6919846600780747E-2</c:v>
                </c:pt>
                <c:pt idx="329">
                  <c:v>1.9625845680197627E-2</c:v>
                </c:pt>
                <c:pt idx="330">
                  <c:v>1.8722304264630361E-2</c:v>
                </c:pt>
                <c:pt idx="331">
                  <c:v>1.7039109594027824E-2</c:v>
                </c:pt>
                <c:pt idx="332">
                  <c:v>2.058965809861692E-2</c:v>
                </c:pt>
                <c:pt idx="333">
                  <c:v>1.9926159399532899E-2</c:v>
                </c:pt>
                <c:pt idx="334">
                  <c:v>1.5677961469535415E-2</c:v>
                </c:pt>
                <c:pt idx="335">
                  <c:v>2.0621210881151965E-2</c:v>
                </c:pt>
                <c:pt idx="336">
                  <c:v>1.5428042956248542E-2</c:v>
                </c:pt>
                <c:pt idx="337">
                  <c:v>1.9319427489604874E-2</c:v>
                </c:pt>
                <c:pt idx="338">
                  <c:v>1.7260655087294005E-2</c:v>
                </c:pt>
                <c:pt idx="339">
                  <c:v>2.0766879168211658E-2</c:v>
                </c:pt>
                <c:pt idx="340">
                  <c:v>2.1365666822174584E-2</c:v>
                </c:pt>
                <c:pt idx="341">
                  <c:v>1.5892950847145065E-2</c:v>
                </c:pt>
                <c:pt idx="342">
                  <c:v>1.5648071346835522E-2</c:v>
                </c:pt>
                <c:pt idx="343">
                  <c:v>1.535532637550382E-2</c:v>
                </c:pt>
                <c:pt idx="344">
                  <c:v>1.565954435902072E-2</c:v>
                </c:pt>
                <c:pt idx="345">
                  <c:v>1.7550146395504822E-2</c:v>
                </c:pt>
                <c:pt idx="346">
                  <c:v>1.6279894532635307E-2</c:v>
                </c:pt>
                <c:pt idx="347">
                  <c:v>1.8658247671541922E-2</c:v>
                </c:pt>
                <c:pt idx="348">
                  <c:v>1.9194282301498649E-2</c:v>
                </c:pt>
                <c:pt idx="349">
                  <c:v>1.9710252886283468E-2</c:v>
                </c:pt>
                <c:pt idx="350">
                  <c:v>1.7808693608640208E-2</c:v>
                </c:pt>
                <c:pt idx="351">
                  <c:v>1.6536233963250335E-2</c:v>
                </c:pt>
                <c:pt idx="352">
                  <c:v>1.9178908308442259E-2</c:v>
                </c:pt>
                <c:pt idx="353">
                  <c:v>2.1613207366625253E-2</c:v>
                </c:pt>
                <c:pt idx="354">
                  <c:v>1.6012189174558093E-2</c:v>
                </c:pt>
                <c:pt idx="355">
                  <c:v>2.005824737404294E-2</c:v>
                </c:pt>
                <c:pt idx="356">
                  <c:v>1.5863102899547392E-2</c:v>
                </c:pt>
                <c:pt idx="357">
                  <c:v>2.1510460411086719E-2</c:v>
                </c:pt>
                <c:pt idx="358">
                  <c:v>1.5643178965844353E-2</c:v>
                </c:pt>
                <c:pt idx="359">
                  <c:v>2.1512802713784727E-2</c:v>
                </c:pt>
                <c:pt idx="360">
                  <c:v>1.8874797929303654E-2</c:v>
                </c:pt>
                <c:pt idx="361">
                  <c:v>1.6511671760287051E-2</c:v>
                </c:pt>
                <c:pt idx="362">
                  <c:v>2.129361882130312E-2</c:v>
                </c:pt>
                <c:pt idx="363">
                  <c:v>2.0656657758067444E-2</c:v>
                </c:pt>
                <c:pt idx="364">
                  <c:v>1.9743762033479342E-2</c:v>
                </c:pt>
                <c:pt idx="365">
                  <c:v>1.654518593146078E-2</c:v>
                </c:pt>
                <c:pt idx="366">
                  <c:v>1.5619360534040326E-2</c:v>
                </c:pt>
                <c:pt idx="367">
                  <c:v>1.681706730455208E-2</c:v>
                </c:pt>
                <c:pt idx="368">
                  <c:v>1.6158830032815149E-2</c:v>
                </c:pt>
                <c:pt idx="369">
                  <c:v>1.6236656136038495E-2</c:v>
                </c:pt>
                <c:pt idx="370">
                  <c:v>1.802232263309226E-2</c:v>
                </c:pt>
                <c:pt idx="371">
                  <c:v>1.6990091604569751E-2</c:v>
                </c:pt>
                <c:pt idx="372">
                  <c:v>1.8602281358727595E-2</c:v>
                </c:pt>
                <c:pt idx="373">
                  <c:v>2.0249341402244183E-2</c:v>
                </c:pt>
                <c:pt idx="374">
                  <c:v>1.702143433713434E-2</c:v>
                </c:pt>
                <c:pt idx="375">
                  <c:v>1.5808187490595822E-2</c:v>
                </c:pt>
                <c:pt idx="376">
                  <c:v>2.0862765421950313E-2</c:v>
                </c:pt>
                <c:pt idx="377">
                  <c:v>1.5381792017858964E-2</c:v>
                </c:pt>
                <c:pt idx="378">
                  <c:v>1.9004701701596249E-2</c:v>
                </c:pt>
                <c:pt idx="379">
                  <c:v>2.1443203453864135E-2</c:v>
                </c:pt>
                <c:pt idx="380">
                  <c:v>1.9736353869259878E-2</c:v>
                </c:pt>
                <c:pt idx="381">
                  <c:v>1.8714566269724977E-2</c:v>
                </c:pt>
                <c:pt idx="382">
                  <c:v>1.5909696708717145E-2</c:v>
                </c:pt>
                <c:pt idx="383">
                  <c:v>1.6423730152030497E-2</c:v>
                </c:pt>
                <c:pt idx="384">
                  <c:v>1.6965602876502804E-2</c:v>
                </c:pt>
                <c:pt idx="385">
                  <c:v>1.5974685045252585E-2</c:v>
                </c:pt>
                <c:pt idx="386">
                  <c:v>2.0668651600806272E-2</c:v>
                </c:pt>
                <c:pt idx="387">
                  <c:v>1.5431222048922494E-2</c:v>
                </c:pt>
                <c:pt idx="388">
                  <c:v>1.8825127366842866E-2</c:v>
                </c:pt>
                <c:pt idx="389">
                  <c:v>1.6563562039592573E-2</c:v>
                </c:pt>
                <c:pt idx="390">
                  <c:v>1.6413449164753888E-2</c:v>
                </c:pt>
                <c:pt idx="391">
                  <c:v>1.6017153051878969E-2</c:v>
                </c:pt>
                <c:pt idx="392">
                  <c:v>1.7767421684132187E-2</c:v>
                </c:pt>
                <c:pt idx="393">
                  <c:v>1.6696285100741799E-2</c:v>
                </c:pt>
                <c:pt idx="394">
                  <c:v>1.9986132731589057E-2</c:v>
                </c:pt>
                <c:pt idx="395">
                  <c:v>1.5683854198924829E-2</c:v>
                </c:pt>
                <c:pt idx="396">
                  <c:v>1.7417784106137198E-2</c:v>
                </c:pt>
                <c:pt idx="397">
                  <c:v>2.0445957365493178E-2</c:v>
                </c:pt>
                <c:pt idx="398">
                  <c:v>2.1105259163284321E-2</c:v>
                </c:pt>
                <c:pt idx="399">
                  <c:v>1.9697010059343604E-2</c:v>
                </c:pt>
                <c:pt idx="400">
                  <c:v>1.7920441469864122E-2</c:v>
                </c:pt>
                <c:pt idx="401">
                  <c:v>1.6886247362842478E-2</c:v>
                </c:pt>
                <c:pt idx="402">
                  <c:v>2.1848114659595255E-2</c:v>
                </c:pt>
                <c:pt idx="403">
                  <c:v>1.9288311309728062E-2</c:v>
                </c:pt>
                <c:pt idx="404">
                  <c:v>1.9694825782900431E-2</c:v>
                </c:pt>
                <c:pt idx="405">
                  <c:v>2.1864036864321937E-2</c:v>
                </c:pt>
                <c:pt idx="406">
                  <c:v>1.6682758461913111E-2</c:v>
                </c:pt>
                <c:pt idx="407">
                  <c:v>2.011308517522576E-2</c:v>
                </c:pt>
                <c:pt idx="408">
                  <c:v>1.6863430537643827E-2</c:v>
                </c:pt>
                <c:pt idx="409">
                  <c:v>1.5923678365865817E-2</c:v>
                </c:pt>
                <c:pt idx="410">
                  <c:v>2.0640176415215018E-2</c:v>
                </c:pt>
                <c:pt idx="411">
                  <c:v>1.5513088728855368E-2</c:v>
                </c:pt>
                <c:pt idx="412">
                  <c:v>1.6953136524313264E-2</c:v>
                </c:pt>
                <c:pt idx="413">
                  <c:v>1.5568430231892446E-2</c:v>
                </c:pt>
                <c:pt idx="414">
                  <c:v>1.856418666161196E-2</c:v>
                </c:pt>
                <c:pt idx="415">
                  <c:v>1.615520318029592E-2</c:v>
                </c:pt>
                <c:pt idx="416">
                  <c:v>1.6161312609056587E-2</c:v>
                </c:pt>
                <c:pt idx="417">
                  <c:v>2.0727287634678057E-2</c:v>
                </c:pt>
                <c:pt idx="418">
                  <c:v>1.8643443312777373E-2</c:v>
                </c:pt>
                <c:pt idx="419">
                  <c:v>1.9651920025523326E-2</c:v>
                </c:pt>
                <c:pt idx="420">
                  <c:v>1.7053041292136639E-2</c:v>
                </c:pt>
                <c:pt idx="421">
                  <c:v>2.0112820741300431E-2</c:v>
                </c:pt>
                <c:pt idx="422">
                  <c:v>1.57816616919613E-2</c:v>
                </c:pt>
                <c:pt idx="423">
                  <c:v>1.547807299610415E-2</c:v>
                </c:pt>
                <c:pt idx="424">
                  <c:v>1.9092252469347318E-2</c:v>
                </c:pt>
                <c:pt idx="425">
                  <c:v>1.5920686221334898E-2</c:v>
                </c:pt>
                <c:pt idx="426">
                  <c:v>2.2120719695181052E-2</c:v>
                </c:pt>
                <c:pt idx="427">
                  <c:v>1.5389284029205242E-2</c:v>
                </c:pt>
                <c:pt idx="428">
                  <c:v>2.2024036522619472E-2</c:v>
                </c:pt>
                <c:pt idx="429">
                  <c:v>1.6880468503687053E-2</c:v>
                </c:pt>
                <c:pt idx="430">
                  <c:v>2.0007011884319813E-2</c:v>
                </c:pt>
                <c:pt idx="431">
                  <c:v>1.8868261827635114E-2</c:v>
                </c:pt>
                <c:pt idx="432">
                  <c:v>1.6208537498718204E-2</c:v>
                </c:pt>
                <c:pt idx="433">
                  <c:v>1.5713073833417829E-2</c:v>
                </c:pt>
                <c:pt idx="434">
                  <c:v>1.5339884207733861E-2</c:v>
                </c:pt>
                <c:pt idx="435">
                  <c:v>1.5598114138997766E-2</c:v>
                </c:pt>
                <c:pt idx="436">
                  <c:v>2.069973598622165E-2</c:v>
                </c:pt>
                <c:pt idx="437">
                  <c:v>1.5763574855424116E-2</c:v>
                </c:pt>
                <c:pt idx="438">
                  <c:v>1.6934496862123446E-2</c:v>
                </c:pt>
                <c:pt idx="439">
                  <c:v>1.6218400204288125E-2</c:v>
                </c:pt>
                <c:pt idx="440">
                  <c:v>1.6170671892370547E-2</c:v>
                </c:pt>
                <c:pt idx="441">
                  <c:v>1.7091384859751008E-2</c:v>
                </c:pt>
                <c:pt idx="442">
                  <c:v>1.9581262481678342E-2</c:v>
                </c:pt>
                <c:pt idx="443">
                  <c:v>1.6257421580415047E-2</c:v>
                </c:pt>
                <c:pt idx="444">
                  <c:v>2.1850242937089599E-2</c:v>
                </c:pt>
                <c:pt idx="445">
                  <c:v>1.5550701361497079E-2</c:v>
                </c:pt>
                <c:pt idx="446">
                  <c:v>2.0546303590774508E-2</c:v>
                </c:pt>
                <c:pt idx="447">
                  <c:v>1.6874410596284237E-2</c:v>
                </c:pt>
                <c:pt idx="448">
                  <c:v>1.8023605264908912E-2</c:v>
                </c:pt>
                <c:pt idx="449">
                  <c:v>1.6974162558981473E-2</c:v>
                </c:pt>
                <c:pt idx="450">
                  <c:v>1.818184105702305E-2</c:v>
                </c:pt>
                <c:pt idx="451">
                  <c:v>2.0969175927772719E-2</c:v>
                </c:pt>
                <c:pt idx="452">
                  <c:v>2.045019493288288E-2</c:v>
                </c:pt>
                <c:pt idx="453">
                  <c:v>2.0650922863994909E-2</c:v>
                </c:pt>
                <c:pt idx="454">
                  <c:v>1.8049077314229747E-2</c:v>
                </c:pt>
                <c:pt idx="455">
                  <c:v>1.5349948095260484E-2</c:v>
                </c:pt>
                <c:pt idx="456">
                  <c:v>1.5928728515961995E-2</c:v>
                </c:pt>
                <c:pt idx="457">
                  <c:v>1.5410504821664828E-2</c:v>
                </c:pt>
                <c:pt idx="458">
                  <c:v>1.6846436653864649E-2</c:v>
                </c:pt>
                <c:pt idx="459">
                  <c:v>1.6650499475775158E-2</c:v>
                </c:pt>
                <c:pt idx="460">
                  <c:v>1.853273411907928E-2</c:v>
                </c:pt>
                <c:pt idx="461">
                  <c:v>1.9001621044701593E-2</c:v>
                </c:pt>
              </c:numCache>
            </c:numRef>
          </c:yVal>
          <c:smooth val="0"/>
        </c:ser>
        <c:ser>
          <c:idx val="1"/>
          <c:order val="1"/>
          <c:tx>
            <c:v>Expected Returns</c:v>
          </c:tx>
          <c:spPr>
            <a:ln w="28575">
              <a:noFill/>
            </a:ln>
          </c:spPr>
          <c:xVal>
            <c:numRef>
              <c:f>'Portfolio weights '!$P$3:$P$464</c:f>
              <c:numCache>
                <c:formatCode>General</c:formatCode>
                <c:ptCount val="462"/>
                <c:pt idx="0">
                  <c:v>0.27513063159079842</c:v>
                </c:pt>
                <c:pt idx="1">
                  <c:v>0.6321795958083064</c:v>
                </c:pt>
                <c:pt idx="2">
                  <c:v>0.81647001149761422</c:v>
                </c:pt>
                <c:pt idx="3">
                  <c:v>0.94316401159691754</c:v>
                </c:pt>
                <c:pt idx="4">
                  <c:v>0.47179927036901281</c:v>
                </c:pt>
                <c:pt idx="5">
                  <c:v>0.54376918866418711</c:v>
                </c:pt>
                <c:pt idx="6">
                  <c:v>6.8556063463360628E-2</c:v>
                </c:pt>
                <c:pt idx="7">
                  <c:v>0.36962861195356633</c:v>
                </c:pt>
                <c:pt idx="8">
                  <c:v>0.83113312363637537</c:v>
                </c:pt>
                <c:pt idx="9">
                  <c:v>0.18227568955621831</c:v>
                </c:pt>
                <c:pt idx="10">
                  <c:v>0.52737373290058243</c:v>
                </c:pt>
                <c:pt idx="11">
                  <c:v>0.74040065480012451</c:v>
                </c:pt>
                <c:pt idx="12">
                  <c:v>0.29563587048725637</c:v>
                </c:pt>
                <c:pt idx="13">
                  <c:v>0.86479842416975539</c:v>
                </c:pt>
                <c:pt idx="14">
                  <c:v>0.5764012465381696</c:v>
                </c:pt>
                <c:pt idx="15">
                  <c:v>0.5063004402873138</c:v>
                </c:pt>
                <c:pt idx="16">
                  <c:v>0.28172580774314271</c:v>
                </c:pt>
                <c:pt idx="17">
                  <c:v>8.8226890265836078E-2</c:v>
                </c:pt>
                <c:pt idx="18">
                  <c:v>0.91425788123838592</c:v>
                </c:pt>
                <c:pt idx="19">
                  <c:v>0.75783467487338629</c:v>
                </c:pt>
                <c:pt idx="20">
                  <c:v>0.35324442784412757</c:v>
                </c:pt>
                <c:pt idx="21">
                  <c:v>0.97553373719154202</c:v>
                </c:pt>
                <c:pt idx="22">
                  <c:v>0.55897935398550203</c:v>
                </c:pt>
                <c:pt idx="23">
                  <c:v>0.9347336634620016</c:v>
                </c:pt>
                <c:pt idx="24">
                  <c:v>0.97412144945067913</c:v>
                </c:pt>
                <c:pt idx="25">
                  <c:v>0.48265023842609012</c:v>
                </c:pt>
                <c:pt idx="26">
                  <c:v>0.70669289469874386</c:v>
                </c:pt>
                <c:pt idx="27">
                  <c:v>0.8436084960038045</c:v>
                </c:pt>
                <c:pt idx="28">
                  <c:v>0.80146557917580508</c:v>
                </c:pt>
                <c:pt idx="29">
                  <c:v>7.4692094727279335E-2</c:v>
                </c:pt>
                <c:pt idx="30">
                  <c:v>0.15083347908678812</c:v>
                </c:pt>
                <c:pt idx="31">
                  <c:v>0.35873151005614357</c:v>
                </c:pt>
                <c:pt idx="32">
                  <c:v>0.52987598278370485</c:v>
                </c:pt>
                <c:pt idx="33">
                  <c:v>0.69910345579004396</c:v>
                </c:pt>
                <c:pt idx="34">
                  <c:v>0.93221176040931664</c:v>
                </c:pt>
                <c:pt idx="35">
                  <c:v>0.56739171487453843</c:v>
                </c:pt>
                <c:pt idx="36">
                  <c:v>4.0114276732829746E-2</c:v>
                </c:pt>
                <c:pt idx="37">
                  <c:v>0.98046908360601748</c:v>
                </c:pt>
                <c:pt idx="38">
                  <c:v>0.47588663405719156</c:v>
                </c:pt>
                <c:pt idx="39">
                  <c:v>0.91556094505735519</c:v>
                </c:pt>
                <c:pt idx="40">
                  <c:v>0.99002058267059301</c:v>
                </c:pt>
                <c:pt idx="41">
                  <c:v>0.25799426489751542</c:v>
                </c:pt>
                <c:pt idx="42">
                  <c:v>0.85428347968240215</c:v>
                </c:pt>
                <c:pt idx="43">
                  <c:v>0.85777932975968774</c:v>
                </c:pt>
                <c:pt idx="44">
                  <c:v>0.54295414048218316</c:v>
                </c:pt>
                <c:pt idx="45">
                  <c:v>0.53706368342869071</c:v>
                </c:pt>
                <c:pt idx="46">
                  <c:v>0.79073671781334243</c:v>
                </c:pt>
                <c:pt idx="47">
                  <c:v>0.14899161732586441</c:v>
                </c:pt>
                <c:pt idx="48">
                  <c:v>0.27096145606211453</c:v>
                </c:pt>
                <c:pt idx="49">
                  <c:v>1.6030217884058229E-2</c:v>
                </c:pt>
                <c:pt idx="50">
                  <c:v>0.63693453070526163</c:v>
                </c:pt>
                <c:pt idx="51">
                  <c:v>8.8288411237140596E-2</c:v>
                </c:pt>
                <c:pt idx="52">
                  <c:v>0.17759139081260766</c:v>
                </c:pt>
                <c:pt idx="53">
                  <c:v>0.37803326634357504</c:v>
                </c:pt>
                <c:pt idx="54">
                  <c:v>0.80622891689439569</c:v>
                </c:pt>
                <c:pt idx="55">
                  <c:v>0.52863373158511728</c:v>
                </c:pt>
                <c:pt idx="56">
                  <c:v>0.79997800304841271</c:v>
                </c:pt>
                <c:pt idx="57">
                  <c:v>0.73093308023798931</c:v>
                </c:pt>
                <c:pt idx="58">
                  <c:v>0.10856008849041776</c:v>
                </c:pt>
                <c:pt idx="59">
                  <c:v>0.54883716988977094</c:v>
                </c:pt>
                <c:pt idx="60">
                  <c:v>0.20077572008122924</c:v>
                </c:pt>
                <c:pt idx="61">
                  <c:v>0.76941803724334101</c:v>
                </c:pt>
                <c:pt idx="62">
                  <c:v>8.5777996915371135E-2</c:v>
                </c:pt>
                <c:pt idx="63">
                  <c:v>0.16827903901837882</c:v>
                </c:pt>
                <c:pt idx="64">
                  <c:v>0.57586104687592665</c:v>
                </c:pt>
                <c:pt idx="65">
                  <c:v>0.30975366397523052</c:v>
                </c:pt>
                <c:pt idx="66">
                  <c:v>0.68787468321661172</c:v>
                </c:pt>
                <c:pt idx="67">
                  <c:v>0.99091148234538196</c:v>
                </c:pt>
                <c:pt idx="68">
                  <c:v>0.86417978062084533</c:v>
                </c:pt>
                <c:pt idx="69">
                  <c:v>0.3567606135351743</c:v>
                </c:pt>
                <c:pt idx="70">
                  <c:v>0.49803117651490802</c:v>
                </c:pt>
                <c:pt idx="71">
                  <c:v>0.45722024419986163</c:v>
                </c:pt>
                <c:pt idx="72">
                  <c:v>0.37234469138492954</c:v>
                </c:pt>
                <c:pt idx="73">
                  <c:v>0.35721541451361627</c:v>
                </c:pt>
                <c:pt idx="74">
                  <c:v>0.97024875972636515</c:v>
                </c:pt>
                <c:pt idx="75">
                  <c:v>0.84692310601741549</c:v>
                </c:pt>
                <c:pt idx="76">
                  <c:v>0.45098982626746942</c:v>
                </c:pt>
                <c:pt idx="77">
                  <c:v>0.54150552164929266</c:v>
                </c:pt>
                <c:pt idx="78">
                  <c:v>0.26655584626263118</c:v>
                </c:pt>
                <c:pt idx="79">
                  <c:v>0.40296108974097622</c:v>
                </c:pt>
                <c:pt idx="80">
                  <c:v>0.28377756539848009</c:v>
                </c:pt>
                <c:pt idx="81">
                  <c:v>0.68641599461358327</c:v>
                </c:pt>
                <c:pt idx="82">
                  <c:v>0.27672328198078711</c:v>
                </c:pt>
                <c:pt idx="83">
                  <c:v>0.76607597473741473</c:v>
                </c:pt>
                <c:pt idx="84">
                  <c:v>0.15331513944316355</c:v>
                </c:pt>
                <c:pt idx="85">
                  <c:v>0.96788222823665382</c:v>
                </c:pt>
                <c:pt idx="86">
                  <c:v>0.48109518875726209</c:v>
                </c:pt>
                <c:pt idx="87">
                  <c:v>0.83299386663790342</c:v>
                </c:pt>
                <c:pt idx="88">
                  <c:v>7.5223770831600922E-2</c:v>
                </c:pt>
                <c:pt idx="89">
                  <c:v>3.3413196962461811E-4</c:v>
                </c:pt>
                <c:pt idx="90">
                  <c:v>0.97919979781011868</c:v>
                </c:pt>
                <c:pt idx="91">
                  <c:v>0.9465007279338965</c:v>
                </c:pt>
                <c:pt idx="92">
                  <c:v>0.17810218255661625</c:v>
                </c:pt>
                <c:pt idx="93">
                  <c:v>0.15884981982321811</c:v>
                </c:pt>
                <c:pt idx="94">
                  <c:v>0.76504278435930517</c:v>
                </c:pt>
                <c:pt idx="95">
                  <c:v>0.86714106504011523</c:v>
                </c:pt>
                <c:pt idx="96">
                  <c:v>0.96918872922103949</c:v>
                </c:pt>
                <c:pt idx="97">
                  <c:v>0.22955913152402729</c:v>
                </c:pt>
                <c:pt idx="98">
                  <c:v>0.88150906405535279</c:v>
                </c:pt>
                <c:pt idx="99">
                  <c:v>0.56024850760880673</c:v>
                </c:pt>
                <c:pt idx="100">
                  <c:v>0.68521908718560653</c:v>
                </c:pt>
                <c:pt idx="101">
                  <c:v>0.95100539747122625</c:v>
                </c:pt>
                <c:pt idx="102">
                  <c:v>0.19015579454140352</c:v>
                </c:pt>
                <c:pt idx="103">
                  <c:v>0.72975068700207368</c:v>
                </c:pt>
                <c:pt idx="104">
                  <c:v>0.14669497545466037</c:v>
                </c:pt>
                <c:pt idx="105">
                  <c:v>0.13620575911779831</c:v>
                </c:pt>
                <c:pt idx="106">
                  <c:v>0.91709221324310042</c:v>
                </c:pt>
                <c:pt idx="107">
                  <c:v>0.50378786862591762</c:v>
                </c:pt>
                <c:pt idx="108">
                  <c:v>0.12287609130315702</c:v>
                </c:pt>
                <c:pt idx="109">
                  <c:v>0.25097465544434261</c:v>
                </c:pt>
                <c:pt idx="110">
                  <c:v>0.23081281224888051</c:v>
                </c:pt>
                <c:pt idx="111">
                  <c:v>4.4529063923932855E-2</c:v>
                </c:pt>
                <c:pt idx="112">
                  <c:v>0.90681065289410401</c:v>
                </c:pt>
                <c:pt idx="113">
                  <c:v>0.6187945113148785</c:v>
                </c:pt>
                <c:pt idx="114">
                  <c:v>0.91835307978192982</c:v>
                </c:pt>
                <c:pt idx="115">
                  <c:v>0.49522941672532894</c:v>
                </c:pt>
                <c:pt idx="116">
                  <c:v>1.1685619814403747E-2</c:v>
                </c:pt>
                <c:pt idx="117">
                  <c:v>0.63467877148750496</c:v>
                </c:pt>
                <c:pt idx="118">
                  <c:v>0.73054231558417371</c:v>
                </c:pt>
                <c:pt idx="119">
                  <c:v>4.2570623734472512E-3</c:v>
                </c:pt>
                <c:pt idx="120">
                  <c:v>0.10046370738556321</c:v>
                </c:pt>
                <c:pt idx="121">
                  <c:v>0.16611918042123064</c:v>
                </c:pt>
                <c:pt idx="122">
                  <c:v>0.20622001273938928</c:v>
                </c:pt>
                <c:pt idx="123">
                  <c:v>0.63968200864521907</c:v>
                </c:pt>
                <c:pt idx="124">
                  <c:v>0.67032712161750052</c:v>
                </c:pt>
                <c:pt idx="125">
                  <c:v>0.33758956829607156</c:v>
                </c:pt>
                <c:pt idx="126">
                  <c:v>0.61821005796887629</c:v>
                </c:pt>
                <c:pt idx="127">
                  <c:v>7.6763322710650783E-2</c:v>
                </c:pt>
                <c:pt idx="128">
                  <c:v>0.19220861468492778</c:v>
                </c:pt>
                <c:pt idx="129">
                  <c:v>8.8422689170648439E-2</c:v>
                </c:pt>
                <c:pt idx="130">
                  <c:v>0.32128103423026699</c:v>
                </c:pt>
                <c:pt idx="131">
                  <c:v>1.500905228239191E-2</c:v>
                </c:pt>
                <c:pt idx="132">
                  <c:v>0.7643208821240447</c:v>
                </c:pt>
                <c:pt idx="133">
                  <c:v>0.28583739222124893</c:v>
                </c:pt>
                <c:pt idx="134">
                  <c:v>0.36613523852043484</c:v>
                </c:pt>
                <c:pt idx="135">
                  <c:v>0.84345730934023799</c:v>
                </c:pt>
                <c:pt idx="136">
                  <c:v>0.79692247859864729</c:v>
                </c:pt>
                <c:pt idx="137">
                  <c:v>0.97717883158266172</c:v>
                </c:pt>
                <c:pt idx="138">
                  <c:v>0.25824884754000399</c:v>
                </c:pt>
                <c:pt idx="139">
                  <c:v>0.79050958510601654</c:v>
                </c:pt>
                <c:pt idx="140">
                  <c:v>0.66252601366420394</c:v>
                </c:pt>
                <c:pt idx="141">
                  <c:v>0.88171049864117168</c:v>
                </c:pt>
                <c:pt idx="142">
                  <c:v>0.92861883011729529</c:v>
                </c:pt>
                <c:pt idx="143">
                  <c:v>0.7338341910346371</c:v>
                </c:pt>
                <c:pt idx="144">
                  <c:v>0.89110716397922851</c:v>
                </c:pt>
                <c:pt idx="145">
                  <c:v>0.92729735613445441</c:v>
                </c:pt>
                <c:pt idx="146">
                  <c:v>0.37668058582377895</c:v>
                </c:pt>
                <c:pt idx="147">
                  <c:v>0.34432556046499685</c:v>
                </c:pt>
                <c:pt idx="148">
                  <c:v>1.4705286991492428E-2</c:v>
                </c:pt>
                <c:pt idx="149">
                  <c:v>0.4331617315442583</c:v>
                </c:pt>
                <c:pt idx="150">
                  <c:v>0.29280654119688954</c:v>
                </c:pt>
                <c:pt idx="151">
                  <c:v>0.34350742039344362</c:v>
                </c:pt>
                <c:pt idx="152">
                  <c:v>0.86638753059064344</c:v>
                </c:pt>
                <c:pt idx="153">
                  <c:v>0.7189415541664006</c:v>
                </c:pt>
                <c:pt idx="154">
                  <c:v>0.56611395548272525</c:v>
                </c:pt>
                <c:pt idx="155">
                  <c:v>0.39949153050380715</c:v>
                </c:pt>
                <c:pt idx="156">
                  <c:v>0.50133504859418143</c:v>
                </c:pt>
                <c:pt idx="157">
                  <c:v>0.99162482830315823</c:v>
                </c:pt>
                <c:pt idx="158">
                  <c:v>0.67098799117655084</c:v>
                </c:pt>
                <c:pt idx="159">
                  <c:v>2.9899913528078748E-2</c:v>
                </c:pt>
                <c:pt idx="160">
                  <c:v>0.53840024101527684</c:v>
                </c:pt>
                <c:pt idx="161">
                  <c:v>0.45635323022289154</c:v>
                </c:pt>
                <c:pt idx="162">
                  <c:v>0.84727242079130649</c:v>
                </c:pt>
                <c:pt idx="163">
                  <c:v>0.98167048179695959</c:v>
                </c:pt>
                <c:pt idx="164">
                  <c:v>0.27985150218207122</c:v>
                </c:pt>
                <c:pt idx="165">
                  <c:v>0.67953605306027021</c:v>
                </c:pt>
                <c:pt idx="166">
                  <c:v>0.53253689866348575</c:v>
                </c:pt>
                <c:pt idx="167">
                  <c:v>0.24553308228936077</c:v>
                </c:pt>
                <c:pt idx="168">
                  <c:v>0.83366040235903582</c:v>
                </c:pt>
                <c:pt idx="169">
                  <c:v>3.7407982825771957E-2</c:v>
                </c:pt>
                <c:pt idx="170">
                  <c:v>0.78571090895646523</c:v>
                </c:pt>
                <c:pt idx="171">
                  <c:v>0.82198693821301416</c:v>
                </c:pt>
                <c:pt idx="172">
                  <c:v>0.17694687890206917</c:v>
                </c:pt>
                <c:pt idx="173">
                  <c:v>0.97546445649874147</c:v>
                </c:pt>
                <c:pt idx="174">
                  <c:v>0.29645448649317752</c:v>
                </c:pt>
                <c:pt idx="175">
                  <c:v>0.66939051887236212</c:v>
                </c:pt>
                <c:pt idx="176">
                  <c:v>0.85137347318878698</c:v>
                </c:pt>
                <c:pt idx="177">
                  <c:v>0.68671652118265136</c:v>
                </c:pt>
                <c:pt idx="178">
                  <c:v>0.18453239328859861</c:v>
                </c:pt>
                <c:pt idx="179">
                  <c:v>7.7048218330787788E-2</c:v>
                </c:pt>
                <c:pt idx="180">
                  <c:v>0.52351507092984806</c:v>
                </c:pt>
                <c:pt idx="181">
                  <c:v>0.91045666462354669</c:v>
                </c:pt>
                <c:pt idx="182">
                  <c:v>1.6653549040780646E-2</c:v>
                </c:pt>
                <c:pt idx="183">
                  <c:v>0.18274367154695081</c:v>
                </c:pt>
                <c:pt idx="184">
                  <c:v>0.16466134593052795</c:v>
                </c:pt>
                <c:pt idx="185">
                  <c:v>0.26003537521192877</c:v>
                </c:pt>
                <c:pt idx="186">
                  <c:v>0.58272331917322828</c:v>
                </c:pt>
                <c:pt idx="187">
                  <c:v>0.40842529950018691</c:v>
                </c:pt>
                <c:pt idx="188">
                  <c:v>0.70670718091950568</c:v>
                </c:pt>
                <c:pt idx="189">
                  <c:v>0.39807366791902521</c:v>
                </c:pt>
                <c:pt idx="190">
                  <c:v>0.75126411468970711</c:v>
                </c:pt>
                <c:pt idx="191">
                  <c:v>3.5161464902937589E-2</c:v>
                </c:pt>
                <c:pt idx="192">
                  <c:v>0.35623371552784933</c:v>
                </c:pt>
                <c:pt idx="193">
                  <c:v>0.62283177707496551</c:v>
                </c:pt>
                <c:pt idx="194">
                  <c:v>0.4971150669402965</c:v>
                </c:pt>
                <c:pt idx="195">
                  <c:v>0.33943853439376215</c:v>
                </c:pt>
                <c:pt idx="196">
                  <c:v>0.82065559887956785</c:v>
                </c:pt>
                <c:pt idx="197">
                  <c:v>0.2197186309529201</c:v>
                </c:pt>
                <c:pt idx="198">
                  <c:v>0.63892770982671632</c:v>
                </c:pt>
                <c:pt idx="199">
                  <c:v>0.84319802533917887</c:v>
                </c:pt>
                <c:pt idx="200">
                  <c:v>0.42146708608752514</c:v>
                </c:pt>
                <c:pt idx="201">
                  <c:v>0.29784300807198227</c:v>
                </c:pt>
                <c:pt idx="202">
                  <c:v>0.57219480994627392</c:v>
                </c:pt>
                <c:pt idx="203">
                  <c:v>0.95768675118074775</c:v>
                </c:pt>
                <c:pt idx="204">
                  <c:v>3.4729399653430693E-2</c:v>
                </c:pt>
                <c:pt idx="205">
                  <c:v>0.46320306656610233</c:v>
                </c:pt>
                <c:pt idx="206">
                  <c:v>0.52011106817321018</c:v>
                </c:pt>
                <c:pt idx="207">
                  <c:v>0.12913339722643968</c:v>
                </c:pt>
                <c:pt idx="208">
                  <c:v>0.78970224572703962</c:v>
                </c:pt>
                <c:pt idx="209">
                  <c:v>0.1952550813627556</c:v>
                </c:pt>
                <c:pt idx="210">
                  <c:v>0.83242013960778272</c:v>
                </c:pt>
                <c:pt idx="211">
                  <c:v>0.4825551203536772</c:v>
                </c:pt>
                <c:pt idx="212">
                  <c:v>0.91069813706029146</c:v>
                </c:pt>
                <c:pt idx="213">
                  <c:v>5.5528653768950775E-2</c:v>
                </c:pt>
                <c:pt idx="214">
                  <c:v>0.70563065456142338</c:v>
                </c:pt>
                <c:pt idx="215">
                  <c:v>2.635502351175667E-2</c:v>
                </c:pt>
                <c:pt idx="216">
                  <c:v>0.14450936274630932</c:v>
                </c:pt>
                <c:pt idx="217">
                  <c:v>6.3291568750006522E-2</c:v>
                </c:pt>
                <c:pt idx="218">
                  <c:v>0.787282176062857</c:v>
                </c:pt>
                <c:pt idx="219">
                  <c:v>0.96297314602856521</c:v>
                </c:pt>
                <c:pt idx="220">
                  <c:v>0.66217998059594407</c:v>
                </c:pt>
                <c:pt idx="221">
                  <c:v>0.55673699945148392</c:v>
                </c:pt>
                <c:pt idx="222">
                  <c:v>0.58731190454648019</c:v>
                </c:pt>
                <c:pt idx="223">
                  <c:v>0.94415088743364994</c:v>
                </c:pt>
                <c:pt idx="224">
                  <c:v>0.91043787381974184</c:v>
                </c:pt>
                <c:pt idx="225">
                  <c:v>0.28472427073727691</c:v>
                </c:pt>
                <c:pt idx="226">
                  <c:v>0.23105666675525038</c:v>
                </c:pt>
                <c:pt idx="227">
                  <c:v>0.27324663807397387</c:v>
                </c:pt>
                <c:pt idx="228">
                  <c:v>0.60168974541352349</c:v>
                </c:pt>
                <c:pt idx="229">
                  <c:v>0.35039477704231559</c:v>
                </c:pt>
                <c:pt idx="230">
                  <c:v>0.68789544666486913</c:v>
                </c:pt>
                <c:pt idx="231">
                  <c:v>0.79651837397031988</c:v>
                </c:pt>
                <c:pt idx="232">
                  <c:v>0.92692910876586054</c:v>
                </c:pt>
                <c:pt idx="233">
                  <c:v>0.78701872708445431</c:v>
                </c:pt>
                <c:pt idx="234">
                  <c:v>0.56051158811778001</c:v>
                </c:pt>
                <c:pt idx="235">
                  <c:v>0.70958129427142558</c:v>
                </c:pt>
                <c:pt idx="236">
                  <c:v>7.204695217396595E-2</c:v>
                </c:pt>
                <c:pt idx="237">
                  <c:v>0.29863508754335999</c:v>
                </c:pt>
                <c:pt idx="238">
                  <c:v>0.78233339939525237</c:v>
                </c:pt>
                <c:pt idx="239">
                  <c:v>0.1209129781541366</c:v>
                </c:pt>
                <c:pt idx="240">
                  <c:v>0.85514367730653684</c:v>
                </c:pt>
                <c:pt idx="241">
                  <c:v>0.57736860868748396</c:v>
                </c:pt>
                <c:pt idx="242">
                  <c:v>0.4595857654694111</c:v>
                </c:pt>
                <c:pt idx="243">
                  <c:v>3.6121513401020877E-2</c:v>
                </c:pt>
                <c:pt idx="244">
                  <c:v>0.26331269955266379</c:v>
                </c:pt>
                <c:pt idx="245">
                  <c:v>0.34990241606938988</c:v>
                </c:pt>
                <c:pt idx="246">
                  <c:v>0.75974202145858383</c:v>
                </c:pt>
                <c:pt idx="247">
                  <c:v>9.5851076529043233E-3</c:v>
                </c:pt>
                <c:pt idx="248">
                  <c:v>0.97586406905706979</c:v>
                </c:pt>
                <c:pt idx="249">
                  <c:v>0.52570776947974718</c:v>
                </c:pt>
                <c:pt idx="250">
                  <c:v>0.74170277760909997</c:v>
                </c:pt>
                <c:pt idx="251">
                  <c:v>0.84288747964651656</c:v>
                </c:pt>
                <c:pt idx="252">
                  <c:v>0.65285150052486662</c:v>
                </c:pt>
                <c:pt idx="253">
                  <c:v>0.40004322042562246</c:v>
                </c:pt>
                <c:pt idx="254">
                  <c:v>0.99903062248171581</c:v>
                </c:pt>
                <c:pt idx="255">
                  <c:v>0.43158121215431955</c:v>
                </c:pt>
                <c:pt idx="256">
                  <c:v>0.83088138387200083</c:v>
                </c:pt>
                <c:pt idx="257">
                  <c:v>0.13782903482927589</c:v>
                </c:pt>
                <c:pt idx="258">
                  <c:v>0.52336318348189215</c:v>
                </c:pt>
                <c:pt idx="259">
                  <c:v>0.27702487792677832</c:v>
                </c:pt>
                <c:pt idx="260">
                  <c:v>0.522874284030314</c:v>
                </c:pt>
                <c:pt idx="261">
                  <c:v>0.78697765897374361</c:v>
                </c:pt>
                <c:pt idx="262">
                  <c:v>0.8346708575211178</c:v>
                </c:pt>
                <c:pt idx="263">
                  <c:v>0.35024948050452676</c:v>
                </c:pt>
                <c:pt idx="264">
                  <c:v>0.21529648844972005</c:v>
                </c:pt>
                <c:pt idx="265">
                  <c:v>0.14476732184305952</c:v>
                </c:pt>
                <c:pt idx="266">
                  <c:v>0.48484360352939326</c:v>
                </c:pt>
                <c:pt idx="267">
                  <c:v>0.64909253145206747</c:v>
                </c:pt>
                <c:pt idx="268">
                  <c:v>0.74531478410112451</c:v>
                </c:pt>
                <c:pt idx="269">
                  <c:v>0.77314812829193991</c:v>
                </c:pt>
                <c:pt idx="270">
                  <c:v>0.46315586547321985</c:v>
                </c:pt>
                <c:pt idx="271">
                  <c:v>0.27816858226975782</c:v>
                </c:pt>
                <c:pt idx="272">
                  <c:v>0.52539175277527439</c:v>
                </c:pt>
                <c:pt idx="273">
                  <c:v>0.86915425495684295</c:v>
                </c:pt>
                <c:pt idx="274">
                  <c:v>0.1231735739808153</c:v>
                </c:pt>
                <c:pt idx="275">
                  <c:v>0.62165734494344549</c:v>
                </c:pt>
                <c:pt idx="276">
                  <c:v>0.23686500949989087</c:v>
                </c:pt>
                <c:pt idx="277">
                  <c:v>0.43405527990142478</c:v>
                </c:pt>
                <c:pt idx="278">
                  <c:v>0.1535890844115444</c:v>
                </c:pt>
                <c:pt idx="279">
                  <c:v>0.1940705421466653</c:v>
                </c:pt>
                <c:pt idx="280">
                  <c:v>0.25470214911727151</c:v>
                </c:pt>
                <c:pt idx="281">
                  <c:v>2.0351276526300865E-2</c:v>
                </c:pt>
                <c:pt idx="282">
                  <c:v>0.76788152305403057</c:v>
                </c:pt>
                <c:pt idx="283">
                  <c:v>0.96298149827302804</c:v>
                </c:pt>
                <c:pt idx="284">
                  <c:v>0.42385460175218537</c:v>
                </c:pt>
                <c:pt idx="285">
                  <c:v>0.10678983228509387</c:v>
                </c:pt>
                <c:pt idx="286">
                  <c:v>0.37677618774671406</c:v>
                </c:pt>
                <c:pt idx="287">
                  <c:v>0.83838654582583416</c:v>
                </c:pt>
                <c:pt idx="288">
                  <c:v>0.5139048146847992</c:v>
                </c:pt>
                <c:pt idx="289">
                  <c:v>0.57470463529049631</c:v>
                </c:pt>
                <c:pt idx="290">
                  <c:v>0.27556039282370615</c:v>
                </c:pt>
                <c:pt idx="291">
                  <c:v>0.19465271361422354</c:v>
                </c:pt>
                <c:pt idx="292">
                  <c:v>0.25128594542707849</c:v>
                </c:pt>
                <c:pt idx="293">
                  <c:v>0.37415824169566603</c:v>
                </c:pt>
                <c:pt idx="294">
                  <c:v>0.2912012985805662</c:v>
                </c:pt>
                <c:pt idx="295">
                  <c:v>0.48382279794212968</c:v>
                </c:pt>
                <c:pt idx="296">
                  <c:v>0.66670116345890229</c:v>
                </c:pt>
                <c:pt idx="297">
                  <c:v>0.85830573293897761</c:v>
                </c:pt>
                <c:pt idx="298">
                  <c:v>0.10059156629158328</c:v>
                </c:pt>
                <c:pt idx="299">
                  <c:v>0.11633327418547679</c:v>
                </c:pt>
                <c:pt idx="300">
                  <c:v>0.2832535286155029</c:v>
                </c:pt>
                <c:pt idx="301">
                  <c:v>0.52047338469762727</c:v>
                </c:pt>
                <c:pt idx="302">
                  <c:v>7.2853704922980489E-3</c:v>
                </c:pt>
                <c:pt idx="303">
                  <c:v>0.74886444548101383</c:v>
                </c:pt>
                <c:pt idx="304">
                  <c:v>2.372581040485644E-2</c:v>
                </c:pt>
                <c:pt idx="305">
                  <c:v>0.16172181290942766</c:v>
                </c:pt>
                <c:pt idx="306">
                  <c:v>0.52572248242421582</c:v>
                </c:pt>
                <c:pt idx="307">
                  <c:v>0.57139997121345409</c:v>
                </c:pt>
                <c:pt idx="308">
                  <c:v>0.94703114131051214</c:v>
                </c:pt>
                <c:pt idx="309">
                  <c:v>0.73505470597113542</c:v>
                </c:pt>
                <c:pt idx="310">
                  <c:v>4.3914684029345841E-3</c:v>
                </c:pt>
                <c:pt idx="311">
                  <c:v>0.31564027065483891</c:v>
                </c:pt>
                <c:pt idx="312">
                  <c:v>0.28586252495818687</c:v>
                </c:pt>
                <c:pt idx="313">
                  <c:v>0.41000230260229076</c:v>
                </c:pt>
                <c:pt idx="314">
                  <c:v>0.49631121676320389</c:v>
                </c:pt>
                <c:pt idx="315">
                  <c:v>0.16677007257549259</c:v>
                </c:pt>
                <c:pt idx="316">
                  <c:v>0.6839015025883024</c:v>
                </c:pt>
                <c:pt idx="317">
                  <c:v>0.47496989037618365</c:v>
                </c:pt>
                <c:pt idx="318">
                  <c:v>0.51857083029752837</c:v>
                </c:pt>
                <c:pt idx="319">
                  <c:v>0.20407561971902288</c:v>
                </c:pt>
                <c:pt idx="320">
                  <c:v>0.33093636704064755</c:v>
                </c:pt>
                <c:pt idx="321">
                  <c:v>0.78390689116764256</c:v>
                </c:pt>
                <c:pt idx="322">
                  <c:v>0.94205983452799802</c:v>
                </c:pt>
                <c:pt idx="323">
                  <c:v>0.5031846008861971</c:v>
                </c:pt>
                <c:pt idx="324">
                  <c:v>0.6971570590350824</c:v>
                </c:pt>
                <c:pt idx="325">
                  <c:v>0.85905910042892852</c:v>
                </c:pt>
                <c:pt idx="326">
                  <c:v>0.41590377381720611</c:v>
                </c:pt>
                <c:pt idx="327">
                  <c:v>0.67640457988553415</c:v>
                </c:pt>
                <c:pt idx="328">
                  <c:v>0.63875172389286694</c:v>
                </c:pt>
                <c:pt idx="329">
                  <c:v>0.27495558936658004</c:v>
                </c:pt>
                <c:pt idx="330">
                  <c:v>0.38407927676337261</c:v>
                </c:pt>
                <c:pt idx="331">
                  <c:v>0.61946872090872418</c:v>
                </c:pt>
                <c:pt idx="332">
                  <c:v>0.16626085091884679</c:v>
                </c:pt>
                <c:pt idx="333">
                  <c:v>0.2403565485558592</c:v>
                </c:pt>
                <c:pt idx="334">
                  <c:v>0.88919373130679524</c:v>
                </c:pt>
                <c:pt idx="335">
                  <c:v>0.16280912472657494</c:v>
                </c:pt>
                <c:pt idx="336">
                  <c:v>0.96451947331476728</c:v>
                </c:pt>
                <c:pt idx="337">
                  <c:v>0.31104972066460324</c:v>
                </c:pt>
                <c:pt idx="338">
                  <c:v>0.58488022665085915</c:v>
                </c:pt>
                <c:pt idx="339">
                  <c:v>0.14695099276968226</c:v>
                </c:pt>
                <c:pt idx="340">
                  <c:v>8.2999974505654439E-2</c:v>
                </c:pt>
                <c:pt idx="341">
                  <c:v>0.83547635163184475</c:v>
                </c:pt>
                <c:pt idx="342">
                  <c:v>0.8973174264507483</c:v>
                </c:pt>
                <c:pt idx="343">
                  <c:v>0.99086500080474882</c:v>
                </c:pt>
                <c:pt idx="344">
                  <c:v>0.89417670579812558</c:v>
                </c:pt>
                <c:pt idx="345">
                  <c:v>0.54174772056172715</c:v>
                </c:pt>
                <c:pt idx="346">
                  <c:v>0.75292285772298817</c:v>
                </c:pt>
                <c:pt idx="347">
                  <c:v>0.39215514719367051</c:v>
                </c:pt>
                <c:pt idx="348">
                  <c:v>0.32604330087859812</c:v>
                </c:pt>
                <c:pt idx="349">
                  <c:v>0.26515716549358359</c:v>
                </c:pt>
                <c:pt idx="350">
                  <c:v>0.50488355479439251</c:v>
                </c:pt>
                <c:pt idx="351">
                  <c:v>0.70465229085420111</c:v>
                </c:pt>
                <c:pt idx="352">
                  <c:v>0.32789594772638531</c:v>
                </c:pt>
                <c:pt idx="353">
                  <c:v>5.7090141646872095E-2</c:v>
                </c:pt>
                <c:pt idx="354">
                  <c:v>0.80846405650661268</c:v>
                </c:pt>
                <c:pt idx="355">
                  <c:v>0.22536098808079452</c:v>
                </c:pt>
                <c:pt idx="356">
                  <c:v>0.84251163177411648</c:v>
                </c:pt>
                <c:pt idx="357">
                  <c:v>6.7809659115024679E-2</c:v>
                </c:pt>
                <c:pt idx="358">
                  <c:v>0.89866550051455318</c:v>
                </c:pt>
                <c:pt idx="359">
                  <c:v>6.7564743896477042E-2</c:v>
                </c:pt>
                <c:pt idx="360">
                  <c:v>0.36505436950510406</c:v>
                </c:pt>
                <c:pt idx="361">
                  <c:v>0.70910918428713965</c:v>
                </c:pt>
                <c:pt idx="362">
                  <c:v>9.0596292097763542E-2</c:v>
                </c:pt>
                <c:pt idx="363">
                  <c:v>0.15893859468573512</c:v>
                </c:pt>
                <c:pt idx="364">
                  <c:v>0.26128362708399278</c:v>
                </c:pt>
                <c:pt idx="365">
                  <c:v>0.70303594813624726</c:v>
                </c:pt>
                <c:pt idx="366">
                  <c:v>0.90530635136720605</c:v>
                </c:pt>
                <c:pt idx="367">
                  <c:v>0.65578945956954382</c:v>
                </c:pt>
                <c:pt idx="368">
                  <c:v>0.77727890380702014</c:v>
                </c:pt>
                <c:pt idx="369">
                  <c:v>0.7614920213554538</c:v>
                </c:pt>
                <c:pt idx="370">
                  <c:v>0.47543014086813928</c:v>
                </c:pt>
                <c:pt idx="371">
                  <c:v>0.62733387163097654</c:v>
                </c:pt>
                <c:pt idx="372">
                  <c:v>0.39925355943780805</c:v>
                </c:pt>
                <c:pt idx="373">
                  <c:v>0.20389009717093853</c:v>
                </c:pt>
                <c:pt idx="374">
                  <c:v>0.62229535835380978</c:v>
                </c:pt>
                <c:pt idx="375">
                  <c:v>0.8557795479211201</c:v>
                </c:pt>
                <c:pt idx="376">
                  <c:v>0.13657980382317325</c:v>
                </c:pt>
                <c:pt idx="377">
                  <c:v>0.98094678853028994</c:v>
                </c:pt>
                <c:pt idx="378">
                  <c:v>0.34905945708221786</c:v>
                </c:pt>
                <c:pt idx="379">
                  <c:v>7.4853168192605457E-2</c:v>
                </c:pt>
                <c:pt idx="380">
                  <c:v>0.26213919393415019</c:v>
                </c:pt>
                <c:pt idx="381">
                  <c:v>0.38505212553914581</c:v>
                </c:pt>
                <c:pt idx="382">
                  <c:v>0.83158020390540677</c:v>
                </c:pt>
                <c:pt idx="383">
                  <c:v>0.72534300250180483</c:v>
                </c:pt>
                <c:pt idx="384">
                  <c:v>0.63129432363347426</c:v>
                </c:pt>
                <c:pt idx="385">
                  <c:v>0.81678392665196431</c:v>
                </c:pt>
                <c:pt idx="386">
                  <c:v>0.15763066702542383</c:v>
                </c:pt>
                <c:pt idx="387">
                  <c:v>0.96342805964452061</c:v>
                </c:pt>
                <c:pt idx="388">
                  <c:v>0.37122094950855222</c:v>
                </c:pt>
                <c:pt idx="389">
                  <c:v>0.69973119126537564</c:v>
                </c:pt>
                <c:pt idx="390">
                  <c:v>0.72727038418218082</c:v>
                </c:pt>
                <c:pt idx="391">
                  <c:v>0.80737417341387874</c:v>
                </c:pt>
                <c:pt idx="392">
                  <c:v>0.51067418317340585</c:v>
                </c:pt>
                <c:pt idx="393">
                  <c:v>0.67636082685068044</c:v>
                </c:pt>
                <c:pt idx="394">
                  <c:v>0.23353182865346955</c:v>
                </c:pt>
                <c:pt idx="395">
                  <c:v>0.88761419936348573</c:v>
                </c:pt>
                <c:pt idx="396">
                  <c:v>0.56120424322148665</c:v>
                </c:pt>
                <c:pt idx="397">
                  <c:v>0.18205900386536833</c:v>
                </c:pt>
                <c:pt idx="398">
                  <c:v>0.11057894277696689</c:v>
                </c:pt>
                <c:pt idx="399">
                  <c:v>0.2666905329384055</c:v>
                </c:pt>
                <c:pt idx="400">
                  <c:v>0.48937120789080768</c:v>
                </c:pt>
                <c:pt idx="401">
                  <c:v>0.64427682573883915</c:v>
                </c:pt>
                <c:pt idx="402">
                  <c:v>3.276062500925081E-2</c:v>
                </c:pt>
                <c:pt idx="403">
                  <c:v>0.31476345841710351</c:v>
                </c:pt>
                <c:pt idx="404">
                  <c:v>0.26694358636505144</c:v>
                </c:pt>
                <c:pt idx="405">
                  <c:v>3.1120245377228906E-2</c:v>
                </c:pt>
                <c:pt idx="406">
                  <c:v>0.67870438228632879</c:v>
                </c:pt>
                <c:pt idx="407">
                  <c:v>0.21917307502664762</c:v>
                </c:pt>
                <c:pt idx="408">
                  <c:v>0.64805324412923215</c:v>
                </c:pt>
                <c:pt idx="409">
                  <c:v>0.82835419627003082</c:v>
                </c:pt>
                <c:pt idx="410">
                  <c:v>0.16073729069705844</c:v>
                </c:pt>
                <c:pt idx="411">
                  <c:v>0.9367260919780025</c:v>
                </c:pt>
                <c:pt idx="412">
                  <c:v>0.63331860770550497</c:v>
                </c:pt>
                <c:pt idx="413">
                  <c:v>0.91997229179848183</c:v>
                </c:pt>
                <c:pt idx="414">
                  <c:v>0.40410848962848467</c:v>
                </c:pt>
                <c:pt idx="415">
                  <c:v>0.77802664229499663</c:v>
                </c:pt>
                <c:pt idx="416">
                  <c:v>0.77676771750119888</c:v>
                </c:pt>
                <c:pt idx="417">
                  <c:v>0.1512487154204939</c:v>
                </c:pt>
                <c:pt idx="418">
                  <c:v>0.39402893433664699</c:v>
                </c:pt>
                <c:pt idx="419">
                  <c:v>0.27192236982112383</c:v>
                </c:pt>
                <c:pt idx="420">
                  <c:v>0.61724812829464548</c:v>
                </c:pt>
                <c:pt idx="421">
                  <c:v>0.21920286192918947</c:v>
                </c:pt>
                <c:pt idx="422">
                  <c:v>0.86235026257471625</c:v>
                </c:pt>
                <c:pt idx="423">
                  <c:v>0.9478367027487149</c:v>
                </c:pt>
                <c:pt idx="424">
                  <c:v>0.33838357558012966</c:v>
                </c:pt>
                <c:pt idx="425">
                  <c:v>0.82904254508073938</c:v>
                </c:pt>
                <c:pt idx="426">
                  <c:v>4.821335907576052E-3</c:v>
                </c:pt>
                <c:pt idx="427">
                  <c:v>0.97821169076153192</c:v>
                </c:pt>
                <c:pt idx="428">
                  <c:v>1.469545027747865E-2</c:v>
                </c:pt>
                <c:pt idx="429">
                  <c:v>0.64523139924661699</c:v>
                </c:pt>
                <c:pt idx="430">
                  <c:v>0.23116219700857843</c:v>
                </c:pt>
                <c:pt idx="431">
                  <c:v>0.3658641895590945</c:v>
                </c:pt>
                <c:pt idx="432">
                  <c:v>0.76714026149994696</c:v>
                </c:pt>
                <c:pt idx="433">
                  <c:v>0.87988353278786025</c:v>
                </c:pt>
                <c:pt idx="434">
                  <c:v>0.99685248790281</c:v>
                </c:pt>
                <c:pt idx="435">
                  <c:v>0.91134402000616965</c:v>
                </c:pt>
                <c:pt idx="436">
                  <c:v>0.15424490647291433</c:v>
                </c:pt>
                <c:pt idx="437">
                  <c:v>0.8668953005259018</c:v>
                </c:pt>
                <c:pt idx="438">
                  <c:v>0.63635573886946006</c:v>
                </c:pt>
                <c:pt idx="439">
                  <c:v>0.76515215535743086</c:v>
                </c:pt>
                <c:pt idx="440">
                  <c:v>0.77484519251682149</c:v>
                </c:pt>
                <c:pt idx="441">
                  <c:v>0.61116943513145372</c:v>
                </c:pt>
                <c:pt idx="442">
                  <c:v>0.28015535278544113</c:v>
                </c:pt>
                <c:pt idx="443">
                  <c:v>0.75735943767301295</c:v>
                </c:pt>
                <c:pt idx="444">
                  <c:v>3.2541297369201194E-2</c:v>
                </c:pt>
                <c:pt idx="445">
                  <c:v>0.92524021022978775</c:v>
                </c:pt>
                <c:pt idx="446">
                  <c:v>0.17101357853051657</c:v>
                </c:pt>
                <c:pt idx="447">
                  <c:v>0.64623343677668621</c:v>
                </c:pt>
                <c:pt idx="448">
                  <c:v>0.47525580682707425</c:v>
                </c:pt>
                <c:pt idx="449">
                  <c:v>0.62990760456722661</c:v>
                </c:pt>
                <c:pt idx="450">
                  <c:v>0.45396258677199208</c:v>
                </c:pt>
                <c:pt idx="451">
                  <c:v>0.12513080727621029</c:v>
                </c:pt>
                <c:pt idx="452">
                  <c:v>0.18159127179412149</c:v>
                </c:pt>
                <c:pt idx="453">
                  <c:v>0.15956428889212759</c:v>
                </c:pt>
                <c:pt idx="454">
                  <c:v>0.47179958944391875</c:v>
                </c:pt>
                <c:pt idx="455">
                  <c:v>0.9929326721675743</c:v>
                </c:pt>
                <c:pt idx="456">
                  <c:v>0.82719488179146272</c:v>
                </c:pt>
                <c:pt idx="457">
                  <c:v>0.9706241166939058</c:v>
                </c:pt>
                <c:pt idx="458">
                  <c:v>0.65087900107012431</c:v>
                </c:pt>
                <c:pt idx="459">
                  <c:v>0.68432745327811884</c:v>
                </c:pt>
                <c:pt idx="460">
                  <c:v>0.40813138759073853</c:v>
                </c:pt>
                <c:pt idx="461">
                  <c:v>0.34943661027589679</c:v>
                </c:pt>
              </c:numCache>
            </c:numRef>
          </c:xVal>
          <c:yVal>
            <c:numRef>
              <c:f>'Portfolio weights '!$S$3:$S$464</c:f>
              <c:numCache>
                <c:formatCode>General</c:formatCode>
                <c:ptCount val="462"/>
                <c:pt idx="0">
                  <c:v>6.9413901926849968E-3</c:v>
                </c:pt>
                <c:pt idx="1">
                  <c:v>5.9593629825232461E-3</c:v>
                </c:pt>
                <c:pt idx="2">
                  <c:v>5.4524907579376241E-3</c:v>
                </c:pt>
                <c:pt idx="3">
                  <c:v>5.104031672684659E-3</c:v>
                </c:pt>
                <c:pt idx="4">
                  <c:v>6.4004729123647956E-3</c:v>
                </c:pt>
                <c:pt idx="5">
                  <c:v>6.2025269016996471E-3</c:v>
                </c:pt>
                <c:pt idx="6">
                  <c:v>7.509552733845533E-3</c:v>
                </c:pt>
                <c:pt idx="7">
                  <c:v>6.6814830165783691E-3</c:v>
                </c:pt>
                <c:pt idx="8">
                  <c:v>5.4121613450307023E-3</c:v>
                </c:pt>
                <c:pt idx="9">
                  <c:v>7.1967783573749274E-3</c:v>
                </c:pt>
                <c:pt idx="10">
                  <c:v>6.2476209512459021E-3</c:v>
                </c:pt>
                <c:pt idx="11">
                  <c:v>5.6617118609875901E-3</c:v>
                </c:pt>
                <c:pt idx="12">
                  <c:v>6.8849925986146174E-3</c:v>
                </c:pt>
                <c:pt idx="13">
                  <c:v>5.3195683270548478E-3</c:v>
                </c:pt>
                <c:pt idx="14">
                  <c:v>6.1127757135788436E-3</c:v>
                </c:pt>
                <c:pt idx="15">
                  <c:v>6.3055809198437202E-3</c:v>
                </c:pt>
                <c:pt idx="16">
                  <c:v>6.9232508250170197E-3</c:v>
                </c:pt>
                <c:pt idx="17">
                  <c:v>7.4554501061884415E-3</c:v>
                </c:pt>
                <c:pt idx="18">
                  <c:v>5.183535072490821E-3</c:v>
                </c:pt>
                <c:pt idx="19">
                  <c:v>5.6137613449233018E-3</c:v>
                </c:pt>
                <c:pt idx="20">
                  <c:v>6.7265460645752461E-3</c:v>
                </c:pt>
                <c:pt idx="21">
                  <c:v>5.0150020030732224E-3</c:v>
                </c:pt>
                <c:pt idx="22">
                  <c:v>6.1606928741193556E-3</c:v>
                </c:pt>
                <c:pt idx="23">
                  <c:v>5.127218496031892E-3</c:v>
                </c:pt>
                <c:pt idx="24">
                  <c:v>5.0188863582432321E-3</c:v>
                </c:pt>
                <c:pt idx="25">
                  <c:v>6.3706284177532553E-3</c:v>
                </c:pt>
                <c:pt idx="26">
                  <c:v>5.7544216597282347E-3</c:v>
                </c:pt>
                <c:pt idx="27">
                  <c:v>5.3778490899914974E-3</c:v>
                </c:pt>
                <c:pt idx="28">
                  <c:v>5.4937589376264778E-3</c:v>
                </c:pt>
                <c:pt idx="29">
                  <c:v>7.4926761979430215E-3</c:v>
                </c:pt>
                <c:pt idx="30">
                  <c:v>7.2832569900640933E-3</c:v>
                </c:pt>
                <c:pt idx="31">
                  <c:v>6.7114543976706711E-3</c:v>
                </c:pt>
                <c:pt idx="32">
                  <c:v>6.2407387649966416E-3</c:v>
                </c:pt>
                <c:pt idx="33">
                  <c:v>5.7752956469544325E-3</c:v>
                </c:pt>
                <c:pt idx="34">
                  <c:v>5.1341547363443494E-3</c:v>
                </c:pt>
                <c:pt idx="35">
                  <c:v>6.1375555228800407E-3</c:v>
                </c:pt>
                <c:pt idx="36">
                  <c:v>7.5877790032767021E-3</c:v>
                </c:pt>
                <c:pt idx="37">
                  <c:v>5.001427829902854E-3</c:v>
                </c:pt>
                <c:pt idx="38">
                  <c:v>6.3892310302649134E-3</c:v>
                </c:pt>
                <c:pt idx="39">
                  <c:v>5.1799511267157389E-3</c:v>
                </c:pt>
                <c:pt idx="40">
                  <c:v>4.9751573938583071E-3</c:v>
                </c:pt>
                <c:pt idx="41">
                  <c:v>6.9885220431105937E-3</c:v>
                </c:pt>
                <c:pt idx="42">
                  <c:v>5.3484886226858718E-3</c:v>
                </c:pt>
                <c:pt idx="43">
                  <c:v>5.3388736391889605E-3</c:v>
                </c:pt>
                <c:pt idx="44">
                  <c:v>6.2047686096235871E-3</c:v>
                </c:pt>
                <c:pt idx="45">
                  <c:v>6.2209697183972703E-3</c:v>
                </c:pt>
                <c:pt idx="46">
                  <c:v>5.5232675900744174E-3</c:v>
                </c:pt>
                <c:pt idx="47">
                  <c:v>7.2883228453048381E-3</c:v>
                </c:pt>
                <c:pt idx="48">
                  <c:v>6.9528570900111971E-3</c:v>
                </c:pt>
                <c:pt idx="49">
                  <c:v>7.6540197811276155E-3</c:v>
                </c:pt>
                <c:pt idx="50">
                  <c:v>5.9462850130587745E-3</c:v>
                </c:pt>
                <c:pt idx="51">
                  <c:v>7.4552808989539407E-3</c:v>
                </c:pt>
                <c:pt idx="52">
                  <c:v>7.2096620492148791E-3</c:v>
                </c:pt>
                <c:pt idx="53">
                  <c:v>6.658366861288346E-3</c:v>
                </c:pt>
                <c:pt idx="54">
                  <c:v>5.4806578570475223E-3</c:v>
                </c:pt>
                <c:pt idx="55">
                  <c:v>6.2441554517850845E-3</c:v>
                </c:pt>
                <c:pt idx="56">
                  <c:v>5.4978503659197592E-3</c:v>
                </c:pt>
                <c:pt idx="57">
                  <c:v>5.6877514711419783E-3</c:v>
                </c:pt>
                <c:pt idx="58">
                  <c:v>7.3995256926562177E-3</c:v>
                </c:pt>
                <c:pt idx="59">
                  <c:v>6.1885879298417702E-3</c:v>
                </c:pt>
                <c:pt idx="60">
                  <c:v>7.145895886943459E-3</c:v>
                </c:pt>
                <c:pt idx="61">
                  <c:v>5.5819024735290421E-3</c:v>
                </c:pt>
                <c:pt idx="62">
                  <c:v>7.4621855406692868E-3</c:v>
                </c:pt>
                <c:pt idx="63">
                  <c:v>7.2352747347818932E-3</c:v>
                </c:pt>
                <c:pt idx="64">
                  <c:v>6.1142614783349612E-3</c:v>
                </c:pt>
                <c:pt idx="65">
                  <c:v>6.8461630297261622E-3</c:v>
                </c:pt>
                <c:pt idx="66">
                  <c:v>5.8061792548315611E-3</c:v>
                </c:pt>
                <c:pt idx="67">
                  <c:v>4.9727070640440633E-3</c:v>
                </c:pt>
                <c:pt idx="68">
                  <c:v>5.3212698438195082E-3</c:v>
                </c:pt>
                <c:pt idx="69">
                  <c:v>6.7168751500211125E-3</c:v>
                </c:pt>
                <c:pt idx="70">
                  <c:v>6.3283246968780672E-3</c:v>
                </c:pt>
                <c:pt idx="71">
                  <c:v>6.4405710552823741E-3</c:v>
                </c:pt>
                <c:pt idx="72">
                  <c:v>6.6740127136959487E-3</c:v>
                </c:pt>
                <c:pt idx="73">
                  <c:v>6.7156242657424904E-3</c:v>
                </c:pt>
                <c:pt idx="74">
                  <c:v>5.0295378012298409E-3</c:v>
                </c:pt>
                <c:pt idx="75">
                  <c:v>5.3687325890332208E-3</c:v>
                </c:pt>
                <c:pt idx="76">
                  <c:v>6.457707192208853E-3</c:v>
                </c:pt>
                <c:pt idx="77">
                  <c:v>6.2087528898025508E-3</c:v>
                </c:pt>
                <c:pt idx="78">
                  <c:v>6.9649742759829575E-3</c:v>
                </c:pt>
                <c:pt idx="79">
                  <c:v>6.5898053940397199E-3</c:v>
                </c:pt>
                <c:pt idx="80">
                  <c:v>6.9176076722617256E-3</c:v>
                </c:pt>
                <c:pt idx="81">
                  <c:v>5.8101912308989503E-3</c:v>
                </c:pt>
                <c:pt idx="82">
                  <c:v>6.9370097682166865E-3</c:v>
                </c:pt>
                <c:pt idx="83">
                  <c:v>5.5910944798021134E-3</c:v>
                </c:pt>
                <c:pt idx="84">
                  <c:v>7.2764314332341472E-3</c:v>
                </c:pt>
                <c:pt idx="85">
                  <c:v>5.0360467077090803E-3</c:v>
                </c:pt>
                <c:pt idx="86">
                  <c:v>6.3749054252255745E-3</c:v>
                </c:pt>
                <c:pt idx="87">
                  <c:v>5.4070435588396033E-3</c:v>
                </c:pt>
                <c:pt idx="88">
                  <c:v>7.4912138763743794E-3</c:v>
                </c:pt>
                <c:pt idx="89">
                  <c:v>7.6971902843519869E-3</c:v>
                </c:pt>
                <c:pt idx="90">
                  <c:v>5.0049188726279765E-3</c:v>
                </c:pt>
                <c:pt idx="91">
                  <c:v>5.0948543705107516E-3</c:v>
                </c:pt>
                <c:pt idx="92">
                  <c:v>7.2082571679755745E-3</c:v>
                </c:pt>
                <c:pt idx="93">
                  <c:v>7.2612088523629952E-3</c:v>
                </c:pt>
                <c:pt idx="94">
                  <c:v>5.5939361658627479E-3</c:v>
                </c:pt>
                <c:pt idx="95">
                  <c:v>5.3131251293176071E-3</c:v>
                </c:pt>
                <c:pt idx="96">
                  <c:v>5.0324533083567482E-3</c:v>
                </c:pt>
                <c:pt idx="97">
                  <c:v>7.0667300131534161E-3</c:v>
                </c:pt>
                <c:pt idx="98">
                  <c:v>5.2736073953298804E-3</c:v>
                </c:pt>
                <c:pt idx="99">
                  <c:v>6.1572021949216384E-3</c:v>
                </c:pt>
                <c:pt idx="100">
                  <c:v>5.8134832042138537E-3</c:v>
                </c:pt>
                <c:pt idx="101">
                  <c:v>5.0824647307084365E-3</c:v>
                </c:pt>
                <c:pt idx="102">
                  <c:v>7.1751049223844569E-3</c:v>
                </c:pt>
                <c:pt idx="103">
                  <c:v>5.6910035246336473E-3</c:v>
                </c:pt>
                <c:pt idx="104">
                  <c:v>7.2946395274284277E-3</c:v>
                </c:pt>
                <c:pt idx="105">
                  <c:v>7.3234890603731499E-3</c:v>
                </c:pt>
                <c:pt idx="106">
                  <c:v>5.1757395278171038E-3</c:v>
                </c:pt>
                <c:pt idx="107">
                  <c:v>6.3124914951043993E-3</c:v>
                </c:pt>
                <c:pt idx="108">
                  <c:v>7.3601509689858319E-3</c:v>
                </c:pt>
                <c:pt idx="109">
                  <c:v>7.0078287718188864E-3</c:v>
                </c:pt>
                <c:pt idx="110">
                  <c:v>7.0632818906042885E-3</c:v>
                </c:pt>
                <c:pt idx="111">
                  <c:v>7.5756365758137406E-3</c:v>
                </c:pt>
                <c:pt idx="112">
                  <c:v>5.2040179238846086E-3</c:v>
                </c:pt>
                <c:pt idx="113">
                  <c:v>5.9961773091287505E-3</c:v>
                </c:pt>
                <c:pt idx="114">
                  <c:v>5.1722716414104699E-3</c:v>
                </c:pt>
                <c:pt idx="115">
                  <c:v>6.3360306549550879E-3</c:v>
                </c:pt>
                <c:pt idx="116">
                  <c:v>7.6659691604822567E-3</c:v>
                </c:pt>
                <c:pt idx="117">
                  <c:v>5.9524892515622103E-3</c:v>
                </c:pt>
                <c:pt idx="118">
                  <c:v>5.688826229960163E-3</c:v>
                </c:pt>
                <c:pt idx="119">
                  <c:v>7.6864006594371866E-3</c:v>
                </c:pt>
                <c:pt idx="120">
                  <c:v>7.4217939733281181E-3</c:v>
                </c:pt>
                <c:pt idx="121">
                  <c:v>7.2412152082885163E-3</c:v>
                </c:pt>
                <c:pt idx="122">
                  <c:v>7.1309219083965283E-3</c:v>
                </c:pt>
                <c:pt idx="123">
                  <c:v>5.9387283517412705E-3</c:v>
                </c:pt>
                <c:pt idx="124">
                  <c:v>5.8544420554255405E-3</c:v>
                </c:pt>
                <c:pt idx="125">
                  <c:v>6.7696031788316707E-3</c:v>
                </c:pt>
                <c:pt idx="126">
                  <c:v>5.9977847891843281E-3</c:v>
                </c:pt>
                <c:pt idx="127">
                  <c:v>7.4869794940117355E-3</c:v>
                </c:pt>
                <c:pt idx="128">
                  <c:v>7.1694588473624303E-3</c:v>
                </c:pt>
                <c:pt idx="129">
                  <c:v>7.4549115810237853E-3</c:v>
                </c:pt>
                <c:pt idx="130">
                  <c:v>6.8144581590038403E-3</c:v>
                </c:pt>
                <c:pt idx="131">
                  <c:v>7.6568283942519107E-3</c:v>
                </c:pt>
                <c:pt idx="132">
                  <c:v>5.5959216852428583E-3</c:v>
                </c:pt>
                <c:pt idx="133">
                  <c:v>6.9119423260742266E-3</c:v>
                </c:pt>
                <c:pt idx="134">
                  <c:v>6.69109118831501E-3</c:v>
                </c:pt>
                <c:pt idx="135">
                  <c:v>5.3782649136804445E-3</c:v>
                </c:pt>
                <c:pt idx="136">
                  <c:v>5.5062542781326405E-3</c:v>
                </c:pt>
                <c:pt idx="137">
                  <c:v>5.0104773366625392E-3</c:v>
                </c:pt>
                <c:pt idx="138">
                  <c:v>6.9878218391968058E-3</c:v>
                </c:pt>
                <c:pt idx="139">
                  <c:v>5.5238922957066006E-3</c:v>
                </c:pt>
                <c:pt idx="140">
                  <c:v>5.8758982170372563E-3</c:v>
                </c:pt>
                <c:pt idx="141">
                  <c:v>5.2730533697923042E-3</c:v>
                </c:pt>
                <c:pt idx="142">
                  <c:v>5.1440367291928982E-3</c:v>
                </c:pt>
                <c:pt idx="143">
                  <c:v>5.6797722581277479E-3</c:v>
                </c:pt>
                <c:pt idx="144">
                  <c:v>5.2472087883159825E-3</c:v>
                </c:pt>
                <c:pt idx="145">
                  <c:v>5.1476713102692351E-3</c:v>
                </c:pt>
                <c:pt idx="146">
                  <c:v>6.6620872728011104E-3</c:v>
                </c:pt>
                <c:pt idx="147">
                  <c:v>6.751076510894633E-3</c:v>
                </c:pt>
                <c:pt idx="148">
                  <c:v>7.6576638700859316E-3</c:v>
                </c:pt>
                <c:pt idx="149">
                  <c:v>6.5067415709022733E-3</c:v>
                </c:pt>
                <c:pt idx="150">
                  <c:v>6.8927743838264497E-3</c:v>
                </c:pt>
                <c:pt idx="151">
                  <c:v>6.7533267227493296E-3</c:v>
                </c:pt>
                <c:pt idx="152">
                  <c:v>5.3151976499165596E-3</c:v>
                </c:pt>
                <c:pt idx="153">
                  <c:v>5.720732955682822E-3</c:v>
                </c:pt>
                <c:pt idx="154">
                  <c:v>6.1410698713771725E-3</c:v>
                </c:pt>
                <c:pt idx="155">
                  <c:v>6.5993480672291941E-3</c:v>
                </c:pt>
                <c:pt idx="156">
                  <c:v>6.3192377295265426E-3</c:v>
                </c:pt>
                <c:pt idx="157">
                  <c:v>4.9707450778432895E-3</c:v>
                </c:pt>
                <c:pt idx="158">
                  <c:v>5.8526244002734609E-3</c:v>
                </c:pt>
                <c:pt idx="159">
                  <c:v>7.6158725803677982E-3</c:v>
                </c:pt>
                <c:pt idx="160">
                  <c:v>6.2172936513882199E-3</c:v>
                </c:pt>
                <c:pt idx="161">
                  <c:v>6.4429556898907983E-3</c:v>
                </c:pt>
                <c:pt idx="162">
                  <c:v>5.3677718339344782E-3</c:v>
                </c:pt>
                <c:pt idx="163">
                  <c:v>4.9981235051967735E-3</c:v>
                </c:pt>
                <c:pt idx="164">
                  <c:v>6.9284059136619719E-3</c:v>
                </c:pt>
                <c:pt idx="165">
                  <c:v>5.8291138171175736E-3</c:v>
                </c:pt>
                <c:pt idx="166">
                  <c:v>6.2334201839061663E-3</c:v>
                </c:pt>
                <c:pt idx="167">
                  <c:v>7.0227952706462642E-3</c:v>
                </c:pt>
                <c:pt idx="168">
                  <c:v>5.4052103194794747E-3</c:v>
                </c:pt>
                <c:pt idx="169">
                  <c:v>7.5952223920602267E-3</c:v>
                </c:pt>
                <c:pt idx="170">
                  <c:v>5.5370905710802349E-3</c:v>
                </c:pt>
                <c:pt idx="171">
                  <c:v>5.437317006732759E-3</c:v>
                </c:pt>
                <c:pt idx="172">
                  <c:v>7.2114347143024515E-3</c:v>
                </c:pt>
                <c:pt idx="173">
                  <c:v>5.0151925526400526E-3</c:v>
                </c:pt>
                <c:pt idx="174">
                  <c:v>6.8827410777503846E-3</c:v>
                </c:pt>
                <c:pt idx="175">
                  <c:v>5.8570180869310625E-3</c:v>
                </c:pt>
                <c:pt idx="176">
                  <c:v>5.356492302418539E-3</c:v>
                </c:pt>
                <c:pt idx="177">
                  <c:v>5.8093646628430869E-3</c:v>
                </c:pt>
                <c:pt idx="178">
                  <c:v>7.1905715210791614E-3</c:v>
                </c:pt>
                <c:pt idx="179">
                  <c:v>7.4861959173063847E-3</c:v>
                </c:pt>
                <c:pt idx="180">
                  <c:v>6.258233812309319E-3</c:v>
                </c:pt>
                <c:pt idx="181">
                  <c:v>5.1939899358893812E-3</c:v>
                </c:pt>
                <c:pt idx="182">
                  <c:v>7.6523053715698546E-3</c:v>
                </c:pt>
                <c:pt idx="183">
                  <c:v>7.1954912200497372E-3</c:v>
                </c:pt>
                <c:pt idx="184">
                  <c:v>7.2452248352059892E-3</c:v>
                </c:pt>
                <c:pt idx="185">
                  <c:v>6.982908174793993E-3</c:v>
                </c:pt>
                <c:pt idx="186">
                  <c:v>6.0953874896251554E-3</c:v>
                </c:pt>
                <c:pt idx="187">
                  <c:v>6.5747766355126191E-3</c:v>
                </c:pt>
                <c:pt idx="188">
                  <c:v>5.7543823669170945E-3</c:v>
                </c:pt>
                <c:pt idx="189">
                  <c:v>6.6032477554458444E-3</c:v>
                </c:pt>
                <c:pt idx="190">
                  <c:v>5.6318330088490579E-3</c:v>
                </c:pt>
                <c:pt idx="191">
                  <c:v>7.6014012133128655E-3</c:v>
                </c:pt>
                <c:pt idx="192">
                  <c:v>6.7183243299152682E-3</c:v>
                </c:pt>
                <c:pt idx="193">
                  <c:v>5.9850732163336667E-3</c:v>
                </c:pt>
                <c:pt idx="194">
                  <c:v>6.3308443639823533E-3</c:v>
                </c:pt>
                <c:pt idx="195">
                  <c:v>6.7645177838282777E-3</c:v>
                </c:pt>
                <c:pt idx="196">
                  <c:v>5.4409787214621894E-3</c:v>
                </c:pt>
                <c:pt idx="197">
                  <c:v>7.0937953187302522E-3</c:v>
                </c:pt>
                <c:pt idx="198">
                  <c:v>5.9408029746602477E-3</c:v>
                </c:pt>
                <c:pt idx="199">
                  <c:v>5.3789780482074064E-3</c:v>
                </c:pt>
                <c:pt idx="200">
                  <c:v>6.5389065152170545E-3</c:v>
                </c:pt>
                <c:pt idx="201">
                  <c:v>6.8789220890151243E-3</c:v>
                </c:pt>
                <c:pt idx="202">
                  <c:v>6.1243450937060609E-3</c:v>
                </c:pt>
                <c:pt idx="203">
                  <c:v>5.0640883403501999E-3</c:v>
                </c:pt>
                <c:pt idx="204">
                  <c:v>7.6025895652592447E-3</c:v>
                </c:pt>
                <c:pt idx="205">
                  <c:v>6.4241159050200322E-3</c:v>
                </c:pt>
                <c:pt idx="206">
                  <c:v>6.2675961790026671E-3</c:v>
                </c:pt>
                <c:pt idx="207">
                  <c:v>7.3429408793488637E-3</c:v>
                </c:pt>
                <c:pt idx="208">
                  <c:v>5.52611280134433E-3</c:v>
                </c:pt>
                <c:pt idx="209">
                  <c:v>7.1610798476388635E-3</c:v>
                </c:pt>
                <c:pt idx="210">
                  <c:v>5.4086215372438221E-3</c:v>
                </c:pt>
                <c:pt idx="211">
                  <c:v>6.3708900304300826E-3</c:v>
                </c:pt>
                <c:pt idx="212">
                  <c:v>5.1933257902758868E-3</c:v>
                </c:pt>
                <c:pt idx="213">
                  <c:v>7.5453833119452978E-3</c:v>
                </c:pt>
                <c:pt idx="214">
                  <c:v>5.7573432442253655E-3</c:v>
                </c:pt>
                <c:pt idx="215">
                  <c:v>7.6256224432771844E-3</c:v>
                </c:pt>
                <c:pt idx="216">
                  <c:v>7.3006508350236757E-3</c:v>
                </c:pt>
                <c:pt idx="217">
                  <c:v>7.5240321962565119E-3</c:v>
                </c:pt>
                <c:pt idx="218">
                  <c:v>5.5327689591794958E-3</c:v>
                </c:pt>
                <c:pt idx="219">
                  <c:v>5.0495486438254028E-3</c:v>
                </c:pt>
                <c:pt idx="220">
                  <c:v>5.8768499461352292E-3</c:v>
                </c:pt>
                <c:pt idx="221">
                  <c:v>6.1668602443904364E-3</c:v>
                </c:pt>
                <c:pt idx="222">
                  <c:v>6.0827670477690667E-3</c:v>
                </c:pt>
                <c:pt idx="223">
                  <c:v>5.1013173701047699E-3</c:v>
                </c:pt>
                <c:pt idx="224">
                  <c:v>5.1940416181024286E-3</c:v>
                </c:pt>
                <c:pt idx="225">
                  <c:v>6.9150038545899919E-3</c:v>
                </c:pt>
                <c:pt idx="226">
                  <c:v>7.0626111933482392E-3</c:v>
                </c:pt>
                <c:pt idx="227">
                  <c:v>6.9465719270763709E-3</c:v>
                </c:pt>
                <c:pt idx="228">
                  <c:v>6.0432222447593291E-3</c:v>
                </c:pt>
                <c:pt idx="229">
                  <c:v>6.7343837420573011E-3</c:v>
                </c:pt>
                <c:pt idx="230">
                  <c:v>5.8061221470586529E-3</c:v>
                </c:pt>
                <c:pt idx="231">
                  <c:v>5.5073657272069702E-3</c:v>
                </c:pt>
                <c:pt idx="232">
                  <c:v>5.1486841375626077E-3</c:v>
                </c:pt>
                <c:pt idx="233">
                  <c:v>5.5334935490570988E-3</c:v>
                </c:pt>
                <c:pt idx="234">
                  <c:v>6.1564786184820849E-3</c:v>
                </c:pt>
                <c:pt idx="235">
                  <c:v>5.7464774076551066E-3</c:v>
                </c:pt>
                <c:pt idx="236">
                  <c:v>7.4999513960879128E-3</c:v>
                </c:pt>
                <c:pt idx="237">
                  <c:v>6.8767435542160995E-3</c:v>
                </c:pt>
                <c:pt idx="238">
                  <c:v>5.5463800709082524E-3</c:v>
                </c:pt>
                <c:pt idx="239">
                  <c:v>7.3655503139557557E-3</c:v>
                </c:pt>
                <c:pt idx="240">
                  <c:v>5.3461227357693023E-3</c:v>
                </c:pt>
                <c:pt idx="241">
                  <c:v>6.110115081430563E-3</c:v>
                </c:pt>
                <c:pt idx="242">
                  <c:v>6.4340649273119293E-3</c:v>
                </c:pt>
                <c:pt idx="243">
                  <c:v>7.598760696625584E-3</c:v>
                </c:pt>
                <c:pt idx="244">
                  <c:v>6.973894224323136E-3</c:v>
                </c:pt>
                <c:pt idx="245">
                  <c:v>6.7357379313172936E-3</c:v>
                </c:pt>
                <c:pt idx="246">
                  <c:v>5.6085153802697477E-3</c:v>
                </c:pt>
                <c:pt idx="247">
                  <c:v>7.671746407595657E-3</c:v>
                </c:pt>
                <c:pt idx="248">
                  <c:v>5.0140934585517641E-3</c:v>
                </c:pt>
                <c:pt idx="249">
                  <c:v>6.2522030158206586E-3</c:v>
                </c:pt>
                <c:pt idx="250">
                  <c:v>5.6581305033657058E-3</c:v>
                </c:pt>
                <c:pt idx="251">
                  <c:v>5.3798321728534791E-3</c:v>
                </c:pt>
                <c:pt idx="252">
                  <c:v>5.9025069909030975E-3</c:v>
                </c:pt>
                <c:pt idx="253">
                  <c:v>6.597830699671548E-3</c:v>
                </c:pt>
                <c:pt idx="254">
                  <c:v>4.9503761869486209E-3</c:v>
                </c:pt>
                <c:pt idx="255">
                  <c:v>6.5110886302769157E-3</c:v>
                </c:pt>
                <c:pt idx="256">
                  <c:v>5.4128537298946027E-3</c:v>
                </c:pt>
                <c:pt idx="257">
                  <c:v>7.3190244040430043E-3</c:v>
                </c:pt>
                <c:pt idx="258">
                  <c:v>6.2586515634351393E-3</c:v>
                </c:pt>
                <c:pt idx="259">
                  <c:v>6.9361802589473142E-3</c:v>
                </c:pt>
                <c:pt idx="260">
                  <c:v>6.2599962321293482E-3</c:v>
                </c:pt>
                <c:pt idx="261">
                  <c:v>5.5336065027587747E-3</c:v>
                </c:pt>
                <c:pt idx="262">
                  <c:v>5.4024311643403817E-3</c:v>
                </c:pt>
                <c:pt idx="263">
                  <c:v>6.7347833655486159E-3</c:v>
                </c:pt>
                <c:pt idx="264">
                  <c:v>7.1059579762382278E-3</c:v>
                </c:pt>
                <c:pt idx="265">
                  <c:v>7.2999413445125564E-3</c:v>
                </c:pt>
                <c:pt idx="266">
                  <c:v>6.3645957879765978E-3</c:v>
                </c:pt>
                <c:pt idx="267">
                  <c:v>5.9128456566929152E-3</c:v>
                </c:pt>
                <c:pt idx="268">
                  <c:v>5.6481960433506142E-3</c:v>
                </c:pt>
                <c:pt idx="269">
                  <c:v>5.5716432338358737E-3</c:v>
                </c:pt>
                <c:pt idx="270">
                  <c:v>6.4242457268713898E-3</c:v>
                </c:pt>
                <c:pt idx="271">
                  <c:v>6.9330346153584944E-3</c:v>
                </c:pt>
                <c:pt idx="272">
                  <c:v>6.253072187933615E-3</c:v>
                </c:pt>
                <c:pt idx="273">
                  <c:v>5.3075880532423899E-3</c:v>
                </c:pt>
                <c:pt idx="274">
                  <c:v>7.359332772846677E-3</c:v>
                </c:pt>
                <c:pt idx="275">
                  <c:v>5.9883033736096263E-3</c:v>
                </c:pt>
                <c:pt idx="276">
                  <c:v>7.046635931709593E-3</c:v>
                </c:pt>
                <c:pt idx="277">
                  <c:v>6.5042839561539542E-3</c:v>
                </c:pt>
                <c:pt idx="278">
                  <c:v>7.2756779751933804E-3</c:v>
                </c:pt>
                <c:pt idx="279">
                  <c:v>7.1643378034328365E-3</c:v>
                </c:pt>
                <c:pt idx="280">
                  <c:v>6.9975766759458611E-3</c:v>
                </c:pt>
                <c:pt idx="281">
                  <c:v>7.6421351445969191E-3</c:v>
                </c:pt>
                <c:pt idx="282">
                  <c:v>5.5861285010320467E-3</c:v>
                </c:pt>
                <c:pt idx="283">
                  <c:v>5.049525671818338E-3</c:v>
                </c:pt>
                <c:pt idx="284">
                  <c:v>6.5323398938783757E-3</c:v>
                </c:pt>
                <c:pt idx="285">
                  <c:v>7.4043946040291877E-3</c:v>
                </c:pt>
                <c:pt idx="286">
                  <c:v>6.6618243293421597E-3</c:v>
                </c:pt>
                <c:pt idx="287">
                  <c:v>5.3922115379434581E-3</c:v>
                </c:pt>
                <c:pt idx="288">
                  <c:v>6.2846658540600848E-3</c:v>
                </c:pt>
                <c:pt idx="289">
                  <c:v>6.1174420719141299E-3</c:v>
                </c:pt>
                <c:pt idx="290">
                  <c:v>6.9402081777041871E-3</c:v>
                </c:pt>
                <c:pt idx="291">
                  <c:v>7.1627365994540631E-3</c:v>
                </c:pt>
                <c:pt idx="292">
                  <c:v>7.0069726000779389E-3</c:v>
                </c:pt>
                <c:pt idx="293">
                  <c:v>6.6690247262471032E-3</c:v>
                </c:pt>
                <c:pt idx="294">
                  <c:v>6.8971894419448659E-3</c:v>
                </c:pt>
                <c:pt idx="295">
                  <c:v>6.3674034109175437E-3</c:v>
                </c:pt>
                <c:pt idx="296">
                  <c:v>5.8644148880941781E-3</c:v>
                </c:pt>
                <c:pt idx="297">
                  <c:v>5.3374258202694702E-3</c:v>
                </c:pt>
                <c:pt idx="298">
                  <c:v>7.421442310286473E-3</c:v>
                </c:pt>
                <c:pt idx="299">
                  <c:v>7.378146328403147E-3</c:v>
                </c:pt>
                <c:pt idx="300">
                  <c:v>6.9190489826465263E-3</c:v>
                </c:pt>
                <c:pt idx="301">
                  <c:v>6.2665996638987826E-3</c:v>
                </c:pt>
                <c:pt idx="302">
                  <c:v>7.6780716030009563E-3</c:v>
                </c:pt>
                <c:pt idx="303">
                  <c:v>5.6384330572863605E-3</c:v>
                </c:pt>
                <c:pt idx="304">
                  <c:v>7.6328538290843058E-3</c:v>
                </c:pt>
                <c:pt idx="305">
                  <c:v>7.2533097246782656E-3</c:v>
                </c:pt>
                <c:pt idx="306">
                  <c:v>6.2521625493489469E-3</c:v>
                </c:pt>
                <c:pt idx="307">
                  <c:v>6.1265312175757388E-3</c:v>
                </c:pt>
                <c:pt idx="308">
                  <c:v>5.0933955219474693E-3</c:v>
                </c:pt>
                <c:pt idx="309">
                  <c:v>5.6764153547386644E-3</c:v>
                </c:pt>
                <c:pt idx="310">
                  <c:v>7.6860309891919436E-3</c:v>
                </c:pt>
                <c:pt idx="311">
                  <c:v>6.8299725110179954E-3</c:v>
                </c:pt>
                <c:pt idx="312">
                  <c:v>6.9118732010129266E-3</c:v>
                </c:pt>
                <c:pt idx="313">
                  <c:v>6.570439247333467E-3</c:v>
                </c:pt>
                <c:pt idx="314">
                  <c:v>6.3330552729217709E-3</c:v>
                </c:pt>
                <c:pt idx="315">
                  <c:v>7.2394249949832715E-3</c:v>
                </c:pt>
                <c:pt idx="316">
                  <c:v>5.817107087927053E-3</c:v>
                </c:pt>
                <c:pt idx="317">
                  <c:v>6.3917524414149694E-3</c:v>
                </c:pt>
                <c:pt idx="318">
                  <c:v>6.2718324481299444E-3</c:v>
                </c:pt>
                <c:pt idx="319">
                  <c:v>7.1368198453920766E-3</c:v>
                </c:pt>
                <c:pt idx="320">
                  <c:v>6.7879021387007394E-3</c:v>
                </c:pt>
                <c:pt idx="321">
                  <c:v>5.5420523402877776E-3</c:v>
                </c:pt>
                <c:pt idx="322">
                  <c:v>5.107068600487802E-3</c:v>
                </c:pt>
                <c:pt idx="323">
                  <c:v>6.314150722254705E-3</c:v>
                </c:pt>
                <c:pt idx="324">
                  <c:v>5.7806490151663574E-3</c:v>
                </c:pt>
                <c:pt idx="325">
                  <c:v>5.3353537588758625E-3</c:v>
                </c:pt>
                <c:pt idx="326">
                  <c:v>6.5542078452182576E-3</c:v>
                </c:pt>
                <c:pt idx="327">
                  <c:v>5.8377266186480916E-3</c:v>
                </c:pt>
                <c:pt idx="328">
                  <c:v>5.9412870062440521E-3</c:v>
                </c:pt>
                <c:pt idx="329">
                  <c:v>6.9418716286905229E-3</c:v>
                </c:pt>
                <c:pt idx="330">
                  <c:v>6.6417379186496945E-3</c:v>
                </c:pt>
                <c:pt idx="331">
                  <c:v>5.9943229635547202E-3</c:v>
                </c:pt>
                <c:pt idx="332">
                  <c:v>7.2408255578554417E-3</c:v>
                </c:pt>
                <c:pt idx="333">
                  <c:v>7.0370328052425614E-3</c:v>
                </c:pt>
                <c:pt idx="334">
                  <c:v>5.2524714921394211E-3</c:v>
                </c:pt>
                <c:pt idx="335">
                  <c:v>7.2503191830512684E-3</c:v>
                </c:pt>
                <c:pt idx="336">
                  <c:v>5.0452956263878817E-3</c:v>
                </c:pt>
                <c:pt idx="337">
                  <c:v>6.8425983563551998E-3</c:v>
                </c:pt>
                <c:pt idx="338">
                  <c:v>6.089455132875495E-3</c:v>
                </c:pt>
                <c:pt idx="339">
                  <c:v>7.2939353775923546E-3</c:v>
                </c:pt>
                <c:pt idx="340">
                  <c:v>7.4698262114740871E-3</c:v>
                </c:pt>
                <c:pt idx="341">
                  <c:v>5.4002157339270978E-3</c:v>
                </c:pt>
                <c:pt idx="342">
                  <c:v>5.2301280869543523E-3</c:v>
                </c:pt>
                <c:pt idx="343">
                  <c:v>4.9728349068394401E-3</c:v>
                </c:pt>
                <c:pt idx="344">
                  <c:v>5.23876632274129E-3</c:v>
                </c:pt>
                <c:pt idx="345">
                  <c:v>6.2080867460908512E-3</c:v>
                </c:pt>
                <c:pt idx="346">
                  <c:v>5.6272708032229536E-3</c:v>
                </c:pt>
                <c:pt idx="347">
                  <c:v>6.619526050522101E-3</c:v>
                </c:pt>
                <c:pt idx="348">
                  <c:v>6.8013600242957453E-3</c:v>
                </c:pt>
                <c:pt idx="349">
                  <c:v>6.9688212065476341E-3</c:v>
                </c:pt>
                <c:pt idx="350">
                  <c:v>6.3094779206676315E-3</c:v>
                </c:pt>
                <c:pt idx="351">
                  <c:v>5.7600341350504732E-3</c:v>
                </c:pt>
                <c:pt idx="352">
                  <c:v>6.7962645057599762E-3</c:v>
                </c:pt>
                <c:pt idx="353">
                  <c:v>7.5410885968273944E-3</c:v>
                </c:pt>
                <c:pt idx="354">
                  <c:v>5.4745103306920893E-3</c:v>
                </c:pt>
                <c:pt idx="355">
                  <c:v>7.0782765838106141E-3</c:v>
                </c:pt>
                <c:pt idx="356">
                  <c:v>5.3808659045669633E-3</c:v>
                </c:pt>
                <c:pt idx="357">
                  <c:v>7.5116056438195335E-3</c:v>
                </c:pt>
                <c:pt idx="358">
                  <c:v>5.2264203450347784E-3</c:v>
                </c:pt>
                <c:pt idx="359">
                  <c:v>7.512279258457581E-3</c:v>
                </c:pt>
                <c:pt idx="360">
                  <c:v>6.694064009664602E-3</c:v>
                </c:pt>
                <c:pt idx="361">
                  <c:v>5.7477758986107484E-3</c:v>
                </c:pt>
                <c:pt idx="362">
                  <c:v>7.4489333051220687E-3</c:v>
                </c:pt>
                <c:pt idx="363">
                  <c:v>7.2609646860460272E-3</c:v>
                </c:pt>
                <c:pt idx="364">
                  <c:v>6.9794749837576069E-3</c:v>
                </c:pt>
                <c:pt idx="365">
                  <c:v>5.7644797228802985E-3</c:v>
                </c:pt>
                <c:pt idx="366">
                  <c:v>5.2081553537044623E-3</c:v>
                </c:pt>
                <c:pt idx="367">
                  <c:v>5.8944264304944243E-3</c:v>
                </c:pt>
                <c:pt idx="368">
                  <c:v>5.5602819518790168E-3</c:v>
                </c:pt>
                <c:pt idx="369">
                  <c:v>5.603702181832741E-3</c:v>
                </c:pt>
                <c:pt idx="370">
                  <c:v>6.3904865687983616E-3</c:v>
                </c:pt>
                <c:pt idx="371">
                  <c:v>5.9726906587580873E-3</c:v>
                </c:pt>
                <c:pt idx="372">
                  <c:v>6.6000025826751484E-3</c:v>
                </c:pt>
                <c:pt idx="373">
                  <c:v>7.1373301064727003E-3</c:v>
                </c:pt>
                <c:pt idx="374">
                  <c:v>5.9865485819921814E-3</c:v>
                </c:pt>
                <c:pt idx="375">
                  <c:v>5.344373837695808E-3</c:v>
                </c:pt>
                <c:pt idx="376">
                  <c:v>7.322460288088934E-3</c:v>
                </c:pt>
                <c:pt idx="377">
                  <c:v>5.0001139506283621E-3</c:v>
                </c:pt>
                <c:pt idx="378">
                  <c:v>6.738056405099363E-3</c:v>
                </c:pt>
                <c:pt idx="379">
                  <c:v>7.4922331816017415E-3</c:v>
                </c:pt>
                <c:pt idx="380">
                  <c:v>6.9771218333183997E-3</c:v>
                </c:pt>
                <c:pt idx="381">
                  <c:v>6.6390621960880133E-3</c:v>
                </c:pt>
                <c:pt idx="382">
                  <c:v>5.4109316957855983E-3</c:v>
                </c:pt>
                <c:pt idx="383">
                  <c:v>5.7031264168609314E-3</c:v>
                </c:pt>
                <c:pt idx="384">
                  <c:v>5.9617978344657227E-3</c:v>
                </c:pt>
                <c:pt idx="385">
                  <c:v>5.4516273659265891E-3</c:v>
                </c:pt>
                <c:pt idx="386">
                  <c:v>7.2645620093267811E-3</c:v>
                </c:pt>
                <c:pt idx="387">
                  <c:v>5.0482974497486448E-3</c:v>
                </c:pt>
                <c:pt idx="388">
                  <c:v>6.677103452531221E-3</c:v>
                </c:pt>
                <c:pt idx="389">
                  <c:v>5.7735691237619886E-3</c:v>
                </c:pt>
                <c:pt idx="390">
                  <c:v>5.6978253476962452E-3</c:v>
                </c:pt>
                <c:pt idx="391">
                  <c:v>5.477507944353581E-3</c:v>
                </c:pt>
                <c:pt idx="392">
                  <c:v>6.2935513806072554E-3</c:v>
                </c:pt>
                <c:pt idx="393">
                  <c:v>5.8378469569631674E-3</c:v>
                </c:pt>
                <c:pt idx="394">
                  <c:v>7.0558035098728551E-3</c:v>
                </c:pt>
                <c:pt idx="395">
                  <c:v>5.2568158356415765E-3</c:v>
                </c:pt>
                <c:pt idx="396">
                  <c:v>6.1545735403912179E-3</c:v>
                </c:pt>
                <c:pt idx="397">
                  <c:v>7.1973743295406329E-3</c:v>
                </c:pt>
                <c:pt idx="398">
                  <c:v>7.393973037302385E-3</c:v>
                </c:pt>
                <c:pt idx="399">
                  <c:v>6.9646038338483703E-3</c:v>
                </c:pt>
                <c:pt idx="400">
                  <c:v>6.3521430682508886E-3</c:v>
                </c:pt>
                <c:pt idx="401">
                  <c:v>5.926090770166037E-3</c:v>
                </c:pt>
                <c:pt idx="402">
                  <c:v>7.6080044816013177E-3</c:v>
                </c:pt>
                <c:pt idx="403">
                  <c:v>6.8323840947556655E-3</c:v>
                </c:pt>
                <c:pt idx="404">
                  <c:v>6.9639078358887194E-3</c:v>
                </c:pt>
                <c:pt idx="405">
                  <c:v>7.6125161805420238E-3</c:v>
                </c:pt>
                <c:pt idx="406">
                  <c:v>5.8314012438062252E-3</c:v>
                </c:pt>
                <c:pt idx="407">
                  <c:v>7.0952958153510408E-3</c:v>
                </c:pt>
                <c:pt idx="408">
                  <c:v>5.9157041117858661E-3</c:v>
                </c:pt>
                <c:pt idx="409">
                  <c:v>5.4198045048275507E-3</c:v>
                </c:pt>
                <c:pt idx="410">
                  <c:v>7.2560175538514283E-3</c:v>
                </c:pt>
                <c:pt idx="411">
                  <c:v>5.1217385220980564E-3</c:v>
                </c:pt>
                <c:pt idx="412">
                  <c:v>5.9562302450338698E-3</c:v>
                </c:pt>
                <c:pt idx="413">
                  <c:v>5.1678181618638758E-3</c:v>
                </c:pt>
                <c:pt idx="414">
                  <c:v>6.5866495862279273E-3</c:v>
                </c:pt>
                <c:pt idx="415">
                  <c:v>5.5582253724883231E-3</c:v>
                </c:pt>
                <c:pt idx="416">
                  <c:v>5.561687918320843E-3</c:v>
                </c:pt>
                <c:pt idx="417">
                  <c:v>7.28211492435543E-3</c:v>
                </c:pt>
                <c:pt idx="418">
                  <c:v>6.6143723877338982E-3</c:v>
                </c:pt>
                <c:pt idx="419">
                  <c:v>6.950214193510898E-3</c:v>
                </c:pt>
                <c:pt idx="420">
                  <c:v>6.0004304798571099E-3</c:v>
                </c:pt>
                <c:pt idx="421">
                  <c:v>7.0952138894760652E-3</c:v>
                </c:pt>
                <c:pt idx="422">
                  <c:v>5.3263017489161048E-3</c:v>
                </c:pt>
                <c:pt idx="423">
                  <c:v>5.0911799063567452E-3</c:v>
                </c:pt>
                <c:pt idx="424">
                  <c:v>6.7674193417780601E-3</c:v>
                </c:pt>
                <c:pt idx="425">
                  <c:v>5.4179112707617976E-3</c:v>
                </c:pt>
                <c:pt idx="426">
                  <c:v>7.6848486819214336E-3</c:v>
                </c:pt>
                <c:pt idx="427">
                  <c:v>5.0076365615320511E-3</c:v>
                </c:pt>
                <c:pt idx="428">
                  <c:v>7.6576909249769648E-3</c:v>
                </c:pt>
                <c:pt idx="429">
                  <c:v>5.9234653118880893E-3</c:v>
                </c:pt>
                <c:pt idx="430">
                  <c:v>7.0623209430166339E-3</c:v>
                </c:pt>
                <c:pt idx="431">
                  <c:v>6.6918366811801284E-3</c:v>
                </c:pt>
                <c:pt idx="432">
                  <c:v>5.5881672662684958E-3</c:v>
                </c:pt>
                <c:pt idx="433">
                  <c:v>5.2780782553396421E-3</c:v>
                </c:pt>
                <c:pt idx="434">
                  <c:v>4.9563669267021085E-3</c:v>
                </c:pt>
                <c:pt idx="435">
                  <c:v>5.1915493542937187E-3</c:v>
                </c:pt>
                <c:pt idx="436">
                  <c:v>7.2738742026752304E-3</c:v>
                </c:pt>
                <c:pt idx="437">
                  <c:v>5.3138010798578321E-3</c:v>
                </c:pt>
                <c:pt idx="438">
                  <c:v>5.947876921700835E-3</c:v>
                </c:pt>
                <c:pt idx="439">
                  <c:v>5.5936353519494587E-3</c:v>
                </c:pt>
                <c:pt idx="440">
                  <c:v>5.5669756296324053E-3</c:v>
                </c:pt>
                <c:pt idx="441">
                  <c:v>6.0171493130892987E-3</c:v>
                </c:pt>
                <c:pt idx="442">
                  <c:v>6.9275702031845951E-3</c:v>
                </c:pt>
                <c:pt idx="443">
                  <c:v>5.6150684369717842E-3</c:v>
                </c:pt>
                <c:pt idx="444">
                  <c:v>7.608607720182169E-3</c:v>
                </c:pt>
                <c:pt idx="445">
                  <c:v>5.1533292828615457E-3</c:v>
                </c:pt>
                <c:pt idx="446">
                  <c:v>7.2277536593068062E-3</c:v>
                </c:pt>
                <c:pt idx="447">
                  <c:v>5.9207093085979316E-3</c:v>
                </c:pt>
                <c:pt idx="448">
                  <c:v>6.3909660570174599E-3</c:v>
                </c:pt>
                <c:pt idx="449">
                  <c:v>5.9656118655717636E-3</c:v>
                </c:pt>
                <c:pt idx="450">
                  <c:v>6.4495309138904635E-3</c:v>
                </c:pt>
                <c:pt idx="451">
                  <c:v>7.3539495998218652E-3</c:v>
                </c:pt>
                <c:pt idx="452">
                  <c:v>7.1986607794874528E-3</c:v>
                </c:pt>
                <c:pt idx="453">
                  <c:v>7.259243777158181E-3</c:v>
                </c:pt>
                <c:pt idx="454">
                  <c:v>6.4004720347814077E-3</c:v>
                </c:pt>
                <c:pt idx="455">
                  <c:v>4.9671479850347039E-3</c:v>
                </c:pt>
                <c:pt idx="456">
                  <c:v>5.4229930825218826E-3</c:v>
                </c:pt>
                <c:pt idx="457">
                  <c:v>5.0285054197007229E-3</c:v>
                </c:pt>
                <c:pt idx="458">
                  <c:v>5.9079321519614168E-3</c:v>
                </c:pt>
                <c:pt idx="459">
                  <c:v>5.8159355534611757E-3</c:v>
                </c:pt>
                <c:pt idx="460">
                  <c:v>6.5755850106135006E-3</c:v>
                </c:pt>
                <c:pt idx="461">
                  <c:v>6.7370190832311879E-3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6790872"/>
        <c:axId val="806790480"/>
      </c:scatterChart>
      <c:valAx>
        <c:axId val="806790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 sz="1200"/>
                  <a:t>w Values</a:t>
                </a:r>
              </a:p>
              <a:p>
                <a:pPr>
                  <a:defRPr/>
                </a:pPr>
                <a:endParaRPr lang="en-IN" sz="1200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06790480"/>
        <c:crosses val="autoZero"/>
        <c:crossBetween val="midCat"/>
      </c:valAx>
      <c:valAx>
        <c:axId val="806790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IN" sz="1200"/>
                  <a:t>Returns, Standard Deviation</a:t>
                </a:r>
              </a:p>
              <a:p>
                <a:pPr>
                  <a:defRPr/>
                </a:pPr>
                <a:endParaRPr lang="en-IN" sz="1200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06790872"/>
        <c:crosses val="autoZero"/>
        <c:crossBetween val="midCat"/>
      </c:valAx>
      <c:spPr>
        <a:solidFill>
          <a:schemeClr val="bg2">
            <a:lumMod val="90000"/>
          </a:schemeClr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60000"/>
        <a:lumOff val="40000"/>
      </a:schemeClr>
    </a:solidFill>
    <a:scene3d>
      <a:camera prst="orthographicFront"/>
      <a:lightRig rig="flood" dir="t"/>
    </a:scene3d>
    <a:sp3d prstMaterial="metal">
      <a:bevelT prst="relaxedInset"/>
      <a:bevelB prst="relaxedInset"/>
    </a:sp3d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Monte Carlo Visualization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716559282277188"/>
          <c:y val="0.15505547802433306"/>
          <c:w val="0.74025488245415361"/>
          <c:h val="0.69774135312453378"/>
        </c:manualLayout>
      </c:layout>
      <c:lineChart>
        <c:grouping val="standard"/>
        <c:varyColors val="0"/>
        <c:ser>
          <c:idx val="0"/>
          <c:order val="0"/>
          <c:tx>
            <c:v>Exp Closing 1</c:v>
          </c:tx>
          <c:marker>
            <c:symbol val="none"/>
          </c:marker>
          <c:val>
            <c:numRef>
              <c:f>'Monte Carlo and VaR'!$J$3:$J$23</c:f>
              <c:numCache>
                <c:formatCode>0.00</c:formatCode>
                <c:ptCount val="21"/>
                <c:pt idx="0" formatCode="General">
                  <c:v>276.35000000000002</c:v>
                </c:pt>
                <c:pt idx="1">
                  <c:v>285.35000000000002</c:v>
                </c:pt>
                <c:pt idx="2">
                  <c:v>285.14999999999998</c:v>
                </c:pt>
                <c:pt idx="3">
                  <c:v>305.14999999999998</c:v>
                </c:pt>
                <c:pt idx="4">
                  <c:v>302.55</c:v>
                </c:pt>
                <c:pt idx="5">
                  <c:v>279.05</c:v>
                </c:pt>
                <c:pt idx="6">
                  <c:v>287.8</c:v>
                </c:pt>
                <c:pt idx="7">
                  <c:v>310.75</c:v>
                </c:pt>
                <c:pt idx="8">
                  <c:v>263.25</c:v>
                </c:pt>
                <c:pt idx="9">
                  <c:v>262.55</c:v>
                </c:pt>
                <c:pt idx="10">
                  <c:v>266</c:v>
                </c:pt>
                <c:pt idx="11">
                  <c:v>275.10000000000002</c:v>
                </c:pt>
                <c:pt idx="12">
                  <c:v>297.45</c:v>
                </c:pt>
                <c:pt idx="13">
                  <c:v>324.75</c:v>
                </c:pt>
                <c:pt idx="14">
                  <c:v>348.45</c:v>
                </c:pt>
                <c:pt idx="15">
                  <c:v>326</c:v>
                </c:pt>
                <c:pt idx="16">
                  <c:v>353.55</c:v>
                </c:pt>
                <c:pt idx="17">
                  <c:v>376.15</c:v>
                </c:pt>
                <c:pt idx="18">
                  <c:v>386.5</c:v>
                </c:pt>
                <c:pt idx="19">
                  <c:v>338.55</c:v>
                </c:pt>
                <c:pt idx="20">
                  <c:v>320.7</c:v>
                </c:pt>
              </c:numCache>
            </c:numRef>
          </c:val>
          <c:smooth val="0"/>
        </c:ser>
        <c:ser>
          <c:idx val="1"/>
          <c:order val="1"/>
          <c:tx>
            <c:v>Exp Closing2</c:v>
          </c:tx>
          <c:marker>
            <c:symbol val="none"/>
          </c:marker>
          <c:val>
            <c:numRef>
              <c:f>'Monte Carlo and VaR'!$K$3:$K$23</c:f>
              <c:numCache>
                <c:formatCode>0.00</c:formatCode>
                <c:ptCount val="21"/>
                <c:pt idx="0" formatCode="General">
                  <c:v>276.35000000000002</c:v>
                </c:pt>
                <c:pt idx="1">
                  <c:v>293.14999999999998</c:v>
                </c:pt>
                <c:pt idx="2">
                  <c:v>297.10000000000002</c:v>
                </c:pt>
                <c:pt idx="3">
                  <c:v>292</c:v>
                </c:pt>
                <c:pt idx="4">
                  <c:v>320.25</c:v>
                </c:pt>
                <c:pt idx="5">
                  <c:v>327.85</c:v>
                </c:pt>
                <c:pt idx="6">
                  <c:v>320.64999999999998</c:v>
                </c:pt>
                <c:pt idx="7">
                  <c:v>339</c:v>
                </c:pt>
                <c:pt idx="8">
                  <c:v>357.55</c:v>
                </c:pt>
                <c:pt idx="9">
                  <c:v>351.65</c:v>
                </c:pt>
                <c:pt idx="10">
                  <c:v>333.15</c:v>
                </c:pt>
                <c:pt idx="11">
                  <c:v>309.5</c:v>
                </c:pt>
                <c:pt idx="12">
                  <c:v>312.75</c:v>
                </c:pt>
                <c:pt idx="13">
                  <c:v>345.7</c:v>
                </c:pt>
                <c:pt idx="14">
                  <c:v>369.1</c:v>
                </c:pt>
                <c:pt idx="15">
                  <c:v>380.45</c:v>
                </c:pt>
                <c:pt idx="16">
                  <c:v>359.55</c:v>
                </c:pt>
                <c:pt idx="17">
                  <c:v>367.3</c:v>
                </c:pt>
                <c:pt idx="18">
                  <c:v>378.05</c:v>
                </c:pt>
                <c:pt idx="19">
                  <c:v>373.55</c:v>
                </c:pt>
                <c:pt idx="20">
                  <c:v>385.55</c:v>
                </c:pt>
              </c:numCache>
            </c:numRef>
          </c:val>
          <c:smooth val="0"/>
        </c:ser>
        <c:ser>
          <c:idx val="2"/>
          <c:order val="2"/>
          <c:tx>
            <c:v>Exp Closing 3</c:v>
          </c:tx>
          <c:marker>
            <c:symbol val="none"/>
          </c:marker>
          <c:val>
            <c:numRef>
              <c:f>'Monte Carlo and VaR'!$L$3:$L$23</c:f>
              <c:numCache>
                <c:formatCode>0.00</c:formatCode>
                <c:ptCount val="21"/>
                <c:pt idx="0" formatCode="General">
                  <c:v>276.35000000000002</c:v>
                </c:pt>
                <c:pt idx="1">
                  <c:v>277</c:v>
                </c:pt>
                <c:pt idx="2">
                  <c:v>290.8</c:v>
                </c:pt>
                <c:pt idx="3">
                  <c:v>278.89999999999998</c:v>
                </c:pt>
                <c:pt idx="4">
                  <c:v>252.85</c:v>
                </c:pt>
                <c:pt idx="5">
                  <c:v>244.65</c:v>
                </c:pt>
                <c:pt idx="6">
                  <c:v>231.15</c:v>
                </c:pt>
                <c:pt idx="7">
                  <c:v>192.95</c:v>
                </c:pt>
                <c:pt idx="8">
                  <c:v>188.2</c:v>
                </c:pt>
                <c:pt idx="9">
                  <c:v>173.6</c:v>
                </c:pt>
                <c:pt idx="10">
                  <c:v>157.35</c:v>
                </c:pt>
                <c:pt idx="11">
                  <c:v>152.85</c:v>
                </c:pt>
                <c:pt idx="12">
                  <c:v>145.44999999999999</c:v>
                </c:pt>
                <c:pt idx="13">
                  <c:v>163.65</c:v>
                </c:pt>
                <c:pt idx="14">
                  <c:v>170.7</c:v>
                </c:pt>
                <c:pt idx="15">
                  <c:v>174.85</c:v>
                </c:pt>
                <c:pt idx="16">
                  <c:v>158.9</c:v>
                </c:pt>
                <c:pt idx="17">
                  <c:v>179.15</c:v>
                </c:pt>
                <c:pt idx="18">
                  <c:v>164.65</c:v>
                </c:pt>
                <c:pt idx="19">
                  <c:v>154.65</c:v>
                </c:pt>
                <c:pt idx="20">
                  <c:v>147.4</c:v>
                </c:pt>
              </c:numCache>
            </c:numRef>
          </c:val>
          <c:smooth val="0"/>
        </c:ser>
        <c:ser>
          <c:idx val="3"/>
          <c:order val="3"/>
          <c:tx>
            <c:v>Exp Closing 4</c:v>
          </c:tx>
          <c:marker>
            <c:symbol val="none"/>
          </c:marker>
          <c:val>
            <c:numRef>
              <c:f>'Monte Carlo and VaR'!$M$3:$M$23</c:f>
              <c:numCache>
                <c:formatCode>0.00</c:formatCode>
                <c:ptCount val="21"/>
                <c:pt idx="0" formatCode="General">
                  <c:v>276.35000000000002</c:v>
                </c:pt>
                <c:pt idx="1">
                  <c:v>272.75</c:v>
                </c:pt>
                <c:pt idx="2">
                  <c:v>292.14999999999998</c:v>
                </c:pt>
                <c:pt idx="3">
                  <c:v>290.85000000000002</c:v>
                </c:pt>
                <c:pt idx="4">
                  <c:v>317.7</c:v>
                </c:pt>
                <c:pt idx="5">
                  <c:v>321.3</c:v>
                </c:pt>
                <c:pt idx="6">
                  <c:v>285.7</c:v>
                </c:pt>
                <c:pt idx="7">
                  <c:v>267.3</c:v>
                </c:pt>
                <c:pt idx="8">
                  <c:v>254.8</c:v>
                </c:pt>
                <c:pt idx="9">
                  <c:v>227.45</c:v>
                </c:pt>
                <c:pt idx="10">
                  <c:v>230.85</c:v>
                </c:pt>
                <c:pt idx="11">
                  <c:v>233.3</c:v>
                </c:pt>
                <c:pt idx="12">
                  <c:v>230.55</c:v>
                </c:pt>
                <c:pt idx="13">
                  <c:v>214.65</c:v>
                </c:pt>
                <c:pt idx="14">
                  <c:v>196.4</c:v>
                </c:pt>
                <c:pt idx="15">
                  <c:v>208</c:v>
                </c:pt>
                <c:pt idx="16">
                  <c:v>205.35</c:v>
                </c:pt>
                <c:pt idx="17">
                  <c:v>212.2</c:v>
                </c:pt>
                <c:pt idx="18">
                  <c:v>198.35</c:v>
                </c:pt>
                <c:pt idx="19">
                  <c:v>196.3</c:v>
                </c:pt>
                <c:pt idx="20">
                  <c:v>213.4</c:v>
                </c:pt>
              </c:numCache>
            </c:numRef>
          </c:val>
          <c:smooth val="0"/>
        </c:ser>
        <c:ser>
          <c:idx val="4"/>
          <c:order val="4"/>
          <c:tx>
            <c:v>Exp Closing 5</c:v>
          </c:tx>
          <c:marker>
            <c:symbol val="none"/>
          </c:marker>
          <c:val>
            <c:numRef>
              <c:f>'Monte Carlo and VaR'!$N$3:$N$23</c:f>
              <c:numCache>
                <c:formatCode>0.00</c:formatCode>
                <c:ptCount val="21"/>
                <c:pt idx="0" formatCode="General">
                  <c:v>276.35000000000002</c:v>
                </c:pt>
                <c:pt idx="1">
                  <c:v>240.65</c:v>
                </c:pt>
                <c:pt idx="2">
                  <c:v>235.75</c:v>
                </c:pt>
                <c:pt idx="3">
                  <c:v>229.9</c:v>
                </c:pt>
                <c:pt idx="4">
                  <c:v>221.7</c:v>
                </c:pt>
                <c:pt idx="5">
                  <c:v>216.7</c:v>
                </c:pt>
                <c:pt idx="6">
                  <c:v>213.9</c:v>
                </c:pt>
                <c:pt idx="7">
                  <c:v>205.35</c:v>
                </c:pt>
                <c:pt idx="8">
                  <c:v>179.65</c:v>
                </c:pt>
                <c:pt idx="9">
                  <c:v>196.45</c:v>
                </c:pt>
                <c:pt idx="10">
                  <c:v>190.9</c:v>
                </c:pt>
                <c:pt idx="11">
                  <c:v>173.4</c:v>
                </c:pt>
                <c:pt idx="12">
                  <c:v>181.6</c:v>
                </c:pt>
                <c:pt idx="13">
                  <c:v>172.55</c:v>
                </c:pt>
                <c:pt idx="14">
                  <c:v>163.6</c:v>
                </c:pt>
                <c:pt idx="15">
                  <c:v>160.5</c:v>
                </c:pt>
                <c:pt idx="16">
                  <c:v>155.69999999999999</c:v>
                </c:pt>
                <c:pt idx="17">
                  <c:v>162</c:v>
                </c:pt>
                <c:pt idx="18">
                  <c:v>155.75</c:v>
                </c:pt>
                <c:pt idx="19">
                  <c:v>150.30000000000001</c:v>
                </c:pt>
                <c:pt idx="20">
                  <c:v>163.69999999999999</c:v>
                </c:pt>
              </c:numCache>
            </c:numRef>
          </c:val>
          <c:smooth val="0"/>
        </c:ser>
        <c:ser>
          <c:idx val="5"/>
          <c:order val="5"/>
          <c:tx>
            <c:v>Exp Closing 6</c:v>
          </c:tx>
          <c:marker>
            <c:symbol val="none"/>
          </c:marker>
          <c:val>
            <c:numRef>
              <c:f>'Monte Carlo and VaR'!$O$3:$O$23</c:f>
              <c:numCache>
                <c:formatCode>0.00</c:formatCode>
                <c:ptCount val="21"/>
                <c:pt idx="0" formatCode="General">
                  <c:v>276.35000000000002</c:v>
                </c:pt>
                <c:pt idx="1">
                  <c:v>299.95</c:v>
                </c:pt>
                <c:pt idx="2">
                  <c:v>274.2</c:v>
                </c:pt>
                <c:pt idx="3">
                  <c:v>248.7</c:v>
                </c:pt>
                <c:pt idx="4">
                  <c:v>258.60000000000002</c:v>
                </c:pt>
                <c:pt idx="5">
                  <c:v>265.89999999999998</c:v>
                </c:pt>
                <c:pt idx="6">
                  <c:v>304.3</c:v>
                </c:pt>
                <c:pt idx="7">
                  <c:v>326.5</c:v>
                </c:pt>
                <c:pt idx="8">
                  <c:v>313.14999999999998</c:v>
                </c:pt>
                <c:pt idx="9">
                  <c:v>298.95</c:v>
                </c:pt>
                <c:pt idx="10">
                  <c:v>341.7</c:v>
                </c:pt>
                <c:pt idx="11">
                  <c:v>353</c:v>
                </c:pt>
                <c:pt idx="12">
                  <c:v>338.95</c:v>
                </c:pt>
                <c:pt idx="13">
                  <c:v>344.05</c:v>
                </c:pt>
                <c:pt idx="14">
                  <c:v>362.85</c:v>
                </c:pt>
                <c:pt idx="15">
                  <c:v>409.55</c:v>
                </c:pt>
                <c:pt idx="16">
                  <c:v>399.25</c:v>
                </c:pt>
                <c:pt idx="17">
                  <c:v>403.65</c:v>
                </c:pt>
                <c:pt idx="18">
                  <c:v>452.2</c:v>
                </c:pt>
                <c:pt idx="19">
                  <c:v>445.4</c:v>
                </c:pt>
                <c:pt idx="20">
                  <c:v>468.45</c:v>
                </c:pt>
              </c:numCache>
            </c:numRef>
          </c:val>
          <c:smooth val="0"/>
        </c:ser>
        <c:ser>
          <c:idx val="6"/>
          <c:order val="6"/>
          <c:tx>
            <c:v>Exp Closing 7</c:v>
          </c:tx>
          <c:marker>
            <c:symbol val="none"/>
          </c:marker>
          <c:val>
            <c:numRef>
              <c:f>'Monte Carlo and VaR'!$P$3:$P$23</c:f>
              <c:numCache>
                <c:formatCode>0.00</c:formatCode>
                <c:ptCount val="21"/>
                <c:pt idx="0" formatCode="General">
                  <c:v>276.35000000000002</c:v>
                </c:pt>
                <c:pt idx="1">
                  <c:v>284.3</c:v>
                </c:pt>
                <c:pt idx="2">
                  <c:v>266</c:v>
                </c:pt>
                <c:pt idx="3">
                  <c:v>273.7</c:v>
                </c:pt>
                <c:pt idx="4">
                  <c:v>256.8</c:v>
                </c:pt>
                <c:pt idx="5">
                  <c:v>237.7</c:v>
                </c:pt>
                <c:pt idx="6">
                  <c:v>249.85</c:v>
                </c:pt>
                <c:pt idx="7">
                  <c:v>227.6</c:v>
                </c:pt>
                <c:pt idx="8">
                  <c:v>216.75</c:v>
                </c:pt>
                <c:pt idx="9">
                  <c:v>215.9</c:v>
                </c:pt>
                <c:pt idx="10">
                  <c:v>236.25</c:v>
                </c:pt>
                <c:pt idx="11">
                  <c:v>209.4</c:v>
                </c:pt>
                <c:pt idx="12">
                  <c:v>229.95</c:v>
                </c:pt>
                <c:pt idx="13">
                  <c:v>221.05</c:v>
                </c:pt>
                <c:pt idx="14">
                  <c:v>216.85</c:v>
                </c:pt>
                <c:pt idx="15">
                  <c:v>222.6</c:v>
                </c:pt>
                <c:pt idx="16">
                  <c:v>215.1</c:v>
                </c:pt>
                <c:pt idx="17">
                  <c:v>217.3</c:v>
                </c:pt>
                <c:pt idx="18">
                  <c:v>207.95</c:v>
                </c:pt>
                <c:pt idx="19">
                  <c:v>205.75</c:v>
                </c:pt>
                <c:pt idx="20">
                  <c:v>199.3</c:v>
                </c:pt>
              </c:numCache>
            </c:numRef>
          </c:val>
          <c:smooth val="0"/>
        </c:ser>
        <c:ser>
          <c:idx val="7"/>
          <c:order val="7"/>
          <c:tx>
            <c:v>Exp Closing 8</c:v>
          </c:tx>
          <c:marker>
            <c:symbol val="none"/>
          </c:marker>
          <c:val>
            <c:numRef>
              <c:f>'Monte Carlo and VaR'!$Q$3:$Q$23</c:f>
              <c:numCache>
                <c:formatCode>0.00</c:formatCode>
                <c:ptCount val="21"/>
                <c:pt idx="0" formatCode="General">
                  <c:v>276.35000000000002</c:v>
                </c:pt>
                <c:pt idx="1">
                  <c:v>290.39999999999998</c:v>
                </c:pt>
                <c:pt idx="2">
                  <c:v>299.85000000000002</c:v>
                </c:pt>
                <c:pt idx="3">
                  <c:v>307</c:v>
                </c:pt>
                <c:pt idx="4">
                  <c:v>290.89999999999998</c:v>
                </c:pt>
                <c:pt idx="5">
                  <c:v>326.8</c:v>
                </c:pt>
                <c:pt idx="6">
                  <c:v>307.55</c:v>
                </c:pt>
                <c:pt idx="7">
                  <c:v>310.55</c:v>
                </c:pt>
                <c:pt idx="8">
                  <c:v>312.85000000000002</c:v>
                </c:pt>
                <c:pt idx="9">
                  <c:v>324.10000000000002</c:v>
                </c:pt>
                <c:pt idx="10">
                  <c:v>350.6</c:v>
                </c:pt>
                <c:pt idx="11">
                  <c:v>319.35000000000002</c:v>
                </c:pt>
                <c:pt idx="12">
                  <c:v>333.85</c:v>
                </c:pt>
                <c:pt idx="13">
                  <c:v>320</c:v>
                </c:pt>
                <c:pt idx="14">
                  <c:v>311.3</c:v>
                </c:pt>
                <c:pt idx="15">
                  <c:v>337.2</c:v>
                </c:pt>
                <c:pt idx="16">
                  <c:v>341.85</c:v>
                </c:pt>
                <c:pt idx="17">
                  <c:v>334.55</c:v>
                </c:pt>
                <c:pt idx="18">
                  <c:v>362.65</c:v>
                </c:pt>
                <c:pt idx="19">
                  <c:v>335.85</c:v>
                </c:pt>
                <c:pt idx="20">
                  <c:v>322.85000000000002</c:v>
                </c:pt>
              </c:numCache>
            </c:numRef>
          </c:val>
          <c:smooth val="0"/>
        </c:ser>
        <c:ser>
          <c:idx val="8"/>
          <c:order val="8"/>
          <c:tx>
            <c:v>Exp Closing 9</c:v>
          </c:tx>
          <c:marker>
            <c:symbol val="none"/>
          </c:marker>
          <c:val>
            <c:numRef>
              <c:f>'Monte Carlo and VaR'!$R$3:$R$23</c:f>
              <c:numCache>
                <c:formatCode>0.00</c:formatCode>
                <c:ptCount val="21"/>
                <c:pt idx="0" formatCode="General">
                  <c:v>276.35000000000002</c:v>
                </c:pt>
                <c:pt idx="1">
                  <c:v>268.14999999999998</c:v>
                </c:pt>
                <c:pt idx="2">
                  <c:v>286.60000000000002</c:v>
                </c:pt>
                <c:pt idx="3">
                  <c:v>324.25</c:v>
                </c:pt>
                <c:pt idx="4">
                  <c:v>305.5</c:v>
                </c:pt>
                <c:pt idx="5">
                  <c:v>331.05</c:v>
                </c:pt>
                <c:pt idx="6">
                  <c:v>339.2</c:v>
                </c:pt>
                <c:pt idx="7">
                  <c:v>334.3</c:v>
                </c:pt>
                <c:pt idx="8">
                  <c:v>361.95</c:v>
                </c:pt>
                <c:pt idx="9">
                  <c:v>404.8</c:v>
                </c:pt>
                <c:pt idx="10">
                  <c:v>399.3</c:v>
                </c:pt>
                <c:pt idx="11">
                  <c:v>448.3</c:v>
                </c:pt>
                <c:pt idx="12">
                  <c:v>484.9</c:v>
                </c:pt>
                <c:pt idx="13">
                  <c:v>517.20000000000005</c:v>
                </c:pt>
                <c:pt idx="14">
                  <c:v>538.5</c:v>
                </c:pt>
                <c:pt idx="15">
                  <c:v>525.6</c:v>
                </c:pt>
                <c:pt idx="16">
                  <c:v>520.25</c:v>
                </c:pt>
                <c:pt idx="17">
                  <c:v>558.79999999999995</c:v>
                </c:pt>
                <c:pt idx="18">
                  <c:v>561.1</c:v>
                </c:pt>
                <c:pt idx="19">
                  <c:v>582.70000000000005</c:v>
                </c:pt>
                <c:pt idx="20">
                  <c:v>550.20000000000005</c:v>
                </c:pt>
              </c:numCache>
            </c:numRef>
          </c:val>
          <c:smooth val="0"/>
        </c:ser>
        <c:ser>
          <c:idx val="9"/>
          <c:order val="9"/>
          <c:tx>
            <c:v>Exp Closing 10</c:v>
          </c:tx>
          <c:marker>
            <c:symbol val="none"/>
          </c:marker>
          <c:val>
            <c:numRef>
              <c:f>'Monte Carlo and VaR'!$S$3:$S$23</c:f>
              <c:numCache>
                <c:formatCode>0.00</c:formatCode>
                <c:ptCount val="21"/>
                <c:pt idx="0" formatCode="General">
                  <c:v>276.35000000000002</c:v>
                </c:pt>
                <c:pt idx="1">
                  <c:v>271.85000000000002</c:v>
                </c:pt>
                <c:pt idx="2">
                  <c:v>271.55</c:v>
                </c:pt>
                <c:pt idx="3">
                  <c:v>269.45</c:v>
                </c:pt>
                <c:pt idx="4">
                  <c:v>309.7</c:v>
                </c:pt>
                <c:pt idx="5">
                  <c:v>271.75</c:v>
                </c:pt>
                <c:pt idx="6">
                  <c:v>259.45</c:v>
                </c:pt>
                <c:pt idx="7">
                  <c:v>267.89999999999998</c:v>
                </c:pt>
                <c:pt idx="8">
                  <c:v>269.7</c:v>
                </c:pt>
                <c:pt idx="9">
                  <c:v>246.8</c:v>
                </c:pt>
                <c:pt idx="10">
                  <c:v>229.4</c:v>
                </c:pt>
                <c:pt idx="11">
                  <c:v>231.3</c:v>
                </c:pt>
                <c:pt idx="12">
                  <c:v>197.2</c:v>
                </c:pt>
                <c:pt idx="13">
                  <c:v>181.15</c:v>
                </c:pt>
                <c:pt idx="14">
                  <c:v>215.75</c:v>
                </c:pt>
                <c:pt idx="15">
                  <c:v>224.9</c:v>
                </c:pt>
                <c:pt idx="16">
                  <c:v>203.45</c:v>
                </c:pt>
                <c:pt idx="17">
                  <c:v>183.15</c:v>
                </c:pt>
                <c:pt idx="18">
                  <c:v>185.7</c:v>
                </c:pt>
                <c:pt idx="19">
                  <c:v>166.7</c:v>
                </c:pt>
                <c:pt idx="20">
                  <c:v>163.95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1195624"/>
        <c:axId val="261192488"/>
      </c:lineChart>
      <c:catAx>
        <c:axId val="26119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 sz="1200"/>
                  <a:t>Number of Days of Simulation</a:t>
                </a:r>
              </a:p>
              <a:p>
                <a:pPr>
                  <a:defRPr/>
                </a:pPr>
                <a:endParaRPr lang="en-IN"/>
              </a:p>
            </c:rich>
          </c:tx>
          <c:layout/>
          <c:overlay val="0"/>
        </c:title>
        <c:majorTickMark val="out"/>
        <c:minorTickMark val="none"/>
        <c:tickLblPos val="nextTo"/>
        <c:crossAx val="261192488"/>
        <c:crosses val="autoZero"/>
        <c:auto val="1"/>
        <c:lblAlgn val="ctr"/>
        <c:lblOffset val="100"/>
        <c:tickLblSkip val="5"/>
        <c:noMultiLvlLbl val="0"/>
      </c:catAx>
      <c:valAx>
        <c:axId val="2611924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IN" sz="1200"/>
                  <a:t> Simulated Daily Closing Prices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1195624"/>
        <c:crosses val="autoZero"/>
        <c:crossBetween val="between"/>
      </c:valAx>
      <c:spPr>
        <a:solidFill>
          <a:schemeClr val="accent1">
            <a:lumMod val="20000"/>
            <a:lumOff val="80000"/>
          </a:schemeClr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tx2">
        <a:lumMod val="20000"/>
        <a:lumOff val="80000"/>
      </a:schemeClr>
    </a:solidFill>
    <a:effectLst>
      <a:innerShdw blurRad="63500" dist="50800" dir="13500000">
        <a:prstClr val="black">
          <a:alpha val="50000"/>
        </a:prstClr>
      </a:innerShdw>
    </a:effec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Close Price</c:v>
          </c:tx>
          <c:invertIfNegative val="0"/>
          <c:val>
            <c:numRef>
              <c:f>'Monte Carlo and VaR'!#REF!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1196016"/>
        <c:axId val="797458176"/>
      </c:barChart>
      <c:catAx>
        <c:axId val="261196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 sz="1200"/>
                  <a:t>Monte</a:t>
                </a:r>
                <a:r>
                  <a:rPr lang="en-IN" sz="1200" baseline="0"/>
                  <a:t> Carlo </a:t>
                </a:r>
                <a:r>
                  <a:rPr lang="en-IN" sz="1200"/>
                  <a:t>Iterations 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797458176"/>
        <c:crosses val="autoZero"/>
        <c:auto val="1"/>
        <c:lblAlgn val="ctr"/>
        <c:lblOffset val="100"/>
        <c:tickLblSkip val="20"/>
        <c:noMultiLvlLbl val="0"/>
      </c:catAx>
      <c:valAx>
        <c:axId val="797458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endParaRPr lang="en-IN"/>
              </a:p>
              <a:p>
                <a:pPr>
                  <a:defRPr/>
                </a:pPr>
                <a:r>
                  <a:rPr lang="en-IN"/>
                  <a:t> </a:t>
                </a:r>
                <a:r>
                  <a:rPr lang="en-IN" sz="1200"/>
                  <a:t>Closing Price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1196016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3">
        <a:lumMod val="40000"/>
        <a:lumOff val="60000"/>
      </a:schemeClr>
    </a:solidFill>
    <a:effectLst>
      <a:innerShdw blurRad="63500" dist="50800" dir="2700000">
        <a:prstClr val="black">
          <a:alpha val="50000"/>
        </a:prstClr>
      </a:innerShd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'Monte Carlo and VaR'!$EK$2</c:f>
              <c:strCache>
                <c:ptCount val="1"/>
                <c:pt idx="0">
                  <c:v>Exp Closing 132</c:v>
                </c:pt>
              </c:strCache>
            </c:strRef>
          </c:tx>
          <c:marker>
            <c:symbol val="none"/>
          </c:marker>
          <c:val>
            <c:numRef>
              <c:f>'Monte Carlo and VaR'!$EK$3:$EK$23</c:f>
              <c:numCache>
                <c:formatCode>0.00</c:formatCode>
                <c:ptCount val="21"/>
                <c:pt idx="0" formatCode="General">
                  <c:v>276.35000000000002</c:v>
                </c:pt>
                <c:pt idx="1">
                  <c:v>248.7</c:v>
                </c:pt>
                <c:pt idx="2">
                  <c:v>224</c:v>
                </c:pt>
                <c:pt idx="3">
                  <c:v>211.2</c:v>
                </c:pt>
                <c:pt idx="4">
                  <c:v>218.55</c:v>
                </c:pt>
                <c:pt idx="5">
                  <c:v>232.75</c:v>
                </c:pt>
                <c:pt idx="6">
                  <c:v>241.2</c:v>
                </c:pt>
                <c:pt idx="7">
                  <c:v>218.15</c:v>
                </c:pt>
                <c:pt idx="8">
                  <c:v>205.6</c:v>
                </c:pt>
                <c:pt idx="9">
                  <c:v>217.2</c:v>
                </c:pt>
                <c:pt idx="10">
                  <c:v>238.4</c:v>
                </c:pt>
                <c:pt idx="11">
                  <c:v>255.5</c:v>
                </c:pt>
                <c:pt idx="12">
                  <c:v>240.05</c:v>
                </c:pt>
                <c:pt idx="13">
                  <c:v>243.85</c:v>
                </c:pt>
                <c:pt idx="14">
                  <c:v>255.65</c:v>
                </c:pt>
                <c:pt idx="15">
                  <c:v>249.5</c:v>
                </c:pt>
                <c:pt idx="16">
                  <c:v>257.39999999999998</c:v>
                </c:pt>
                <c:pt idx="17">
                  <c:v>265.2</c:v>
                </c:pt>
                <c:pt idx="18">
                  <c:v>277.55</c:v>
                </c:pt>
                <c:pt idx="19">
                  <c:v>273.64999999999998</c:v>
                </c:pt>
                <c:pt idx="20">
                  <c:v>278.05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'Monte Carlo and VaR'!$EL$2</c:f>
              <c:strCache>
                <c:ptCount val="1"/>
                <c:pt idx="0">
                  <c:v>Exp Closing 133</c:v>
                </c:pt>
              </c:strCache>
            </c:strRef>
          </c:tx>
          <c:marker>
            <c:symbol val="none"/>
          </c:marker>
          <c:val>
            <c:numRef>
              <c:f>'Monte Carlo and VaR'!$EL$3:$EL$23</c:f>
              <c:numCache>
                <c:formatCode>0.00</c:formatCode>
                <c:ptCount val="21"/>
                <c:pt idx="0" formatCode="General">
                  <c:v>276.35000000000002</c:v>
                </c:pt>
                <c:pt idx="1">
                  <c:v>281.95</c:v>
                </c:pt>
                <c:pt idx="2">
                  <c:v>259.14999999999998</c:v>
                </c:pt>
                <c:pt idx="3">
                  <c:v>260.75</c:v>
                </c:pt>
                <c:pt idx="4">
                  <c:v>280.05</c:v>
                </c:pt>
                <c:pt idx="5">
                  <c:v>295.3</c:v>
                </c:pt>
                <c:pt idx="6">
                  <c:v>291.3</c:v>
                </c:pt>
                <c:pt idx="7">
                  <c:v>317.55</c:v>
                </c:pt>
                <c:pt idx="8">
                  <c:v>307.60000000000002</c:v>
                </c:pt>
                <c:pt idx="9">
                  <c:v>312.45</c:v>
                </c:pt>
                <c:pt idx="10">
                  <c:v>298.35000000000002</c:v>
                </c:pt>
                <c:pt idx="11">
                  <c:v>284.5</c:v>
                </c:pt>
                <c:pt idx="12">
                  <c:v>293.5</c:v>
                </c:pt>
                <c:pt idx="13">
                  <c:v>317.75</c:v>
                </c:pt>
                <c:pt idx="14">
                  <c:v>311.89999999999998</c:v>
                </c:pt>
                <c:pt idx="15">
                  <c:v>287.89999999999998</c:v>
                </c:pt>
                <c:pt idx="16">
                  <c:v>311.89999999999998</c:v>
                </c:pt>
                <c:pt idx="17">
                  <c:v>333.35</c:v>
                </c:pt>
                <c:pt idx="18">
                  <c:v>303.05</c:v>
                </c:pt>
                <c:pt idx="19">
                  <c:v>312.89999999999998</c:v>
                </c:pt>
                <c:pt idx="20">
                  <c:v>318.45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460136"/>
        <c:axId val="797454648"/>
      </c:lineChart>
      <c:catAx>
        <c:axId val="797460136"/>
        <c:scaling>
          <c:orientation val="minMax"/>
        </c:scaling>
        <c:delete val="0"/>
        <c:axPos val="b"/>
        <c:majorTickMark val="out"/>
        <c:minorTickMark val="none"/>
        <c:tickLblPos val="nextTo"/>
        <c:crossAx val="797454648"/>
        <c:crosses val="autoZero"/>
        <c:auto val="1"/>
        <c:lblAlgn val="ctr"/>
        <c:lblOffset val="100"/>
        <c:noMultiLvlLbl val="0"/>
      </c:catAx>
      <c:valAx>
        <c:axId val="797454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974601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Bollinger Bands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228894465114938"/>
          <c:y val="0.12009982750730051"/>
          <c:w val="0.72053332494277378"/>
          <c:h val="0.63868635867854251"/>
        </c:manualLayout>
      </c:layout>
      <c:lineChart>
        <c:grouping val="standard"/>
        <c:varyColors val="0"/>
        <c:ser>
          <c:idx val="0"/>
          <c:order val="0"/>
          <c:tx>
            <c:strRef>
              <c:f>BollingerBand_Nifty!$B$1</c:f>
              <c:strCache>
                <c:ptCount val="1"/>
                <c:pt idx="0">
                  <c:v>Close</c:v>
                </c:pt>
              </c:strCache>
            </c:strRef>
          </c:tx>
          <c:marker>
            <c:symbol val="none"/>
          </c:marker>
          <c:cat>
            <c:numRef>
              <c:f>BollingerBand_Nifty!$A$2:$A$1091</c:f>
              <c:numCache>
                <c:formatCode>m/d/yyyy</c:formatCode>
                <c:ptCount val="1090"/>
                <c:pt idx="0">
                  <c:v>41169</c:v>
                </c:pt>
                <c:pt idx="1">
                  <c:v>41170</c:v>
                </c:pt>
                <c:pt idx="2">
                  <c:v>41171</c:v>
                </c:pt>
                <c:pt idx="3">
                  <c:v>41172</c:v>
                </c:pt>
                <c:pt idx="4">
                  <c:v>41173</c:v>
                </c:pt>
                <c:pt idx="5">
                  <c:v>41176</c:v>
                </c:pt>
                <c:pt idx="6">
                  <c:v>41177</c:v>
                </c:pt>
                <c:pt idx="7">
                  <c:v>41178</c:v>
                </c:pt>
                <c:pt idx="8">
                  <c:v>41179</c:v>
                </c:pt>
                <c:pt idx="9">
                  <c:v>41180</c:v>
                </c:pt>
                <c:pt idx="10">
                  <c:v>41183</c:v>
                </c:pt>
                <c:pt idx="11">
                  <c:v>41184</c:v>
                </c:pt>
                <c:pt idx="12">
                  <c:v>41185</c:v>
                </c:pt>
                <c:pt idx="13">
                  <c:v>41186</c:v>
                </c:pt>
                <c:pt idx="14">
                  <c:v>41187</c:v>
                </c:pt>
                <c:pt idx="15">
                  <c:v>41190</c:v>
                </c:pt>
                <c:pt idx="16">
                  <c:v>41191</c:v>
                </c:pt>
                <c:pt idx="17">
                  <c:v>41192</c:v>
                </c:pt>
                <c:pt idx="18">
                  <c:v>41193</c:v>
                </c:pt>
                <c:pt idx="19">
                  <c:v>41194</c:v>
                </c:pt>
                <c:pt idx="20">
                  <c:v>41197</c:v>
                </c:pt>
                <c:pt idx="21">
                  <c:v>41198</c:v>
                </c:pt>
                <c:pt idx="22">
                  <c:v>41199</c:v>
                </c:pt>
                <c:pt idx="23">
                  <c:v>41200</c:v>
                </c:pt>
                <c:pt idx="24">
                  <c:v>41201</c:v>
                </c:pt>
                <c:pt idx="25">
                  <c:v>41204</c:v>
                </c:pt>
                <c:pt idx="26">
                  <c:v>41205</c:v>
                </c:pt>
                <c:pt idx="27">
                  <c:v>41206</c:v>
                </c:pt>
                <c:pt idx="28">
                  <c:v>41207</c:v>
                </c:pt>
                <c:pt idx="29">
                  <c:v>41208</c:v>
                </c:pt>
                <c:pt idx="30">
                  <c:v>41211</c:v>
                </c:pt>
                <c:pt idx="31">
                  <c:v>41212</c:v>
                </c:pt>
                <c:pt idx="32">
                  <c:v>41213</c:v>
                </c:pt>
                <c:pt idx="33">
                  <c:v>41214</c:v>
                </c:pt>
                <c:pt idx="34">
                  <c:v>41215</c:v>
                </c:pt>
                <c:pt idx="35">
                  <c:v>41218</c:v>
                </c:pt>
                <c:pt idx="36">
                  <c:v>41219</c:v>
                </c:pt>
                <c:pt idx="37">
                  <c:v>41220</c:v>
                </c:pt>
                <c:pt idx="38">
                  <c:v>41221</c:v>
                </c:pt>
                <c:pt idx="39">
                  <c:v>41222</c:v>
                </c:pt>
                <c:pt idx="40">
                  <c:v>41225</c:v>
                </c:pt>
                <c:pt idx="41">
                  <c:v>41226</c:v>
                </c:pt>
                <c:pt idx="42">
                  <c:v>41227</c:v>
                </c:pt>
                <c:pt idx="43">
                  <c:v>41228</c:v>
                </c:pt>
                <c:pt idx="44">
                  <c:v>41229</c:v>
                </c:pt>
                <c:pt idx="45">
                  <c:v>41232</c:v>
                </c:pt>
                <c:pt idx="46">
                  <c:v>41233</c:v>
                </c:pt>
                <c:pt idx="47">
                  <c:v>41234</c:v>
                </c:pt>
                <c:pt idx="48">
                  <c:v>41235</c:v>
                </c:pt>
                <c:pt idx="49">
                  <c:v>41236</c:v>
                </c:pt>
                <c:pt idx="50">
                  <c:v>41239</c:v>
                </c:pt>
                <c:pt idx="51">
                  <c:v>41240</c:v>
                </c:pt>
                <c:pt idx="52">
                  <c:v>41241</c:v>
                </c:pt>
                <c:pt idx="53">
                  <c:v>41242</c:v>
                </c:pt>
                <c:pt idx="54">
                  <c:v>41243</c:v>
                </c:pt>
                <c:pt idx="55">
                  <c:v>41246</c:v>
                </c:pt>
                <c:pt idx="56">
                  <c:v>41247</c:v>
                </c:pt>
                <c:pt idx="57">
                  <c:v>41248</c:v>
                </c:pt>
                <c:pt idx="58">
                  <c:v>41249</c:v>
                </c:pt>
                <c:pt idx="59">
                  <c:v>41250</c:v>
                </c:pt>
                <c:pt idx="60">
                  <c:v>41253</c:v>
                </c:pt>
                <c:pt idx="61">
                  <c:v>41254</c:v>
                </c:pt>
                <c:pt idx="62">
                  <c:v>41255</c:v>
                </c:pt>
                <c:pt idx="63">
                  <c:v>41256</c:v>
                </c:pt>
                <c:pt idx="64">
                  <c:v>41257</c:v>
                </c:pt>
                <c:pt idx="65">
                  <c:v>41260</c:v>
                </c:pt>
                <c:pt idx="66">
                  <c:v>41261</c:v>
                </c:pt>
                <c:pt idx="67">
                  <c:v>41262</c:v>
                </c:pt>
                <c:pt idx="68">
                  <c:v>41263</c:v>
                </c:pt>
                <c:pt idx="69">
                  <c:v>41264</c:v>
                </c:pt>
                <c:pt idx="70">
                  <c:v>41267</c:v>
                </c:pt>
                <c:pt idx="71">
                  <c:v>41269</c:v>
                </c:pt>
                <c:pt idx="72">
                  <c:v>41270</c:v>
                </c:pt>
                <c:pt idx="73">
                  <c:v>41271</c:v>
                </c:pt>
                <c:pt idx="74">
                  <c:v>41274</c:v>
                </c:pt>
                <c:pt idx="75">
                  <c:v>41276</c:v>
                </c:pt>
                <c:pt idx="76">
                  <c:v>41277</c:v>
                </c:pt>
                <c:pt idx="77">
                  <c:v>41278</c:v>
                </c:pt>
                <c:pt idx="78">
                  <c:v>41281</c:v>
                </c:pt>
                <c:pt idx="79">
                  <c:v>41282</c:v>
                </c:pt>
                <c:pt idx="80">
                  <c:v>41283</c:v>
                </c:pt>
                <c:pt idx="81">
                  <c:v>41284</c:v>
                </c:pt>
                <c:pt idx="82">
                  <c:v>41285</c:v>
                </c:pt>
                <c:pt idx="83">
                  <c:v>41288</c:v>
                </c:pt>
                <c:pt idx="84">
                  <c:v>41289</c:v>
                </c:pt>
                <c:pt idx="85">
                  <c:v>41290</c:v>
                </c:pt>
                <c:pt idx="86">
                  <c:v>41291</c:v>
                </c:pt>
                <c:pt idx="87">
                  <c:v>41292</c:v>
                </c:pt>
                <c:pt idx="88">
                  <c:v>41295</c:v>
                </c:pt>
                <c:pt idx="89">
                  <c:v>41296</c:v>
                </c:pt>
                <c:pt idx="90">
                  <c:v>41297</c:v>
                </c:pt>
                <c:pt idx="91">
                  <c:v>41298</c:v>
                </c:pt>
                <c:pt idx="92">
                  <c:v>41299</c:v>
                </c:pt>
                <c:pt idx="93">
                  <c:v>41302</c:v>
                </c:pt>
                <c:pt idx="94">
                  <c:v>41303</c:v>
                </c:pt>
                <c:pt idx="95">
                  <c:v>41304</c:v>
                </c:pt>
                <c:pt idx="96">
                  <c:v>41305</c:v>
                </c:pt>
                <c:pt idx="97">
                  <c:v>41306</c:v>
                </c:pt>
                <c:pt idx="98">
                  <c:v>41309</c:v>
                </c:pt>
                <c:pt idx="99">
                  <c:v>41310</c:v>
                </c:pt>
                <c:pt idx="100">
                  <c:v>41311</c:v>
                </c:pt>
                <c:pt idx="101">
                  <c:v>41312</c:v>
                </c:pt>
                <c:pt idx="102">
                  <c:v>41313</c:v>
                </c:pt>
                <c:pt idx="103">
                  <c:v>41316</c:v>
                </c:pt>
                <c:pt idx="104">
                  <c:v>41317</c:v>
                </c:pt>
                <c:pt idx="105">
                  <c:v>41318</c:v>
                </c:pt>
                <c:pt idx="106">
                  <c:v>41319</c:v>
                </c:pt>
                <c:pt idx="107">
                  <c:v>41320</c:v>
                </c:pt>
                <c:pt idx="108">
                  <c:v>41323</c:v>
                </c:pt>
                <c:pt idx="109">
                  <c:v>41324</c:v>
                </c:pt>
                <c:pt idx="110">
                  <c:v>41325</c:v>
                </c:pt>
                <c:pt idx="111">
                  <c:v>41326</c:v>
                </c:pt>
                <c:pt idx="112">
                  <c:v>41327</c:v>
                </c:pt>
                <c:pt idx="113">
                  <c:v>41330</c:v>
                </c:pt>
                <c:pt idx="114">
                  <c:v>41331</c:v>
                </c:pt>
                <c:pt idx="115">
                  <c:v>41332</c:v>
                </c:pt>
                <c:pt idx="116">
                  <c:v>41333</c:v>
                </c:pt>
                <c:pt idx="117">
                  <c:v>41334</c:v>
                </c:pt>
                <c:pt idx="118">
                  <c:v>41337</c:v>
                </c:pt>
                <c:pt idx="119">
                  <c:v>41338</c:v>
                </c:pt>
                <c:pt idx="120">
                  <c:v>41339</c:v>
                </c:pt>
                <c:pt idx="121">
                  <c:v>41340</c:v>
                </c:pt>
                <c:pt idx="122">
                  <c:v>41341</c:v>
                </c:pt>
                <c:pt idx="123">
                  <c:v>41344</c:v>
                </c:pt>
                <c:pt idx="124">
                  <c:v>41345</c:v>
                </c:pt>
                <c:pt idx="125">
                  <c:v>41346</c:v>
                </c:pt>
                <c:pt idx="126">
                  <c:v>41347</c:v>
                </c:pt>
                <c:pt idx="127">
                  <c:v>41348</c:v>
                </c:pt>
                <c:pt idx="128">
                  <c:v>41351</c:v>
                </c:pt>
                <c:pt idx="129">
                  <c:v>41352</c:v>
                </c:pt>
                <c:pt idx="130">
                  <c:v>41353</c:v>
                </c:pt>
                <c:pt idx="131">
                  <c:v>41354</c:v>
                </c:pt>
                <c:pt idx="132">
                  <c:v>41355</c:v>
                </c:pt>
                <c:pt idx="133">
                  <c:v>41358</c:v>
                </c:pt>
                <c:pt idx="134">
                  <c:v>41359</c:v>
                </c:pt>
                <c:pt idx="135">
                  <c:v>41360</c:v>
                </c:pt>
                <c:pt idx="136">
                  <c:v>41361</c:v>
                </c:pt>
                <c:pt idx="137">
                  <c:v>41365</c:v>
                </c:pt>
                <c:pt idx="138">
                  <c:v>41366</c:v>
                </c:pt>
                <c:pt idx="139">
                  <c:v>41367</c:v>
                </c:pt>
                <c:pt idx="140">
                  <c:v>41368</c:v>
                </c:pt>
                <c:pt idx="141">
                  <c:v>41369</c:v>
                </c:pt>
                <c:pt idx="142">
                  <c:v>41372</c:v>
                </c:pt>
                <c:pt idx="143">
                  <c:v>41373</c:v>
                </c:pt>
                <c:pt idx="144">
                  <c:v>41374</c:v>
                </c:pt>
                <c:pt idx="145">
                  <c:v>41375</c:v>
                </c:pt>
                <c:pt idx="146">
                  <c:v>41376</c:v>
                </c:pt>
                <c:pt idx="147">
                  <c:v>41379</c:v>
                </c:pt>
                <c:pt idx="148">
                  <c:v>41380</c:v>
                </c:pt>
                <c:pt idx="149">
                  <c:v>41381</c:v>
                </c:pt>
                <c:pt idx="150">
                  <c:v>41382</c:v>
                </c:pt>
                <c:pt idx="151">
                  <c:v>41383</c:v>
                </c:pt>
                <c:pt idx="152">
                  <c:v>41386</c:v>
                </c:pt>
                <c:pt idx="153">
                  <c:v>41387</c:v>
                </c:pt>
                <c:pt idx="154">
                  <c:v>41388</c:v>
                </c:pt>
                <c:pt idx="155">
                  <c:v>41389</c:v>
                </c:pt>
                <c:pt idx="156">
                  <c:v>41390</c:v>
                </c:pt>
                <c:pt idx="157">
                  <c:v>41393</c:v>
                </c:pt>
                <c:pt idx="158">
                  <c:v>41394</c:v>
                </c:pt>
                <c:pt idx="159">
                  <c:v>41395</c:v>
                </c:pt>
                <c:pt idx="160">
                  <c:v>41396</c:v>
                </c:pt>
                <c:pt idx="161">
                  <c:v>41397</c:v>
                </c:pt>
                <c:pt idx="162">
                  <c:v>41400</c:v>
                </c:pt>
                <c:pt idx="163">
                  <c:v>41401</c:v>
                </c:pt>
                <c:pt idx="164">
                  <c:v>41402</c:v>
                </c:pt>
                <c:pt idx="165">
                  <c:v>41403</c:v>
                </c:pt>
                <c:pt idx="166">
                  <c:v>41404</c:v>
                </c:pt>
                <c:pt idx="167">
                  <c:v>41407</c:v>
                </c:pt>
                <c:pt idx="168">
                  <c:v>41408</c:v>
                </c:pt>
                <c:pt idx="169">
                  <c:v>41409</c:v>
                </c:pt>
                <c:pt idx="170">
                  <c:v>41410</c:v>
                </c:pt>
                <c:pt idx="171">
                  <c:v>41411</c:v>
                </c:pt>
                <c:pt idx="172">
                  <c:v>41414</c:v>
                </c:pt>
                <c:pt idx="173">
                  <c:v>41415</c:v>
                </c:pt>
                <c:pt idx="174">
                  <c:v>41416</c:v>
                </c:pt>
                <c:pt idx="175">
                  <c:v>41417</c:v>
                </c:pt>
                <c:pt idx="176">
                  <c:v>41418</c:v>
                </c:pt>
                <c:pt idx="177">
                  <c:v>41421</c:v>
                </c:pt>
                <c:pt idx="178">
                  <c:v>41422</c:v>
                </c:pt>
                <c:pt idx="179">
                  <c:v>41423</c:v>
                </c:pt>
                <c:pt idx="180">
                  <c:v>41424</c:v>
                </c:pt>
                <c:pt idx="181">
                  <c:v>41425</c:v>
                </c:pt>
                <c:pt idx="182">
                  <c:v>41428</c:v>
                </c:pt>
                <c:pt idx="183">
                  <c:v>41429</c:v>
                </c:pt>
                <c:pt idx="184">
                  <c:v>41430</c:v>
                </c:pt>
                <c:pt idx="185">
                  <c:v>41431</c:v>
                </c:pt>
                <c:pt idx="186">
                  <c:v>41432</c:v>
                </c:pt>
                <c:pt idx="187">
                  <c:v>41435</c:v>
                </c:pt>
                <c:pt idx="188">
                  <c:v>41436</c:v>
                </c:pt>
                <c:pt idx="189">
                  <c:v>41437</c:v>
                </c:pt>
                <c:pt idx="190">
                  <c:v>41438</c:v>
                </c:pt>
                <c:pt idx="191">
                  <c:v>41439</c:v>
                </c:pt>
                <c:pt idx="192">
                  <c:v>41442</c:v>
                </c:pt>
                <c:pt idx="193">
                  <c:v>41443</c:v>
                </c:pt>
                <c:pt idx="194">
                  <c:v>41444</c:v>
                </c:pt>
                <c:pt idx="195">
                  <c:v>41445</c:v>
                </c:pt>
                <c:pt idx="196">
                  <c:v>41446</c:v>
                </c:pt>
                <c:pt idx="197">
                  <c:v>41449</c:v>
                </c:pt>
                <c:pt idx="198">
                  <c:v>41450</c:v>
                </c:pt>
                <c:pt idx="199">
                  <c:v>41451</c:v>
                </c:pt>
                <c:pt idx="200">
                  <c:v>41452</c:v>
                </c:pt>
                <c:pt idx="201">
                  <c:v>41453</c:v>
                </c:pt>
                <c:pt idx="202">
                  <c:v>41456</c:v>
                </c:pt>
                <c:pt idx="203">
                  <c:v>41457</c:v>
                </c:pt>
                <c:pt idx="204">
                  <c:v>41458</c:v>
                </c:pt>
                <c:pt idx="205">
                  <c:v>41459</c:v>
                </c:pt>
                <c:pt idx="206">
                  <c:v>41460</c:v>
                </c:pt>
                <c:pt idx="207">
                  <c:v>41463</c:v>
                </c:pt>
                <c:pt idx="208">
                  <c:v>41464</c:v>
                </c:pt>
                <c:pt idx="209">
                  <c:v>41465</c:v>
                </c:pt>
                <c:pt idx="210">
                  <c:v>41466</c:v>
                </c:pt>
                <c:pt idx="211">
                  <c:v>41467</c:v>
                </c:pt>
                <c:pt idx="212">
                  <c:v>41470</c:v>
                </c:pt>
                <c:pt idx="213">
                  <c:v>41471</c:v>
                </c:pt>
                <c:pt idx="214">
                  <c:v>41472</c:v>
                </c:pt>
                <c:pt idx="215">
                  <c:v>41473</c:v>
                </c:pt>
                <c:pt idx="216">
                  <c:v>41474</c:v>
                </c:pt>
                <c:pt idx="217">
                  <c:v>41477</c:v>
                </c:pt>
                <c:pt idx="218">
                  <c:v>41478</c:v>
                </c:pt>
                <c:pt idx="219">
                  <c:v>41479</c:v>
                </c:pt>
                <c:pt idx="220">
                  <c:v>41480</c:v>
                </c:pt>
                <c:pt idx="221">
                  <c:v>41481</c:v>
                </c:pt>
                <c:pt idx="222">
                  <c:v>41484</c:v>
                </c:pt>
                <c:pt idx="223">
                  <c:v>41485</c:v>
                </c:pt>
                <c:pt idx="224">
                  <c:v>41486</c:v>
                </c:pt>
                <c:pt idx="225">
                  <c:v>41487</c:v>
                </c:pt>
                <c:pt idx="226">
                  <c:v>41488</c:v>
                </c:pt>
                <c:pt idx="227">
                  <c:v>41491</c:v>
                </c:pt>
                <c:pt idx="228">
                  <c:v>41492</c:v>
                </c:pt>
                <c:pt idx="229">
                  <c:v>41493</c:v>
                </c:pt>
                <c:pt idx="230">
                  <c:v>41494</c:v>
                </c:pt>
                <c:pt idx="231">
                  <c:v>41495</c:v>
                </c:pt>
                <c:pt idx="232">
                  <c:v>41498</c:v>
                </c:pt>
                <c:pt idx="233">
                  <c:v>41499</c:v>
                </c:pt>
                <c:pt idx="234">
                  <c:v>41500</c:v>
                </c:pt>
                <c:pt idx="235">
                  <c:v>41501</c:v>
                </c:pt>
                <c:pt idx="236">
                  <c:v>41502</c:v>
                </c:pt>
                <c:pt idx="237">
                  <c:v>41505</c:v>
                </c:pt>
                <c:pt idx="238">
                  <c:v>41506</c:v>
                </c:pt>
                <c:pt idx="239">
                  <c:v>41507</c:v>
                </c:pt>
                <c:pt idx="240">
                  <c:v>41508</c:v>
                </c:pt>
                <c:pt idx="241">
                  <c:v>41509</c:v>
                </c:pt>
                <c:pt idx="242">
                  <c:v>41512</c:v>
                </c:pt>
                <c:pt idx="243">
                  <c:v>41513</c:v>
                </c:pt>
                <c:pt idx="244">
                  <c:v>41514</c:v>
                </c:pt>
                <c:pt idx="245">
                  <c:v>41515</c:v>
                </c:pt>
                <c:pt idx="246">
                  <c:v>41516</c:v>
                </c:pt>
                <c:pt idx="247">
                  <c:v>41519</c:v>
                </c:pt>
                <c:pt idx="248">
                  <c:v>41520</c:v>
                </c:pt>
                <c:pt idx="249">
                  <c:v>41521</c:v>
                </c:pt>
                <c:pt idx="250">
                  <c:v>41522</c:v>
                </c:pt>
                <c:pt idx="251">
                  <c:v>41523</c:v>
                </c:pt>
                <c:pt idx="252">
                  <c:v>41526</c:v>
                </c:pt>
                <c:pt idx="253">
                  <c:v>41527</c:v>
                </c:pt>
                <c:pt idx="254">
                  <c:v>41528</c:v>
                </c:pt>
                <c:pt idx="255">
                  <c:v>41529</c:v>
                </c:pt>
                <c:pt idx="256">
                  <c:v>41530</c:v>
                </c:pt>
                <c:pt idx="257">
                  <c:v>41533</c:v>
                </c:pt>
                <c:pt idx="258">
                  <c:v>41534</c:v>
                </c:pt>
                <c:pt idx="259">
                  <c:v>41535</c:v>
                </c:pt>
                <c:pt idx="260">
                  <c:v>41536</c:v>
                </c:pt>
                <c:pt idx="261">
                  <c:v>41537</c:v>
                </c:pt>
                <c:pt idx="262">
                  <c:v>41540</c:v>
                </c:pt>
                <c:pt idx="263">
                  <c:v>41541</c:v>
                </c:pt>
                <c:pt idx="264">
                  <c:v>41542</c:v>
                </c:pt>
                <c:pt idx="265">
                  <c:v>41543</c:v>
                </c:pt>
                <c:pt idx="266">
                  <c:v>41544</c:v>
                </c:pt>
                <c:pt idx="267">
                  <c:v>41547</c:v>
                </c:pt>
                <c:pt idx="268">
                  <c:v>41548</c:v>
                </c:pt>
                <c:pt idx="269">
                  <c:v>41550</c:v>
                </c:pt>
                <c:pt idx="270">
                  <c:v>41551</c:v>
                </c:pt>
                <c:pt idx="271">
                  <c:v>41554</c:v>
                </c:pt>
                <c:pt idx="272">
                  <c:v>41555</c:v>
                </c:pt>
                <c:pt idx="273">
                  <c:v>41556</c:v>
                </c:pt>
                <c:pt idx="274">
                  <c:v>41557</c:v>
                </c:pt>
                <c:pt idx="275">
                  <c:v>41558</c:v>
                </c:pt>
                <c:pt idx="276">
                  <c:v>41561</c:v>
                </c:pt>
                <c:pt idx="277">
                  <c:v>41562</c:v>
                </c:pt>
                <c:pt idx="278">
                  <c:v>41564</c:v>
                </c:pt>
                <c:pt idx="279">
                  <c:v>41565</c:v>
                </c:pt>
                <c:pt idx="280">
                  <c:v>41568</c:v>
                </c:pt>
                <c:pt idx="281">
                  <c:v>41569</c:v>
                </c:pt>
                <c:pt idx="282">
                  <c:v>41570</c:v>
                </c:pt>
                <c:pt idx="283">
                  <c:v>41571</c:v>
                </c:pt>
                <c:pt idx="284">
                  <c:v>41572</c:v>
                </c:pt>
                <c:pt idx="285">
                  <c:v>41575</c:v>
                </c:pt>
                <c:pt idx="286">
                  <c:v>41576</c:v>
                </c:pt>
                <c:pt idx="287">
                  <c:v>41577</c:v>
                </c:pt>
                <c:pt idx="288">
                  <c:v>41578</c:v>
                </c:pt>
                <c:pt idx="289">
                  <c:v>41579</c:v>
                </c:pt>
                <c:pt idx="290">
                  <c:v>41583</c:v>
                </c:pt>
                <c:pt idx="291">
                  <c:v>41584</c:v>
                </c:pt>
                <c:pt idx="292">
                  <c:v>41585</c:v>
                </c:pt>
                <c:pt idx="293">
                  <c:v>41586</c:v>
                </c:pt>
                <c:pt idx="294">
                  <c:v>41589</c:v>
                </c:pt>
                <c:pt idx="295">
                  <c:v>41590</c:v>
                </c:pt>
                <c:pt idx="296">
                  <c:v>41591</c:v>
                </c:pt>
                <c:pt idx="297">
                  <c:v>41592</c:v>
                </c:pt>
                <c:pt idx="298">
                  <c:v>41596</c:v>
                </c:pt>
                <c:pt idx="299">
                  <c:v>41597</c:v>
                </c:pt>
                <c:pt idx="300">
                  <c:v>41598</c:v>
                </c:pt>
                <c:pt idx="301">
                  <c:v>41599</c:v>
                </c:pt>
                <c:pt idx="302">
                  <c:v>41600</c:v>
                </c:pt>
                <c:pt idx="303">
                  <c:v>41603</c:v>
                </c:pt>
                <c:pt idx="304">
                  <c:v>41604</c:v>
                </c:pt>
                <c:pt idx="305">
                  <c:v>41605</c:v>
                </c:pt>
                <c:pt idx="306">
                  <c:v>41606</c:v>
                </c:pt>
                <c:pt idx="307">
                  <c:v>41607</c:v>
                </c:pt>
                <c:pt idx="308">
                  <c:v>41610</c:v>
                </c:pt>
                <c:pt idx="309">
                  <c:v>41611</c:v>
                </c:pt>
                <c:pt idx="310">
                  <c:v>41612</c:v>
                </c:pt>
                <c:pt idx="311">
                  <c:v>41613</c:v>
                </c:pt>
                <c:pt idx="312">
                  <c:v>41614</c:v>
                </c:pt>
                <c:pt idx="313">
                  <c:v>41617</c:v>
                </c:pt>
                <c:pt idx="314">
                  <c:v>41618</c:v>
                </c:pt>
                <c:pt idx="315">
                  <c:v>41619</c:v>
                </c:pt>
                <c:pt idx="316">
                  <c:v>41620</c:v>
                </c:pt>
                <c:pt idx="317">
                  <c:v>41621</c:v>
                </c:pt>
                <c:pt idx="318">
                  <c:v>41624</c:v>
                </c:pt>
                <c:pt idx="319">
                  <c:v>41625</c:v>
                </c:pt>
                <c:pt idx="320">
                  <c:v>41626</c:v>
                </c:pt>
                <c:pt idx="321">
                  <c:v>41627</c:v>
                </c:pt>
                <c:pt idx="322">
                  <c:v>41628</c:v>
                </c:pt>
                <c:pt idx="323">
                  <c:v>41631</c:v>
                </c:pt>
                <c:pt idx="324">
                  <c:v>41632</c:v>
                </c:pt>
                <c:pt idx="325">
                  <c:v>41634</c:v>
                </c:pt>
                <c:pt idx="326">
                  <c:v>41635</c:v>
                </c:pt>
                <c:pt idx="327">
                  <c:v>41638</c:v>
                </c:pt>
                <c:pt idx="328">
                  <c:v>41639</c:v>
                </c:pt>
                <c:pt idx="329">
                  <c:v>41641</c:v>
                </c:pt>
                <c:pt idx="330">
                  <c:v>41642</c:v>
                </c:pt>
                <c:pt idx="331">
                  <c:v>41645</c:v>
                </c:pt>
                <c:pt idx="332">
                  <c:v>41646</c:v>
                </c:pt>
                <c:pt idx="333">
                  <c:v>41647</c:v>
                </c:pt>
                <c:pt idx="334">
                  <c:v>41648</c:v>
                </c:pt>
                <c:pt idx="335">
                  <c:v>41649</c:v>
                </c:pt>
                <c:pt idx="336">
                  <c:v>41652</c:v>
                </c:pt>
                <c:pt idx="337">
                  <c:v>41653</c:v>
                </c:pt>
                <c:pt idx="338">
                  <c:v>41654</c:v>
                </c:pt>
                <c:pt idx="339">
                  <c:v>41655</c:v>
                </c:pt>
                <c:pt idx="340">
                  <c:v>41656</c:v>
                </c:pt>
                <c:pt idx="341">
                  <c:v>41659</c:v>
                </c:pt>
                <c:pt idx="342">
                  <c:v>41660</c:v>
                </c:pt>
                <c:pt idx="343">
                  <c:v>41661</c:v>
                </c:pt>
                <c:pt idx="344">
                  <c:v>41662</c:v>
                </c:pt>
                <c:pt idx="345">
                  <c:v>41663</c:v>
                </c:pt>
                <c:pt idx="346">
                  <c:v>41666</c:v>
                </c:pt>
                <c:pt idx="347">
                  <c:v>41667</c:v>
                </c:pt>
                <c:pt idx="348">
                  <c:v>41668</c:v>
                </c:pt>
                <c:pt idx="349">
                  <c:v>41669</c:v>
                </c:pt>
                <c:pt idx="350">
                  <c:v>41670</c:v>
                </c:pt>
                <c:pt idx="351">
                  <c:v>41673</c:v>
                </c:pt>
                <c:pt idx="352">
                  <c:v>41674</c:v>
                </c:pt>
                <c:pt idx="353">
                  <c:v>41675</c:v>
                </c:pt>
                <c:pt idx="354">
                  <c:v>41676</c:v>
                </c:pt>
                <c:pt idx="355">
                  <c:v>41677</c:v>
                </c:pt>
                <c:pt idx="356">
                  <c:v>41680</c:v>
                </c:pt>
                <c:pt idx="357">
                  <c:v>41681</c:v>
                </c:pt>
                <c:pt idx="358">
                  <c:v>41682</c:v>
                </c:pt>
                <c:pt idx="359">
                  <c:v>41683</c:v>
                </c:pt>
                <c:pt idx="360">
                  <c:v>41684</c:v>
                </c:pt>
                <c:pt idx="361">
                  <c:v>41687</c:v>
                </c:pt>
                <c:pt idx="362">
                  <c:v>41688</c:v>
                </c:pt>
                <c:pt idx="363">
                  <c:v>41689</c:v>
                </c:pt>
                <c:pt idx="364">
                  <c:v>41690</c:v>
                </c:pt>
                <c:pt idx="365">
                  <c:v>41691</c:v>
                </c:pt>
                <c:pt idx="366">
                  <c:v>41694</c:v>
                </c:pt>
                <c:pt idx="367">
                  <c:v>41695</c:v>
                </c:pt>
                <c:pt idx="368">
                  <c:v>41696</c:v>
                </c:pt>
                <c:pt idx="369">
                  <c:v>41698</c:v>
                </c:pt>
                <c:pt idx="370">
                  <c:v>41701</c:v>
                </c:pt>
                <c:pt idx="371">
                  <c:v>41702</c:v>
                </c:pt>
                <c:pt idx="372">
                  <c:v>41703</c:v>
                </c:pt>
                <c:pt idx="373">
                  <c:v>41704</c:v>
                </c:pt>
                <c:pt idx="374">
                  <c:v>41705</c:v>
                </c:pt>
                <c:pt idx="375">
                  <c:v>41708</c:v>
                </c:pt>
                <c:pt idx="376">
                  <c:v>41709</c:v>
                </c:pt>
                <c:pt idx="377">
                  <c:v>41710</c:v>
                </c:pt>
                <c:pt idx="378">
                  <c:v>41711</c:v>
                </c:pt>
                <c:pt idx="379">
                  <c:v>41712</c:v>
                </c:pt>
                <c:pt idx="380">
                  <c:v>41716</c:v>
                </c:pt>
                <c:pt idx="381">
                  <c:v>41717</c:v>
                </c:pt>
                <c:pt idx="382">
                  <c:v>41718</c:v>
                </c:pt>
                <c:pt idx="383">
                  <c:v>41719</c:v>
                </c:pt>
                <c:pt idx="384">
                  <c:v>41722</c:v>
                </c:pt>
                <c:pt idx="385">
                  <c:v>41723</c:v>
                </c:pt>
                <c:pt idx="386">
                  <c:v>41724</c:v>
                </c:pt>
                <c:pt idx="387">
                  <c:v>41725</c:v>
                </c:pt>
                <c:pt idx="388">
                  <c:v>41726</c:v>
                </c:pt>
                <c:pt idx="389">
                  <c:v>41729</c:v>
                </c:pt>
                <c:pt idx="390">
                  <c:v>41730</c:v>
                </c:pt>
                <c:pt idx="391">
                  <c:v>41731</c:v>
                </c:pt>
                <c:pt idx="392">
                  <c:v>41732</c:v>
                </c:pt>
                <c:pt idx="393">
                  <c:v>41733</c:v>
                </c:pt>
                <c:pt idx="394">
                  <c:v>41736</c:v>
                </c:pt>
                <c:pt idx="395">
                  <c:v>41738</c:v>
                </c:pt>
                <c:pt idx="396">
                  <c:v>41739</c:v>
                </c:pt>
                <c:pt idx="397">
                  <c:v>41740</c:v>
                </c:pt>
                <c:pt idx="398">
                  <c:v>41744</c:v>
                </c:pt>
                <c:pt idx="399">
                  <c:v>41745</c:v>
                </c:pt>
                <c:pt idx="400">
                  <c:v>41746</c:v>
                </c:pt>
                <c:pt idx="401">
                  <c:v>41750</c:v>
                </c:pt>
                <c:pt idx="402">
                  <c:v>41751</c:v>
                </c:pt>
                <c:pt idx="403">
                  <c:v>41752</c:v>
                </c:pt>
                <c:pt idx="404">
                  <c:v>41754</c:v>
                </c:pt>
                <c:pt idx="405">
                  <c:v>41757</c:v>
                </c:pt>
                <c:pt idx="406">
                  <c:v>41758</c:v>
                </c:pt>
                <c:pt idx="407">
                  <c:v>41759</c:v>
                </c:pt>
                <c:pt idx="408">
                  <c:v>41761</c:v>
                </c:pt>
                <c:pt idx="409">
                  <c:v>41764</c:v>
                </c:pt>
                <c:pt idx="410">
                  <c:v>41765</c:v>
                </c:pt>
                <c:pt idx="411">
                  <c:v>41766</c:v>
                </c:pt>
                <c:pt idx="412">
                  <c:v>41767</c:v>
                </c:pt>
                <c:pt idx="413">
                  <c:v>41768</c:v>
                </c:pt>
                <c:pt idx="414">
                  <c:v>41771</c:v>
                </c:pt>
                <c:pt idx="415">
                  <c:v>41772</c:v>
                </c:pt>
                <c:pt idx="416">
                  <c:v>41773</c:v>
                </c:pt>
                <c:pt idx="417">
                  <c:v>41774</c:v>
                </c:pt>
                <c:pt idx="418">
                  <c:v>41775</c:v>
                </c:pt>
                <c:pt idx="419">
                  <c:v>41778</c:v>
                </c:pt>
                <c:pt idx="420">
                  <c:v>41779</c:v>
                </c:pt>
                <c:pt idx="421">
                  <c:v>41780</c:v>
                </c:pt>
                <c:pt idx="422">
                  <c:v>41781</c:v>
                </c:pt>
                <c:pt idx="423">
                  <c:v>41782</c:v>
                </c:pt>
                <c:pt idx="424">
                  <c:v>41785</c:v>
                </c:pt>
                <c:pt idx="425">
                  <c:v>41786</c:v>
                </c:pt>
                <c:pt idx="426">
                  <c:v>41787</c:v>
                </c:pt>
                <c:pt idx="427">
                  <c:v>41788</c:v>
                </c:pt>
                <c:pt idx="428">
                  <c:v>41789</c:v>
                </c:pt>
                <c:pt idx="429">
                  <c:v>41792</c:v>
                </c:pt>
                <c:pt idx="430">
                  <c:v>41793</c:v>
                </c:pt>
                <c:pt idx="431">
                  <c:v>41794</c:v>
                </c:pt>
                <c:pt idx="432">
                  <c:v>41795</c:v>
                </c:pt>
                <c:pt idx="433">
                  <c:v>41796</c:v>
                </c:pt>
                <c:pt idx="434">
                  <c:v>41799</c:v>
                </c:pt>
                <c:pt idx="435">
                  <c:v>41800</c:v>
                </c:pt>
                <c:pt idx="436">
                  <c:v>41801</c:v>
                </c:pt>
                <c:pt idx="437">
                  <c:v>41802</c:v>
                </c:pt>
                <c:pt idx="438">
                  <c:v>41803</c:v>
                </c:pt>
                <c:pt idx="439">
                  <c:v>41806</c:v>
                </c:pt>
                <c:pt idx="440">
                  <c:v>41807</c:v>
                </c:pt>
                <c:pt idx="441">
                  <c:v>41808</c:v>
                </c:pt>
                <c:pt idx="442">
                  <c:v>41809</c:v>
                </c:pt>
                <c:pt idx="443">
                  <c:v>41810</c:v>
                </c:pt>
                <c:pt idx="444">
                  <c:v>41813</c:v>
                </c:pt>
                <c:pt idx="445">
                  <c:v>41814</c:v>
                </c:pt>
                <c:pt idx="446">
                  <c:v>41815</c:v>
                </c:pt>
                <c:pt idx="447">
                  <c:v>41816</c:v>
                </c:pt>
                <c:pt idx="448">
                  <c:v>41817</c:v>
                </c:pt>
                <c:pt idx="449">
                  <c:v>41820</c:v>
                </c:pt>
                <c:pt idx="450">
                  <c:v>41821</c:v>
                </c:pt>
                <c:pt idx="451">
                  <c:v>41822</c:v>
                </c:pt>
                <c:pt idx="452">
                  <c:v>41823</c:v>
                </c:pt>
                <c:pt idx="453">
                  <c:v>41824</c:v>
                </c:pt>
                <c:pt idx="454">
                  <c:v>41827</c:v>
                </c:pt>
                <c:pt idx="455">
                  <c:v>41828</c:v>
                </c:pt>
                <c:pt idx="456">
                  <c:v>41829</c:v>
                </c:pt>
                <c:pt idx="457">
                  <c:v>41830</c:v>
                </c:pt>
                <c:pt idx="458">
                  <c:v>41831</c:v>
                </c:pt>
                <c:pt idx="459">
                  <c:v>41834</c:v>
                </c:pt>
                <c:pt idx="460">
                  <c:v>41835</c:v>
                </c:pt>
                <c:pt idx="461">
                  <c:v>41836</c:v>
                </c:pt>
                <c:pt idx="462">
                  <c:v>41837</c:v>
                </c:pt>
                <c:pt idx="463">
                  <c:v>41838</c:v>
                </c:pt>
                <c:pt idx="464">
                  <c:v>41841</c:v>
                </c:pt>
                <c:pt idx="465">
                  <c:v>41842</c:v>
                </c:pt>
                <c:pt idx="466">
                  <c:v>41843</c:v>
                </c:pt>
                <c:pt idx="467">
                  <c:v>41844</c:v>
                </c:pt>
                <c:pt idx="468">
                  <c:v>41845</c:v>
                </c:pt>
                <c:pt idx="469">
                  <c:v>41848</c:v>
                </c:pt>
                <c:pt idx="470">
                  <c:v>41850</c:v>
                </c:pt>
                <c:pt idx="471">
                  <c:v>41851</c:v>
                </c:pt>
                <c:pt idx="472">
                  <c:v>41852</c:v>
                </c:pt>
                <c:pt idx="473">
                  <c:v>41855</c:v>
                </c:pt>
                <c:pt idx="474">
                  <c:v>41856</c:v>
                </c:pt>
                <c:pt idx="475">
                  <c:v>41857</c:v>
                </c:pt>
                <c:pt idx="476">
                  <c:v>41858</c:v>
                </c:pt>
                <c:pt idx="477">
                  <c:v>41859</c:v>
                </c:pt>
                <c:pt idx="478">
                  <c:v>41862</c:v>
                </c:pt>
                <c:pt idx="479">
                  <c:v>41863</c:v>
                </c:pt>
                <c:pt idx="480">
                  <c:v>41864</c:v>
                </c:pt>
                <c:pt idx="481">
                  <c:v>41865</c:v>
                </c:pt>
                <c:pt idx="482">
                  <c:v>41869</c:v>
                </c:pt>
                <c:pt idx="483">
                  <c:v>41870</c:v>
                </c:pt>
                <c:pt idx="484">
                  <c:v>41871</c:v>
                </c:pt>
                <c:pt idx="485">
                  <c:v>41872</c:v>
                </c:pt>
                <c:pt idx="486">
                  <c:v>41873</c:v>
                </c:pt>
                <c:pt idx="487">
                  <c:v>41876</c:v>
                </c:pt>
                <c:pt idx="488">
                  <c:v>41877</c:v>
                </c:pt>
                <c:pt idx="489">
                  <c:v>41878</c:v>
                </c:pt>
                <c:pt idx="490">
                  <c:v>41879</c:v>
                </c:pt>
                <c:pt idx="491">
                  <c:v>41883</c:v>
                </c:pt>
                <c:pt idx="492">
                  <c:v>41884</c:v>
                </c:pt>
                <c:pt idx="493">
                  <c:v>41885</c:v>
                </c:pt>
                <c:pt idx="494">
                  <c:v>41886</c:v>
                </c:pt>
                <c:pt idx="495">
                  <c:v>41887</c:v>
                </c:pt>
                <c:pt idx="496">
                  <c:v>41890</c:v>
                </c:pt>
                <c:pt idx="497">
                  <c:v>41891</c:v>
                </c:pt>
                <c:pt idx="498">
                  <c:v>41892</c:v>
                </c:pt>
                <c:pt idx="499">
                  <c:v>41893</c:v>
                </c:pt>
                <c:pt idx="500">
                  <c:v>41894</c:v>
                </c:pt>
                <c:pt idx="501">
                  <c:v>41897</c:v>
                </c:pt>
                <c:pt idx="502">
                  <c:v>41898</c:v>
                </c:pt>
                <c:pt idx="503">
                  <c:v>41899</c:v>
                </c:pt>
                <c:pt idx="504">
                  <c:v>41900</c:v>
                </c:pt>
                <c:pt idx="505">
                  <c:v>41901</c:v>
                </c:pt>
                <c:pt idx="506">
                  <c:v>41904</c:v>
                </c:pt>
                <c:pt idx="507">
                  <c:v>41905</c:v>
                </c:pt>
                <c:pt idx="508">
                  <c:v>41906</c:v>
                </c:pt>
                <c:pt idx="509">
                  <c:v>41907</c:v>
                </c:pt>
                <c:pt idx="510">
                  <c:v>41908</c:v>
                </c:pt>
                <c:pt idx="511">
                  <c:v>41911</c:v>
                </c:pt>
                <c:pt idx="512">
                  <c:v>41912</c:v>
                </c:pt>
                <c:pt idx="513">
                  <c:v>41913</c:v>
                </c:pt>
                <c:pt idx="514">
                  <c:v>41919</c:v>
                </c:pt>
                <c:pt idx="515">
                  <c:v>41920</c:v>
                </c:pt>
                <c:pt idx="516">
                  <c:v>41921</c:v>
                </c:pt>
                <c:pt idx="517">
                  <c:v>41922</c:v>
                </c:pt>
                <c:pt idx="518">
                  <c:v>41925</c:v>
                </c:pt>
                <c:pt idx="519">
                  <c:v>41926</c:v>
                </c:pt>
                <c:pt idx="520">
                  <c:v>41928</c:v>
                </c:pt>
                <c:pt idx="521">
                  <c:v>41929</c:v>
                </c:pt>
                <c:pt idx="522">
                  <c:v>41932</c:v>
                </c:pt>
                <c:pt idx="523">
                  <c:v>41933</c:v>
                </c:pt>
                <c:pt idx="524">
                  <c:v>41934</c:v>
                </c:pt>
                <c:pt idx="525">
                  <c:v>41935</c:v>
                </c:pt>
                <c:pt idx="526">
                  <c:v>41939</c:v>
                </c:pt>
                <c:pt idx="527">
                  <c:v>41940</c:v>
                </c:pt>
                <c:pt idx="528">
                  <c:v>41941</c:v>
                </c:pt>
                <c:pt idx="529">
                  <c:v>41942</c:v>
                </c:pt>
                <c:pt idx="530">
                  <c:v>41943</c:v>
                </c:pt>
                <c:pt idx="531">
                  <c:v>41946</c:v>
                </c:pt>
                <c:pt idx="532">
                  <c:v>41948</c:v>
                </c:pt>
                <c:pt idx="533">
                  <c:v>41950</c:v>
                </c:pt>
                <c:pt idx="534">
                  <c:v>41953</c:v>
                </c:pt>
                <c:pt idx="535">
                  <c:v>41954</c:v>
                </c:pt>
                <c:pt idx="536">
                  <c:v>41955</c:v>
                </c:pt>
                <c:pt idx="537">
                  <c:v>41956</c:v>
                </c:pt>
                <c:pt idx="538">
                  <c:v>41957</c:v>
                </c:pt>
                <c:pt idx="539">
                  <c:v>41960</c:v>
                </c:pt>
                <c:pt idx="540">
                  <c:v>41961</c:v>
                </c:pt>
                <c:pt idx="541">
                  <c:v>41962</c:v>
                </c:pt>
                <c:pt idx="542">
                  <c:v>41963</c:v>
                </c:pt>
                <c:pt idx="543">
                  <c:v>41964</c:v>
                </c:pt>
                <c:pt idx="544">
                  <c:v>41967</c:v>
                </c:pt>
                <c:pt idx="545">
                  <c:v>41968</c:v>
                </c:pt>
                <c:pt idx="546">
                  <c:v>41969</c:v>
                </c:pt>
                <c:pt idx="547">
                  <c:v>41970</c:v>
                </c:pt>
                <c:pt idx="548">
                  <c:v>41971</c:v>
                </c:pt>
                <c:pt idx="549">
                  <c:v>41974</c:v>
                </c:pt>
                <c:pt idx="550">
                  <c:v>41975</c:v>
                </c:pt>
                <c:pt idx="551">
                  <c:v>41976</c:v>
                </c:pt>
                <c:pt idx="552">
                  <c:v>41977</c:v>
                </c:pt>
                <c:pt idx="553">
                  <c:v>41978</c:v>
                </c:pt>
                <c:pt idx="554">
                  <c:v>41981</c:v>
                </c:pt>
                <c:pt idx="555">
                  <c:v>41982</c:v>
                </c:pt>
                <c:pt idx="556">
                  <c:v>41983</c:v>
                </c:pt>
                <c:pt idx="557">
                  <c:v>41984</c:v>
                </c:pt>
                <c:pt idx="558">
                  <c:v>41985</c:v>
                </c:pt>
                <c:pt idx="559">
                  <c:v>41988</c:v>
                </c:pt>
                <c:pt idx="560">
                  <c:v>41989</c:v>
                </c:pt>
                <c:pt idx="561">
                  <c:v>41990</c:v>
                </c:pt>
                <c:pt idx="562">
                  <c:v>41991</c:v>
                </c:pt>
                <c:pt idx="563">
                  <c:v>41992</c:v>
                </c:pt>
                <c:pt idx="564">
                  <c:v>41995</c:v>
                </c:pt>
                <c:pt idx="565">
                  <c:v>41996</c:v>
                </c:pt>
                <c:pt idx="566">
                  <c:v>41997</c:v>
                </c:pt>
                <c:pt idx="567">
                  <c:v>41999</c:v>
                </c:pt>
                <c:pt idx="568">
                  <c:v>42002</c:v>
                </c:pt>
                <c:pt idx="569">
                  <c:v>42003</c:v>
                </c:pt>
                <c:pt idx="570">
                  <c:v>42004</c:v>
                </c:pt>
                <c:pt idx="571">
                  <c:v>42006</c:v>
                </c:pt>
                <c:pt idx="572">
                  <c:v>42009</c:v>
                </c:pt>
                <c:pt idx="573">
                  <c:v>42010</c:v>
                </c:pt>
                <c:pt idx="574">
                  <c:v>42011</c:v>
                </c:pt>
                <c:pt idx="575">
                  <c:v>42012</c:v>
                </c:pt>
                <c:pt idx="576">
                  <c:v>42013</c:v>
                </c:pt>
                <c:pt idx="577">
                  <c:v>42016</c:v>
                </c:pt>
                <c:pt idx="578">
                  <c:v>42017</c:v>
                </c:pt>
                <c:pt idx="579">
                  <c:v>42018</c:v>
                </c:pt>
                <c:pt idx="580">
                  <c:v>42019</c:v>
                </c:pt>
                <c:pt idx="581">
                  <c:v>42020</c:v>
                </c:pt>
                <c:pt idx="582">
                  <c:v>42023</c:v>
                </c:pt>
                <c:pt idx="583">
                  <c:v>42024</c:v>
                </c:pt>
                <c:pt idx="584">
                  <c:v>42025</c:v>
                </c:pt>
                <c:pt idx="585">
                  <c:v>42026</c:v>
                </c:pt>
                <c:pt idx="586">
                  <c:v>42027</c:v>
                </c:pt>
                <c:pt idx="587">
                  <c:v>42031</c:v>
                </c:pt>
                <c:pt idx="588">
                  <c:v>42032</c:v>
                </c:pt>
                <c:pt idx="589">
                  <c:v>42033</c:v>
                </c:pt>
                <c:pt idx="590">
                  <c:v>42034</c:v>
                </c:pt>
                <c:pt idx="591">
                  <c:v>42037</c:v>
                </c:pt>
                <c:pt idx="592">
                  <c:v>42038</c:v>
                </c:pt>
                <c:pt idx="593">
                  <c:v>42039</c:v>
                </c:pt>
                <c:pt idx="594">
                  <c:v>42040</c:v>
                </c:pt>
                <c:pt idx="595">
                  <c:v>42041</c:v>
                </c:pt>
                <c:pt idx="596">
                  <c:v>42044</c:v>
                </c:pt>
                <c:pt idx="597">
                  <c:v>42045</c:v>
                </c:pt>
                <c:pt idx="598">
                  <c:v>42046</c:v>
                </c:pt>
                <c:pt idx="599">
                  <c:v>42047</c:v>
                </c:pt>
                <c:pt idx="600">
                  <c:v>42048</c:v>
                </c:pt>
                <c:pt idx="601">
                  <c:v>42051</c:v>
                </c:pt>
                <c:pt idx="602">
                  <c:v>42053</c:v>
                </c:pt>
                <c:pt idx="603">
                  <c:v>42054</c:v>
                </c:pt>
                <c:pt idx="604">
                  <c:v>42055</c:v>
                </c:pt>
                <c:pt idx="605">
                  <c:v>42058</c:v>
                </c:pt>
                <c:pt idx="606">
                  <c:v>42059</c:v>
                </c:pt>
                <c:pt idx="607">
                  <c:v>42060</c:v>
                </c:pt>
                <c:pt idx="608">
                  <c:v>42061</c:v>
                </c:pt>
                <c:pt idx="609">
                  <c:v>42062</c:v>
                </c:pt>
                <c:pt idx="610">
                  <c:v>42065</c:v>
                </c:pt>
                <c:pt idx="611">
                  <c:v>42066</c:v>
                </c:pt>
                <c:pt idx="612">
                  <c:v>42067</c:v>
                </c:pt>
                <c:pt idx="613">
                  <c:v>42068</c:v>
                </c:pt>
                <c:pt idx="614">
                  <c:v>42072</c:v>
                </c:pt>
                <c:pt idx="615">
                  <c:v>42073</c:v>
                </c:pt>
                <c:pt idx="616">
                  <c:v>42074</c:v>
                </c:pt>
                <c:pt idx="617">
                  <c:v>42075</c:v>
                </c:pt>
                <c:pt idx="618">
                  <c:v>42076</c:v>
                </c:pt>
                <c:pt idx="619">
                  <c:v>42079</c:v>
                </c:pt>
                <c:pt idx="620">
                  <c:v>42080</c:v>
                </c:pt>
                <c:pt idx="621">
                  <c:v>42081</c:v>
                </c:pt>
                <c:pt idx="622">
                  <c:v>42082</c:v>
                </c:pt>
                <c:pt idx="623">
                  <c:v>42083</c:v>
                </c:pt>
                <c:pt idx="624">
                  <c:v>42086</c:v>
                </c:pt>
                <c:pt idx="625">
                  <c:v>42087</c:v>
                </c:pt>
                <c:pt idx="626">
                  <c:v>42088</c:v>
                </c:pt>
                <c:pt idx="627">
                  <c:v>42089</c:v>
                </c:pt>
                <c:pt idx="628">
                  <c:v>42090</c:v>
                </c:pt>
                <c:pt idx="629">
                  <c:v>42093</c:v>
                </c:pt>
                <c:pt idx="630">
                  <c:v>42094</c:v>
                </c:pt>
                <c:pt idx="631">
                  <c:v>42095</c:v>
                </c:pt>
                <c:pt idx="632">
                  <c:v>42100</c:v>
                </c:pt>
                <c:pt idx="633">
                  <c:v>42101</c:v>
                </c:pt>
                <c:pt idx="634">
                  <c:v>42102</c:v>
                </c:pt>
                <c:pt idx="635">
                  <c:v>42103</c:v>
                </c:pt>
                <c:pt idx="636">
                  <c:v>42104</c:v>
                </c:pt>
                <c:pt idx="637">
                  <c:v>42107</c:v>
                </c:pt>
                <c:pt idx="638">
                  <c:v>42110</c:v>
                </c:pt>
                <c:pt idx="639">
                  <c:v>42111</c:v>
                </c:pt>
                <c:pt idx="640">
                  <c:v>42114</c:v>
                </c:pt>
                <c:pt idx="641">
                  <c:v>42115</c:v>
                </c:pt>
                <c:pt idx="642">
                  <c:v>42116</c:v>
                </c:pt>
                <c:pt idx="643">
                  <c:v>42117</c:v>
                </c:pt>
                <c:pt idx="644">
                  <c:v>42118</c:v>
                </c:pt>
                <c:pt idx="645">
                  <c:v>42121</c:v>
                </c:pt>
                <c:pt idx="646">
                  <c:v>42122</c:v>
                </c:pt>
                <c:pt idx="647">
                  <c:v>42123</c:v>
                </c:pt>
                <c:pt idx="648">
                  <c:v>42124</c:v>
                </c:pt>
                <c:pt idx="649">
                  <c:v>42128</c:v>
                </c:pt>
                <c:pt idx="650">
                  <c:v>42129</c:v>
                </c:pt>
                <c:pt idx="651">
                  <c:v>42130</c:v>
                </c:pt>
                <c:pt idx="652">
                  <c:v>42131</c:v>
                </c:pt>
                <c:pt idx="653">
                  <c:v>42132</c:v>
                </c:pt>
                <c:pt idx="654">
                  <c:v>42135</c:v>
                </c:pt>
                <c:pt idx="655">
                  <c:v>42136</c:v>
                </c:pt>
                <c:pt idx="656">
                  <c:v>42137</c:v>
                </c:pt>
                <c:pt idx="657">
                  <c:v>42138</c:v>
                </c:pt>
                <c:pt idx="658">
                  <c:v>42139</c:v>
                </c:pt>
                <c:pt idx="659">
                  <c:v>42142</c:v>
                </c:pt>
                <c:pt idx="660">
                  <c:v>42143</c:v>
                </c:pt>
                <c:pt idx="661">
                  <c:v>42144</c:v>
                </c:pt>
                <c:pt idx="662">
                  <c:v>42145</c:v>
                </c:pt>
                <c:pt idx="663">
                  <c:v>42146</c:v>
                </c:pt>
                <c:pt idx="664">
                  <c:v>42149</c:v>
                </c:pt>
                <c:pt idx="665">
                  <c:v>42150</c:v>
                </c:pt>
                <c:pt idx="666">
                  <c:v>42151</c:v>
                </c:pt>
                <c:pt idx="667">
                  <c:v>42152</c:v>
                </c:pt>
                <c:pt idx="668">
                  <c:v>42153</c:v>
                </c:pt>
                <c:pt idx="669">
                  <c:v>42156</c:v>
                </c:pt>
                <c:pt idx="670">
                  <c:v>42157</c:v>
                </c:pt>
                <c:pt idx="671">
                  <c:v>42158</c:v>
                </c:pt>
                <c:pt idx="672">
                  <c:v>42159</c:v>
                </c:pt>
                <c:pt idx="673">
                  <c:v>42160</c:v>
                </c:pt>
                <c:pt idx="674">
                  <c:v>42163</c:v>
                </c:pt>
                <c:pt idx="675">
                  <c:v>42164</c:v>
                </c:pt>
                <c:pt idx="676">
                  <c:v>42165</c:v>
                </c:pt>
                <c:pt idx="677">
                  <c:v>42166</c:v>
                </c:pt>
                <c:pt idx="678">
                  <c:v>42167</c:v>
                </c:pt>
                <c:pt idx="679">
                  <c:v>42170</c:v>
                </c:pt>
                <c:pt idx="680">
                  <c:v>42171</c:v>
                </c:pt>
                <c:pt idx="681">
                  <c:v>42172</c:v>
                </c:pt>
                <c:pt idx="682">
                  <c:v>42173</c:v>
                </c:pt>
                <c:pt idx="683">
                  <c:v>42174</c:v>
                </c:pt>
                <c:pt idx="684">
                  <c:v>42177</c:v>
                </c:pt>
                <c:pt idx="685">
                  <c:v>42178</c:v>
                </c:pt>
                <c:pt idx="686">
                  <c:v>42179</c:v>
                </c:pt>
                <c:pt idx="687">
                  <c:v>42180</c:v>
                </c:pt>
                <c:pt idx="688">
                  <c:v>42181</c:v>
                </c:pt>
                <c:pt idx="689">
                  <c:v>42184</c:v>
                </c:pt>
                <c:pt idx="690">
                  <c:v>42185</c:v>
                </c:pt>
                <c:pt idx="691">
                  <c:v>42186</c:v>
                </c:pt>
                <c:pt idx="692">
                  <c:v>42187</c:v>
                </c:pt>
                <c:pt idx="693">
                  <c:v>42188</c:v>
                </c:pt>
                <c:pt idx="694">
                  <c:v>42191</c:v>
                </c:pt>
                <c:pt idx="695">
                  <c:v>42192</c:v>
                </c:pt>
                <c:pt idx="696">
                  <c:v>42193</c:v>
                </c:pt>
                <c:pt idx="697">
                  <c:v>42194</c:v>
                </c:pt>
                <c:pt idx="698">
                  <c:v>42195</c:v>
                </c:pt>
                <c:pt idx="699">
                  <c:v>42198</c:v>
                </c:pt>
                <c:pt idx="700">
                  <c:v>42199</c:v>
                </c:pt>
                <c:pt idx="701">
                  <c:v>42200</c:v>
                </c:pt>
                <c:pt idx="702">
                  <c:v>42201</c:v>
                </c:pt>
                <c:pt idx="703">
                  <c:v>42202</c:v>
                </c:pt>
                <c:pt idx="704">
                  <c:v>42205</c:v>
                </c:pt>
                <c:pt idx="705">
                  <c:v>42206</c:v>
                </c:pt>
                <c:pt idx="706">
                  <c:v>42207</c:v>
                </c:pt>
                <c:pt idx="707">
                  <c:v>42208</c:v>
                </c:pt>
                <c:pt idx="708">
                  <c:v>42209</c:v>
                </c:pt>
                <c:pt idx="709">
                  <c:v>42212</c:v>
                </c:pt>
                <c:pt idx="710">
                  <c:v>42213</c:v>
                </c:pt>
                <c:pt idx="711">
                  <c:v>42214</c:v>
                </c:pt>
                <c:pt idx="712">
                  <c:v>42215</c:v>
                </c:pt>
                <c:pt idx="713">
                  <c:v>42216</c:v>
                </c:pt>
                <c:pt idx="714">
                  <c:v>42219</c:v>
                </c:pt>
                <c:pt idx="715">
                  <c:v>42220</c:v>
                </c:pt>
                <c:pt idx="716">
                  <c:v>42221</c:v>
                </c:pt>
                <c:pt idx="717">
                  <c:v>42222</c:v>
                </c:pt>
                <c:pt idx="718">
                  <c:v>42223</c:v>
                </c:pt>
                <c:pt idx="719">
                  <c:v>42226</c:v>
                </c:pt>
                <c:pt idx="720">
                  <c:v>42227</c:v>
                </c:pt>
                <c:pt idx="721">
                  <c:v>42228</c:v>
                </c:pt>
                <c:pt idx="722">
                  <c:v>42229</c:v>
                </c:pt>
                <c:pt idx="723">
                  <c:v>42230</c:v>
                </c:pt>
                <c:pt idx="724">
                  <c:v>42233</c:v>
                </c:pt>
                <c:pt idx="725">
                  <c:v>42234</c:v>
                </c:pt>
                <c:pt idx="726">
                  <c:v>42235</c:v>
                </c:pt>
                <c:pt idx="727">
                  <c:v>42236</c:v>
                </c:pt>
                <c:pt idx="728">
                  <c:v>42237</c:v>
                </c:pt>
                <c:pt idx="729">
                  <c:v>42240</c:v>
                </c:pt>
                <c:pt idx="730">
                  <c:v>42241</c:v>
                </c:pt>
                <c:pt idx="731">
                  <c:v>42242</c:v>
                </c:pt>
                <c:pt idx="732">
                  <c:v>42243</c:v>
                </c:pt>
                <c:pt idx="733">
                  <c:v>42244</c:v>
                </c:pt>
                <c:pt idx="734">
                  <c:v>42247</c:v>
                </c:pt>
                <c:pt idx="735">
                  <c:v>42248</c:v>
                </c:pt>
                <c:pt idx="736">
                  <c:v>42249</c:v>
                </c:pt>
                <c:pt idx="737">
                  <c:v>42250</c:v>
                </c:pt>
                <c:pt idx="738">
                  <c:v>42251</c:v>
                </c:pt>
                <c:pt idx="739">
                  <c:v>42254</c:v>
                </c:pt>
                <c:pt idx="740">
                  <c:v>42255</c:v>
                </c:pt>
                <c:pt idx="741">
                  <c:v>42256</c:v>
                </c:pt>
                <c:pt idx="742">
                  <c:v>42257</c:v>
                </c:pt>
                <c:pt idx="743">
                  <c:v>42258</c:v>
                </c:pt>
                <c:pt idx="744">
                  <c:v>42261</c:v>
                </c:pt>
                <c:pt idx="745">
                  <c:v>42262</c:v>
                </c:pt>
                <c:pt idx="746">
                  <c:v>42263</c:v>
                </c:pt>
                <c:pt idx="747">
                  <c:v>42265</c:v>
                </c:pt>
                <c:pt idx="748">
                  <c:v>42268</c:v>
                </c:pt>
                <c:pt idx="749">
                  <c:v>42269</c:v>
                </c:pt>
                <c:pt idx="750">
                  <c:v>42270</c:v>
                </c:pt>
                <c:pt idx="751">
                  <c:v>42271</c:v>
                </c:pt>
                <c:pt idx="752">
                  <c:v>42275</c:v>
                </c:pt>
                <c:pt idx="753">
                  <c:v>42276</c:v>
                </c:pt>
                <c:pt idx="754">
                  <c:v>42277</c:v>
                </c:pt>
                <c:pt idx="755">
                  <c:v>42278</c:v>
                </c:pt>
                <c:pt idx="756">
                  <c:v>42282</c:v>
                </c:pt>
                <c:pt idx="757">
                  <c:v>42283</c:v>
                </c:pt>
                <c:pt idx="758">
                  <c:v>42284</c:v>
                </c:pt>
                <c:pt idx="759">
                  <c:v>42285</c:v>
                </c:pt>
                <c:pt idx="760">
                  <c:v>42286</c:v>
                </c:pt>
                <c:pt idx="761">
                  <c:v>42289</c:v>
                </c:pt>
                <c:pt idx="762">
                  <c:v>42290</c:v>
                </c:pt>
                <c:pt idx="763">
                  <c:v>42291</c:v>
                </c:pt>
                <c:pt idx="764">
                  <c:v>42292</c:v>
                </c:pt>
                <c:pt idx="765">
                  <c:v>42293</c:v>
                </c:pt>
                <c:pt idx="766">
                  <c:v>42296</c:v>
                </c:pt>
                <c:pt idx="767">
                  <c:v>42297</c:v>
                </c:pt>
                <c:pt idx="768">
                  <c:v>42298</c:v>
                </c:pt>
                <c:pt idx="769">
                  <c:v>42300</c:v>
                </c:pt>
                <c:pt idx="770">
                  <c:v>42303</c:v>
                </c:pt>
                <c:pt idx="771">
                  <c:v>42304</c:v>
                </c:pt>
                <c:pt idx="772">
                  <c:v>42305</c:v>
                </c:pt>
                <c:pt idx="773">
                  <c:v>42306</c:v>
                </c:pt>
                <c:pt idx="774">
                  <c:v>42307</c:v>
                </c:pt>
                <c:pt idx="775">
                  <c:v>42310</c:v>
                </c:pt>
                <c:pt idx="776">
                  <c:v>42311</c:v>
                </c:pt>
                <c:pt idx="777">
                  <c:v>42312</c:v>
                </c:pt>
                <c:pt idx="778">
                  <c:v>42313</c:v>
                </c:pt>
                <c:pt idx="779">
                  <c:v>42314</c:v>
                </c:pt>
                <c:pt idx="780">
                  <c:v>42317</c:v>
                </c:pt>
                <c:pt idx="781">
                  <c:v>42318</c:v>
                </c:pt>
                <c:pt idx="782">
                  <c:v>42319</c:v>
                </c:pt>
                <c:pt idx="783">
                  <c:v>42321</c:v>
                </c:pt>
                <c:pt idx="784">
                  <c:v>42324</c:v>
                </c:pt>
                <c:pt idx="785">
                  <c:v>42325</c:v>
                </c:pt>
                <c:pt idx="786">
                  <c:v>42326</c:v>
                </c:pt>
                <c:pt idx="787">
                  <c:v>42327</c:v>
                </c:pt>
                <c:pt idx="788">
                  <c:v>42328</c:v>
                </c:pt>
                <c:pt idx="789">
                  <c:v>42331</c:v>
                </c:pt>
                <c:pt idx="790">
                  <c:v>42332</c:v>
                </c:pt>
                <c:pt idx="791">
                  <c:v>42334</c:v>
                </c:pt>
                <c:pt idx="792">
                  <c:v>42335</c:v>
                </c:pt>
                <c:pt idx="793">
                  <c:v>42338</c:v>
                </c:pt>
                <c:pt idx="794">
                  <c:v>42339</c:v>
                </c:pt>
                <c:pt idx="795">
                  <c:v>42340</c:v>
                </c:pt>
                <c:pt idx="796">
                  <c:v>42341</c:v>
                </c:pt>
                <c:pt idx="797">
                  <c:v>42342</c:v>
                </c:pt>
                <c:pt idx="798">
                  <c:v>42345</c:v>
                </c:pt>
                <c:pt idx="799">
                  <c:v>42346</c:v>
                </c:pt>
                <c:pt idx="800">
                  <c:v>42347</c:v>
                </c:pt>
                <c:pt idx="801">
                  <c:v>42348</c:v>
                </c:pt>
                <c:pt idx="802">
                  <c:v>42349</c:v>
                </c:pt>
                <c:pt idx="803">
                  <c:v>42352</c:v>
                </c:pt>
                <c:pt idx="804">
                  <c:v>42353</c:v>
                </c:pt>
                <c:pt idx="805">
                  <c:v>42354</c:v>
                </c:pt>
                <c:pt idx="806">
                  <c:v>42355</c:v>
                </c:pt>
                <c:pt idx="807">
                  <c:v>42356</c:v>
                </c:pt>
                <c:pt idx="808">
                  <c:v>42359</c:v>
                </c:pt>
                <c:pt idx="809">
                  <c:v>42360</c:v>
                </c:pt>
                <c:pt idx="810">
                  <c:v>42361</c:v>
                </c:pt>
                <c:pt idx="811">
                  <c:v>42362</c:v>
                </c:pt>
                <c:pt idx="812">
                  <c:v>42366</c:v>
                </c:pt>
                <c:pt idx="813">
                  <c:v>42367</c:v>
                </c:pt>
                <c:pt idx="814">
                  <c:v>42368</c:v>
                </c:pt>
                <c:pt idx="815">
                  <c:v>42369</c:v>
                </c:pt>
                <c:pt idx="816">
                  <c:v>42373</c:v>
                </c:pt>
                <c:pt idx="817">
                  <c:v>42374</c:v>
                </c:pt>
                <c:pt idx="818">
                  <c:v>42375</c:v>
                </c:pt>
                <c:pt idx="819">
                  <c:v>42376</c:v>
                </c:pt>
                <c:pt idx="820">
                  <c:v>42377</c:v>
                </c:pt>
                <c:pt idx="821">
                  <c:v>42380</c:v>
                </c:pt>
                <c:pt idx="822">
                  <c:v>42381</c:v>
                </c:pt>
                <c:pt idx="823">
                  <c:v>42382</c:v>
                </c:pt>
                <c:pt idx="824">
                  <c:v>42383</c:v>
                </c:pt>
                <c:pt idx="825">
                  <c:v>42384</c:v>
                </c:pt>
                <c:pt idx="826">
                  <c:v>42387</c:v>
                </c:pt>
                <c:pt idx="827">
                  <c:v>42388</c:v>
                </c:pt>
                <c:pt idx="828">
                  <c:v>42389</c:v>
                </c:pt>
                <c:pt idx="829">
                  <c:v>42390</c:v>
                </c:pt>
                <c:pt idx="830">
                  <c:v>42391</c:v>
                </c:pt>
                <c:pt idx="831">
                  <c:v>42394</c:v>
                </c:pt>
                <c:pt idx="832">
                  <c:v>42396</c:v>
                </c:pt>
                <c:pt idx="833">
                  <c:v>42397</c:v>
                </c:pt>
                <c:pt idx="834">
                  <c:v>42398</c:v>
                </c:pt>
                <c:pt idx="835">
                  <c:v>42401</c:v>
                </c:pt>
                <c:pt idx="836">
                  <c:v>42402</c:v>
                </c:pt>
                <c:pt idx="837">
                  <c:v>42403</c:v>
                </c:pt>
                <c:pt idx="838">
                  <c:v>42404</c:v>
                </c:pt>
                <c:pt idx="839">
                  <c:v>42405</c:v>
                </c:pt>
                <c:pt idx="840">
                  <c:v>42408</c:v>
                </c:pt>
                <c:pt idx="841">
                  <c:v>42409</c:v>
                </c:pt>
                <c:pt idx="842">
                  <c:v>42410</c:v>
                </c:pt>
                <c:pt idx="843">
                  <c:v>42411</c:v>
                </c:pt>
                <c:pt idx="844">
                  <c:v>42412</c:v>
                </c:pt>
                <c:pt idx="845">
                  <c:v>42415</c:v>
                </c:pt>
                <c:pt idx="846">
                  <c:v>42416</c:v>
                </c:pt>
                <c:pt idx="847">
                  <c:v>42417</c:v>
                </c:pt>
                <c:pt idx="848">
                  <c:v>42418</c:v>
                </c:pt>
                <c:pt idx="849">
                  <c:v>42419</c:v>
                </c:pt>
                <c:pt idx="850">
                  <c:v>42422</c:v>
                </c:pt>
                <c:pt idx="851">
                  <c:v>42423</c:v>
                </c:pt>
                <c:pt idx="852">
                  <c:v>42424</c:v>
                </c:pt>
                <c:pt idx="853">
                  <c:v>42425</c:v>
                </c:pt>
                <c:pt idx="854">
                  <c:v>42426</c:v>
                </c:pt>
                <c:pt idx="855">
                  <c:v>42429</c:v>
                </c:pt>
                <c:pt idx="856">
                  <c:v>42430</c:v>
                </c:pt>
                <c:pt idx="857">
                  <c:v>42431</c:v>
                </c:pt>
                <c:pt idx="858">
                  <c:v>42432</c:v>
                </c:pt>
                <c:pt idx="859">
                  <c:v>42433</c:v>
                </c:pt>
                <c:pt idx="860">
                  <c:v>42437</c:v>
                </c:pt>
                <c:pt idx="861">
                  <c:v>42438</c:v>
                </c:pt>
                <c:pt idx="862">
                  <c:v>42439</c:v>
                </c:pt>
                <c:pt idx="863">
                  <c:v>42440</c:v>
                </c:pt>
                <c:pt idx="864">
                  <c:v>42443</c:v>
                </c:pt>
                <c:pt idx="865">
                  <c:v>42444</c:v>
                </c:pt>
                <c:pt idx="866">
                  <c:v>42445</c:v>
                </c:pt>
                <c:pt idx="867">
                  <c:v>42446</c:v>
                </c:pt>
                <c:pt idx="868">
                  <c:v>42447</c:v>
                </c:pt>
                <c:pt idx="869">
                  <c:v>42450</c:v>
                </c:pt>
                <c:pt idx="870">
                  <c:v>42451</c:v>
                </c:pt>
                <c:pt idx="871">
                  <c:v>42452</c:v>
                </c:pt>
                <c:pt idx="872">
                  <c:v>42457</c:v>
                </c:pt>
                <c:pt idx="873">
                  <c:v>42458</c:v>
                </c:pt>
                <c:pt idx="874">
                  <c:v>42459</c:v>
                </c:pt>
                <c:pt idx="875">
                  <c:v>42460</c:v>
                </c:pt>
                <c:pt idx="876">
                  <c:v>42461</c:v>
                </c:pt>
                <c:pt idx="877">
                  <c:v>42464</c:v>
                </c:pt>
                <c:pt idx="878">
                  <c:v>42465</c:v>
                </c:pt>
                <c:pt idx="879">
                  <c:v>42466</c:v>
                </c:pt>
                <c:pt idx="880">
                  <c:v>42467</c:v>
                </c:pt>
                <c:pt idx="881">
                  <c:v>42468</c:v>
                </c:pt>
                <c:pt idx="882">
                  <c:v>42471</c:v>
                </c:pt>
                <c:pt idx="883">
                  <c:v>42472</c:v>
                </c:pt>
                <c:pt idx="884">
                  <c:v>42473</c:v>
                </c:pt>
                <c:pt idx="885">
                  <c:v>42478</c:v>
                </c:pt>
                <c:pt idx="886">
                  <c:v>42480</c:v>
                </c:pt>
                <c:pt idx="887">
                  <c:v>42481</c:v>
                </c:pt>
                <c:pt idx="888">
                  <c:v>42482</c:v>
                </c:pt>
                <c:pt idx="889">
                  <c:v>42485</c:v>
                </c:pt>
                <c:pt idx="890">
                  <c:v>42486</c:v>
                </c:pt>
                <c:pt idx="891">
                  <c:v>42487</c:v>
                </c:pt>
                <c:pt idx="892">
                  <c:v>42488</c:v>
                </c:pt>
                <c:pt idx="893">
                  <c:v>42489</c:v>
                </c:pt>
                <c:pt idx="894">
                  <c:v>42492</c:v>
                </c:pt>
                <c:pt idx="895">
                  <c:v>42493</c:v>
                </c:pt>
                <c:pt idx="896">
                  <c:v>42494</c:v>
                </c:pt>
                <c:pt idx="897">
                  <c:v>42495</c:v>
                </c:pt>
                <c:pt idx="898">
                  <c:v>42496</c:v>
                </c:pt>
                <c:pt idx="899">
                  <c:v>42499</c:v>
                </c:pt>
                <c:pt idx="900">
                  <c:v>42500</c:v>
                </c:pt>
                <c:pt idx="901">
                  <c:v>42501</c:v>
                </c:pt>
                <c:pt idx="902">
                  <c:v>42502</c:v>
                </c:pt>
                <c:pt idx="903">
                  <c:v>42503</c:v>
                </c:pt>
                <c:pt idx="904">
                  <c:v>42506</c:v>
                </c:pt>
                <c:pt idx="905">
                  <c:v>42507</c:v>
                </c:pt>
                <c:pt idx="906">
                  <c:v>42508</c:v>
                </c:pt>
                <c:pt idx="907">
                  <c:v>42509</c:v>
                </c:pt>
                <c:pt idx="908">
                  <c:v>42510</c:v>
                </c:pt>
                <c:pt idx="909">
                  <c:v>42513</c:v>
                </c:pt>
                <c:pt idx="910">
                  <c:v>42514</c:v>
                </c:pt>
                <c:pt idx="911">
                  <c:v>42515</c:v>
                </c:pt>
                <c:pt idx="912">
                  <c:v>42516</c:v>
                </c:pt>
                <c:pt idx="913">
                  <c:v>42517</c:v>
                </c:pt>
                <c:pt idx="914">
                  <c:v>42520</c:v>
                </c:pt>
                <c:pt idx="915">
                  <c:v>42521</c:v>
                </c:pt>
                <c:pt idx="916">
                  <c:v>42522</c:v>
                </c:pt>
                <c:pt idx="917">
                  <c:v>42523</c:v>
                </c:pt>
                <c:pt idx="918">
                  <c:v>42524</c:v>
                </c:pt>
                <c:pt idx="919">
                  <c:v>42527</c:v>
                </c:pt>
                <c:pt idx="920">
                  <c:v>42528</c:v>
                </c:pt>
                <c:pt idx="921">
                  <c:v>42529</c:v>
                </c:pt>
                <c:pt idx="922">
                  <c:v>42530</c:v>
                </c:pt>
                <c:pt idx="923">
                  <c:v>42531</c:v>
                </c:pt>
                <c:pt idx="924">
                  <c:v>42534</c:v>
                </c:pt>
                <c:pt idx="925">
                  <c:v>42535</c:v>
                </c:pt>
                <c:pt idx="926">
                  <c:v>42536</c:v>
                </c:pt>
                <c:pt idx="927">
                  <c:v>42537</c:v>
                </c:pt>
                <c:pt idx="928">
                  <c:v>42538</c:v>
                </c:pt>
                <c:pt idx="929">
                  <c:v>42541</c:v>
                </c:pt>
                <c:pt idx="930">
                  <c:v>42542</c:v>
                </c:pt>
                <c:pt idx="931">
                  <c:v>42543</c:v>
                </c:pt>
                <c:pt idx="932">
                  <c:v>42544</c:v>
                </c:pt>
                <c:pt idx="933">
                  <c:v>42545</c:v>
                </c:pt>
                <c:pt idx="934">
                  <c:v>42548</c:v>
                </c:pt>
                <c:pt idx="935">
                  <c:v>42549</c:v>
                </c:pt>
                <c:pt idx="936">
                  <c:v>42550</c:v>
                </c:pt>
                <c:pt idx="937">
                  <c:v>42551</c:v>
                </c:pt>
                <c:pt idx="938">
                  <c:v>42552</c:v>
                </c:pt>
                <c:pt idx="939">
                  <c:v>42555</c:v>
                </c:pt>
                <c:pt idx="940">
                  <c:v>42556</c:v>
                </c:pt>
                <c:pt idx="941">
                  <c:v>42558</c:v>
                </c:pt>
                <c:pt idx="942">
                  <c:v>42559</c:v>
                </c:pt>
                <c:pt idx="943">
                  <c:v>42562</c:v>
                </c:pt>
                <c:pt idx="944">
                  <c:v>42563</c:v>
                </c:pt>
                <c:pt idx="945">
                  <c:v>42564</c:v>
                </c:pt>
                <c:pt idx="946">
                  <c:v>42565</c:v>
                </c:pt>
                <c:pt idx="947">
                  <c:v>42566</c:v>
                </c:pt>
                <c:pt idx="948">
                  <c:v>42569</c:v>
                </c:pt>
                <c:pt idx="949">
                  <c:v>42570</c:v>
                </c:pt>
                <c:pt idx="950">
                  <c:v>42571</c:v>
                </c:pt>
                <c:pt idx="951">
                  <c:v>42572</c:v>
                </c:pt>
                <c:pt idx="952">
                  <c:v>42573</c:v>
                </c:pt>
                <c:pt idx="953">
                  <c:v>42576</c:v>
                </c:pt>
                <c:pt idx="954">
                  <c:v>42577</c:v>
                </c:pt>
                <c:pt idx="955">
                  <c:v>42578</c:v>
                </c:pt>
                <c:pt idx="956">
                  <c:v>42579</c:v>
                </c:pt>
                <c:pt idx="957">
                  <c:v>42580</c:v>
                </c:pt>
                <c:pt idx="958">
                  <c:v>42583</c:v>
                </c:pt>
                <c:pt idx="959">
                  <c:v>42584</c:v>
                </c:pt>
                <c:pt idx="960">
                  <c:v>42585</c:v>
                </c:pt>
                <c:pt idx="961">
                  <c:v>42586</c:v>
                </c:pt>
                <c:pt idx="962">
                  <c:v>42587</c:v>
                </c:pt>
                <c:pt idx="963">
                  <c:v>42590</c:v>
                </c:pt>
                <c:pt idx="964">
                  <c:v>42591</c:v>
                </c:pt>
                <c:pt idx="965">
                  <c:v>42592</c:v>
                </c:pt>
                <c:pt idx="966">
                  <c:v>42593</c:v>
                </c:pt>
                <c:pt idx="967">
                  <c:v>42598</c:v>
                </c:pt>
                <c:pt idx="968">
                  <c:v>42599</c:v>
                </c:pt>
                <c:pt idx="969">
                  <c:v>42600</c:v>
                </c:pt>
                <c:pt idx="970">
                  <c:v>42601</c:v>
                </c:pt>
                <c:pt idx="971">
                  <c:v>42604</c:v>
                </c:pt>
                <c:pt idx="972">
                  <c:v>42605</c:v>
                </c:pt>
                <c:pt idx="973">
                  <c:v>42606</c:v>
                </c:pt>
                <c:pt idx="974">
                  <c:v>42607</c:v>
                </c:pt>
                <c:pt idx="975">
                  <c:v>42608</c:v>
                </c:pt>
                <c:pt idx="976">
                  <c:v>42611</c:v>
                </c:pt>
                <c:pt idx="977">
                  <c:v>42612</c:v>
                </c:pt>
                <c:pt idx="978">
                  <c:v>42613</c:v>
                </c:pt>
                <c:pt idx="979">
                  <c:v>42614</c:v>
                </c:pt>
                <c:pt idx="980">
                  <c:v>42615</c:v>
                </c:pt>
                <c:pt idx="981">
                  <c:v>42619</c:v>
                </c:pt>
                <c:pt idx="982">
                  <c:v>42620</c:v>
                </c:pt>
                <c:pt idx="983">
                  <c:v>42621</c:v>
                </c:pt>
                <c:pt idx="984">
                  <c:v>42622</c:v>
                </c:pt>
                <c:pt idx="985">
                  <c:v>42625</c:v>
                </c:pt>
                <c:pt idx="986">
                  <c:v>42627</c:v>
                </c:pt>
                <c:pt idx="987">
                  <c:v>42628</c:v>
                </c:pt>
                <c:pt idx="988">
                  <c:v>42629</c:v>
                </c:pt>
                <c:pt idx="989">
                  <c:v>42632</c:v>
                </c:pt>
                <c:pt idx="990">
                  <c:v>42633</c:v>
                </c:pt>
                <c:pt idx="991">
                  <c:v>42634</c:v>
                </c:pt>
                <c:pt idx="992">
                  <c:v>42635</c:v>
                </c:pt>
                <c:pt idx="993">
                  <c:v>42636</c:v>
                </c:pt>
                <c:pt idx="994">
                  <c:v>42639</c:v>
                </c:pt>
                <c:pt idx="995">
                  <c:v>42640</c:v>
                </c:pt>
                <c:pt idx="996">
                  <c:v>42641</c:v>
                </c:pt>
                <c:pt idx="997">
                  <c:v>42642</c:v>
                </c:pt>
                <c:pt idx="998">
                  <c:v>42643</c:v>
                </c:pt>
                <c:pt idx="999">
                  <c:v>42646</c:v>
                </c:pt>
                <c:pt idx="1000">
                  <c:v>42647</c:v>
                </c:pt>
                <c:pt idx="1001">
                  <c:v>42648</c:v>
                </c:pt>
                <c:pt idx="1002">
                  <c:v>42649</c:v>
                </c:pt>
                <c:pt idx="1003">
                  <c:v>42650</c:v>
                </c:pt>
                <c:pt idx="1004">
                  <c:v>42653</c:v>
                </c:pt>
                <c:pt idx="1005">
                  <c:v>42656</c:v>
                </c:pt>
                <c:pt idx="1006">
                  <c:v>42657</c:v>
                </c:pt>
                <c:pt idx="1007">
                  <c:v>42660</c:v>
                </c:pt>
                <c:pt idx="1008">
                  <c:v>42661</c:v>
                </c:pt>
                <c:pt idx="1009">
                  <c:v>42662</c:v>
                </c:pt>
                <c:pt idx="1010">
                  <c:v>42663</c:v>
                </c:pt>
                <c:pt idx="1011">
                  <c:v>42664</c:v>
                </c:pt>
                <c:pt idx="1012">
                  <c:v>42667</c:v>
                </c:pt>
                <c:pt idx="1013">
                  <c:v>42668</c:v>
                </c:pt>
                <c:pt idx="1014">
                  <c:v>42669</c:v>
                </c:pt>
                <c:pt idx="1015">
                  <c:v>42670</c:v>
                </c:pt>
                <c:pt idx="1016">
                  <c:v>42671</c:v>
                </c:pt>
                <c:pt idx="1017">
                  <c:v>42675</c:v>
                </c:pt>
                <c:pt idx="1018">
                  <c:v>42676</c:v>
                </c:pt>
                <c:pt idx="1019">
                  <c:v>42677</c:v>
                </c:pt>
                <c:pt idx="1020">
                  <c:v>42678</c:v>
                </c:pt>
                <c:pt idx="1021">
                  <c:v>42681</c:v>
                </c:pt>
                <c:pt idx="1022">
                  <c:v>42682</c:v>
                </c:pt>
                <c:pt idx="1023">
                  <c:v>42683</c:v>
                </c:pt>
                <c:pt idx="1024">
                  <c:v>42684</c:v>
                </c:pt>
                <c:pt idx="1025">
                  <c:v>42685</c:v>
                </c:pt>
                <c:pt idx="1026">
                  <c:v>42689</c:v>
                </c:pt>
                <c:pt idx="1027">
                  <c:v>42690</c:v>
                </c:pt>
                <c:pt idx="1028">
                  <c:v>42691</c:v>
                </c:pt>
                <c:pt idx="1029">
                  <c:v>42692</c:v>
                </c:pt>
                <c:pt idx="1030">
                  <c:v>42695</c:v>
                </c:pt>
                <c:pt idx="1031">
                  <c:v>42696</c:v>
                </c:pt>
                <c:pt idx="1032">
                  <c:v>42697</c:v>
                </c:pt>
                <c:pt idx="1033">
                  <c:v>42698</c:v>
                </c:pt>
                <c:pt idx="1034">
                  <c:v>42699</c:v>
                </c:pt>
                <c:pt idx="1035">
                  <c:v>42702</c:v>
                </c:pt>
                <c:pt idx="1036">
                  <c:v>42703</c:v>
                </c:pt>
                <c:pt idx="1037">
                  <c:v>42704</c:v>
                </c:pt>
                <c:pt idx="1038">
                  <c:v>42705</c:v>
                </c:pt>
                <c:pt idx="1039">
                  <c:v>42706</c:v>
                </c:pt>
                <c:pt idx="1040">
                  <c:v>42709</c:v>
                </c:pt>
                <c:pt idx="1041">
                  <c:v>42710</c:v>
                </c:pt>
                <c:pt idx="1042">
                  <c:v>42711</c:v>
                </c:pt>
                <c:pt idx="1043">
                  <c:v>42712</c:v>
                </c:pt>
                <c:pt idx="1044">
                  <c:v>42713</c:v>
                </c:pt>
                <c:pt idx="1045">
                  <c:v>42716</c:v>
                </c:pt>
                <c:pt idx="1046">
                  <c:v>42717</c:v>
                </c:pt>
                <c:pt idx="1047">
                  <c:v>42718</c:v>
                </c:pt>
                <c:pt idx="1048">
                  <c:v>42719</c:v>
                </c:pt>
                <c:pt idx="1049">
                  <c:v>42720</c:v>
                </c:pt>
                <c:pt idx="1050">
                  <c:v>42723</c:v>
                </c:pt>
                <c:pt idx="1051">
                  <c:v>42724</c:v>
                </c:pt>
                <c:pt idx="1052">
                  <c:v>42725</c:v>
                </c:pt>
                <c:pt idx="1053">
                  <c:v>42726</c:v>
                </c:pt>
                <c:pt idx="1054">
                  <c:v>42727</c:v>
                </c:pt>
                <c:pt idx="1055">
                  <c:v>42730</c:v>
                </c:pt>
                <c:pt idx="1056">
                  <c:v>42731</c:v>
                </c:pt>
                <c:pt idx="1057">
                  <c:v>42732</c:v>
                </c:pt>
                <c:pt idx="1058">
                  <c:v>42733</c:v>
                </c:pt>
                <c:pt idx="1059">
                  <c:v>42734</c:v>
                </c:pt>
                <c:pt idx="1060">
                  <c:v>42737</c:v>
                </c:pt>
                <c:pt idx="1061">
                  <c:v>42738</c:v>
                </c:pt>
                <c:pt idx="1062">
                  <c:v>42739</c:v>
                </c:pt>
                <c:pt idx="1063">
                  <c:v>42740</c:v>
                </c:pt>
                <c:pt idx="1064">
                  <c:v>42741</c:v>
                </c:pt>
                <c:pt idx="1065">
                  <c:v>42744</c:v>
                </c:pt>
                <c:pt idx="1066">
                  <c:v>42745</c:v>
                </c:pt>
                <c:pt idx="1067">
                  <c:v>42746</c:v>
                </c:pt>
                <c:pt idx="1068">
                  <c:v>42747</c:v>
                </c:pt>
                <c:pt idx="1069">
                  <c:v>42748</c:v>
                </c:pt>
                <c:pt idx="1070">
                  <c:v>42751</c:v>
                </c:pt>
                <c:pt idx="1071">
                  <c:v>42752</c:v>
                </c:pt>
                <c:pt idx="1072">
                  <c:v>42753</c:v>
                </c:pt>
                <c:pt idx="1073">
                  <c:v>42754</c:v>
                </c:pt>
                <c:pt idx="1074">
                  <c:v>42755</c:v>
                </c:pt>
                <c:pt idx="1075">
                  <c:v>42758</c:v>
                </c:pt>
                <c:pt idx="1076">
                  <c:v>42759</c:v>
                </c:pt>
                <c:pt idx="1077">
                  <c:v>42760</c:v>
                </c:pt>
                <c:pt idx="1078">
                  <c:v>42762</c:v>
                </c:pt>
                <c:pt idx="1079">
                  <c:v>42765</c:v>
                </c:pt>
                <c:pt idx="1080">
                  <c:v>42766</c:v>
                </c:pt>
                <c:pt idx="1081">
                  <c:v>42767</c:v>
                </c:pt>
                <c:pt idx="1082">
                  <c:v>42768</c:v>
                </c:pt>
                <c:pt idx="1083">
                  <c:v>42769</c:v>
                </c:pt>
                <c:pt idx="1084">
                  <c:v>42772</c:v>
                </c:pt>
                <c:pt idx="1085">
                  <c:v>42773</c:v>
                </c:pt>
                <c:pt idx="1086">
                  <c:v>42774</c:v>
                </c:pt>
                <c:pt idx="1087">
                  <c:v>42775</c:v>
                </c:pt>
                <c:pt idx="1088">
                  <c:v>42776</c:v>
                </c:pt>
                <c:pt idx="1089">
                  <c:v>42779</c:v>
                </c:pt>
              </c:numCache>
            </c:numRef>
          </c:cat>
          <c:val>
            <c:numRef>
              <c:f>BollingerBand_Nifty!$B$2:$B$1091</c:f>
              <c:numCache>
                <c:formatCode>General</c:formatCode>
                <c:ptCount val="1090"/>
                <c:pt idx="0">
                  <c:v>5610</c:v>
                </c:pt>
                <c:pt idx="1">
                  <c:v>5600.0498049999997</c:v>
                </c:pt>
                <c:pt idx="2">
                  <c:v>5600.0498049999997</c:v>
                </c:pt>
                <c:pt idx="3">
                  <c:v>5554.25</c:v>
                </c:pt>
                <c:pt idx="4">
                  <c:v>5691.1499020000001</c:v>
                </c:pt>
                <c:pt idx="5">
                  <c:v>5669.6000979999999</c:v>
                </c:pt>
                <c:pt idx="6">
                  <c:v>5673.8999020000001</c:v>
                </c:pt>
                <c:pt idx="7">
                  <c:v>5663.4501950000003</c:v>
                </c:pt>
                <c:pt idx="8">
                  <c:v>5649.5</c:v>
                </c:pt>
                <c:pt idx="9">
                  <c:v>5703.2998049999997</c:v>
                </c:pt>
                <c:pt idx="10">
                  <c:v>5718.7998049999997</c:v>
                </c:pt>
                <c:pt idx="11">
                  <c:v>5718.7998049999997</c:v>
                </c:pt>
                <c:pt idx="12">
                  <c:v>5731.25</c:v>
                </c:pt>
                <c:pt idx="13">
                  <c:v>5787.6000979999999</c:v>
                </c:pt>
                <c:pt idx="14">
                  <c:v>5746.9501950000003</c:v>
                </c:pt>
                <c:pt idx="15">
                  <c:v>5676</c:v>
                </c:pt>
                <c:pt idx="16">
                  <c:v>5704.6000979999999</c:v>
                </c:pt>
                <c:pt idx="17">
                  <c:v>5652.1499020000001</c:v>
                </c:pt>
                <c:pt idx="18">
                  <c:v>5708.0498049999997</c:v>
                </c:pt>
                <c:pt idx="19">
                  <c:v>5676.0498049999997</c:v>
                </c:pt>
                <c:pt idx="20">
                  <c:v>5687.25</c:v>
                </c:pt>
                <c:pt idx="21">
                  <c:v>5648</c:v>
                </c:pt>
                <c:pt idx="22">
                  <c:v>5660.25</c:v>
                </c:pt>
                <c:pt idx="23">
                  <c:v>5718.7001950000003</c:v>
                </c:pt>
                <c:pt idx="24">
                  <c:v>5684.25</c:v>
                </c:pt>
                <c:pt idx="25">
                  <c:v>5717.1499020000001</c:v>
                </c:pt>
                <c:pt idx="26">
                  <c:v>5691.3999020000001</c:v>
                </c:pt>
                <c:pt idx="27">
                  <c:v>5691.3999020000001</c:v>
                </c:pt>
                <c:pt idx="28">
                  <c:v>5705.2998049999997</c:v>
                </c:pt>
                <c:pt idx="29">
                  <c:v>5664.2998049999997</c:v>
                </c:pt>
                <c:pt idx="30">
                  <c:v>5665.6000979999999</c:v>
                </c:pt>
                <c:pt idx="31">
                  <c:v>5597.8999020000001</c:v>
                </c:pt>
                <c:pt idx="32">
                  <c:v>5619.7001950000003</c:v>
                </c:pt>
                <c:pt idx="33">
                  <c:v>5645.0498049999997</c:v>
                </c:pt>
                <c:pt idx="34">
                  <c:v>5697.7001950000003</c:v>
                </c:pt>
                <c:pt idx="35">
                  <c:v>5704.2001950000003</c:v>
                </c:pt>
                <c:pt idx="36">
                  <c:v>5724.3999020000001</c:v>
                </c:pt>
                <c:pt idx="37">
                  <c:v>5760.1000979999999</c:v>
                </c:pt>
                <c:pt idx="38">
                  <c:v>5738.75</c:v>
                </c:pt>
                <c:pt idx="39">
                  <c:v>5686.25</c:v>
                </c:pt>
                <c:pt idx="40">
                  <c:v>5683.7001950000003</c:v>
                </c:pt>
                <c:pt idx="41">
                  <c:v>5666.9501950000003</c:v>
                </c:pt>
                <c:pt idx="42">
                  <c:v>5666.9501950000003</c:v>
                </c:pt>
                <c:pt idx="43">
                  <c:v>5631</c:v>
                </c:pt>
                <c:pt idx="44">
                  <c:v>5574.0498049999997</c:v>
                </c:pt>
                <c:pt idx="45">
                  <c:v>5571.3999020000001</c:v>
                </c:pt>
                <c:pt idx="46">
                  <c:v>5571.5498049999997</c:v>
                </c:pt>
                <c:pt idx="47">
                  <c:v>5614.7998049999997</c:v>
                </c:pt>
                <c:pt idx="48">
                  <c:v>5627.75</c:v>
                </c:pt>
                <c:pt idx="49">
                  <c:v>5626.6000979999999</c:v>
                </c:pt>
                <c:pt idx="50">
                  <c:v>5635.8999020000001</c:v>
                </c:pt>
                <c:pt idx="51">
                  <c:v>5727.4501950000003</c:v>
                </c:pt>
                <c:pt idx="52">
                  <c:v>5727.4501950000003</c:v>
                </c:pt>
                <c:pt idx="53">
                  <c:v>5825</c:v>
                </c:pt>
                <c:pt idx="54">
                  <c:v>5879.8500979999999</c:v>
                </c:pt>
                <c:pt idx="55">
                  <c:v>5870.9501950000003</c:v>
                </c:pt>
                <c:pt idx="56">
                  <c:v>5889.25</c:v>
                </c:pt>
                <c:pt idx="57">
                  <c:v>5900.5</c:v>
                </c:pt>
                <c:pt idx="58">
                  <c:v>5930.8999020000001</c:v>
                </c:pt>
                <c:pt idx="59">
                  <c:v>5907.3999020000001</c:v>
                </c:pt>
                <c:pt idx="60">
                  <c:v>5908.8999020000001</c:v>
                </c:pt>
                <c:pt idx="61">
                  <c:v>5898.7998049999997</c:v>
                </c:pt>
                <c:pt idx="62">
                  <c:v>5888</c:v>
                </c:pt>
                <c:pt idx="63">
                  <c:v>5851.5</c:v>
                </c:pt>
                <c:pt idx="64">
                  <c:v>5879.6000979999999</c:v>
                </c:pt>
                <c:pt idx="65">
                  <c:v>5857.8999020000001</c:v>
                </c:pt>
                <c:pt idx="66">
                  <c:v>5896.7998049999997</c:v>
                </c:pt>
                <c:pt idx="67">
                  <c:v>5929.6000979999999</c:v>
                </c:pt>
                <c:pt idx="68">
                  <c:v>5916.3999020000001</c:v>
                </c:pt>
                <c:pt idx="69">
                  <c:v>5847.7001950000003</c:v>
                </c:pt>
                <c:pt idx="70">
                  <c:v>5855.75</c:v>
                </c:pt>
                <c:pt idx="71">
                  <c:v>5905.6000979999999</c:v>
                </c:pt>
                <c:pt idx="72">
                  <c:v>5870.1000979999999</c:v>
                </c:pt>
                <c:pt idx="73">
                  <c:v>5908.3500979999999</c:v>
                </c:pt>
                <c:pt idx="74">
                  <c:v>5905.1000979999999</c:v>
                </c:pt>
                <c:pt idx="75">
                  <c:v>5993.25</c:v>
                </c:pt>
                <c:pt idx="76">
                  <c:v>6009.5</c:v>
                </c:pt>
                <c:pt idx="77">
                  <c:v>6016.1499020000001</c:v>
                </c:pt>
                <c:pt idx="78">
                  <c:v>5988.3999020000001</c:v>
                </c:pt>
                <c:pt idx="79">
                  <c:v>6001.7001950000003</c:v>
                </c:pt>
                <c:pt idx="80">
                  <c:v>5971.5</c:v>
                </c:pt>
                <c:pt idx="81">
                  <c:v>5968.6499020000001</c:v>
                </c:pt>
                <c:pt idx="82">
                  <c:v>5951.2998049999997</c:v>
                </c:pt>
                <c:pt idx="83">
                  <c:v>6024.0498049999997</c:v>
                </c:pt>
                <c:pt idx="84">
                  <c:v>6056.6000979999999</c:v>
                </c:pt>
                <c:pt idx="85">
                  <c:v>6001.8500979999999</c:v>
                </c:pt>
                <c:pt idx="86">
                  <c:v>6039.2001950000003</c:v>
                </c:pt>
                <c:pt idx="87">
                  <c:v>6064.3999020000001</c:v>
                </c:pt>
                <c:pt idx="88">
                  <c:v>6082.2998049999997</c:v>
                </c:pt>
                <c:pt idx="89">
                  <c:v>6048.5</c:v>
                </c:pt>
                <c:pt idx="90">
                  <c:v>6054.2998049999997</c:v>
                </c:pt>
                <c:pt idx="91">
                  <c:v>6019.3500979999999</c:v>
                </c:pt>
                <c:pt idx="92">
                  <c:v>6074.6499020000001</c:v>
                </c:pt>
                <c:pt idx="93">
                  <c:v>6074.7998049999997</c:v>
                </c:pt>
                <c:pt idx="94">
                  <c:v>6049.8999020000001</c:v>
                </c:pt>
                <c:pt idx="95">
                  <c:v>6055.75</c:v>
                </c:pt>
                <c:pt idx="96">
                  <c:v>6034.75</c:v>
                </c:pt>
                <c:pt idx="97">
                  <c:v>5998.8999020000001</c:v>
                </c:pt>
                <c:pt idx="98">
                  <c:v>5987.25</c:v>
                </c:pt>
                <c:pt idx="99">
                  <c:v>5956.8999020000001</c:v>
                </c:pt>
                <c:pt idx="100">
                  <c:v>5959.2001950000003</c:v>
                </c:pt>
                <c:pt idx="101">
                  <c:v>5938.7998049999997</c:v>
                </c:pt>
                <c:pt idx="102">
                  <c:v>5903.5</c:v>
                </c:pt>
                <c:pt idx="103">
                  <c:v>5897.8500979999999</c:v>
                </c:pt>
                <c:pt idx="104">
                  <c:v>5922.5</c:v>
                </c:pt>
                <c:pt idx="105">
                  <c:v>5932.9501950000003</c:v>
                </c:pt>
                <c:pt idx="106">
                  <c:v>5896.9501950000003</c:v>
                </c:pt>
                <c:pt idx="107">
                  <c:v>5887.3999020000001</c:v>
                </c:pt>
                <c:pt idx="108">
                  <c:v>5898.2001950000003</c:v>
                </c:pt>
                <c:pt idx="109">
                  <c:v>5939.7001950000003</c:v>
                </c:pt>
                <c:pt idx="110">
                  <c:v>5943.0498049999997</c:v>
                </c:pt>
                <c:pt idx="111">
                  <c:v>5852.25</c:v>
                </c:pt>
                <c:pt idx="112">
                  <c:v>5850.2998049999997</c:v>
                </c:pt>
                <c:pt idx="113">
                  <c:v>5854.75</c:v>
                </c:pt>
                <c:pt idx="114">
                  <c:v>5761.3500979999999</c:v>
                </c:pt>
                <c:pt idx="115">
                  <c:v>5796.8999020000001</c:v>
                </c:pt>
                <c:pt idx="116">
                  <c:v>5693.0498049999997</c:v>
                </c:pt>
                <c:pt idx="117">
                  <c:v>5719.7001950000003</c:v>
                </c:pt>
                <c:pt idx="118">
                  <c:v>5719.7001950000003</c:v>
                </c:pt>
                <c:pt idx="119">
                  <c:v>5719.7001950000003</c:v>
                </c:pt>
                <c:pt idx="120">
                  <c:v>5719.7001950000003</c:v>
                </c:pt>
                <c:pt idx="121">
                  <c:v>5719.7001950000003</c:v>
                </c:pt>
                <c:pt idx="122">
                  <c:v>5719.7001950000003</c:v>
                </c:pt>
                <c:pt idx="123">
                  <c:v>5942.3500979999999</c:v>
                </c:pt>
                <c:pt idx="124">
                  <c:v>5914.1000979999999</c:v>
                </c:pt>
                <c:pt idx="125">
                  <c:v>5851.2001950000003</c:v>
                </c:pt>
                <c:pt idx="126">
                  <c:v>5908.9501950000003</c:v>
                </c:pt>
                <c:pt idx="127">
                  <c:v>5872.6000979999999</c:v>
                </c:pt>
                <c:pt idx="128">
                  <c:v>5835.25</c:v>
                </c:pt>
                <c:pt idx="129">
                  <c:v>5745.9501950000003</c:v>
                </c:pt>
                <c:pt idx="130">
                  <c:v>5694.3999020000001</c:v>
                </c:pt>
                <c:pt idx="131">
                  <c:v>5658.75</c:v>
                </c:pt>
                <c:pt idx="132">
                  <c:v>5651.3500979999999</c:v>
                </c:pt>
                <c:pt idx="133">
                  <c:v>5633.8500979999999</c:v>
                </c:pt>
                <c:pt idx="134">
                  <c:v>5641.6000979999999</c:v>
                </c:pt>
                <c:pt idx="135">
                  <c:v>5641.6000979999999</c:v>
                </c:pt>
                <c:pt idx="136">
                  <c:v>5682.5498049999997</c:v>
                </c:pt>
                <c:pt idx="137">
                  <c:v>5704.3999020000001</c:v>
                </c:pt>
                <c:pt idx="138">
                  <c:v>5748.1000979999999</c:v>
                </c:pt>
                <c:pt idx="139">
                  <c:v>5672.8999020000001</c:v>
                </c:pt>
                <c:pt idx="140">
                  <c:v>5574.75</c:v>
                </c:pt>
                <c:pt idx="141">
                  <c:v>5553.25</c:v>
                </c:pt>
                <c:pt idx="142">
                  <c:v>5542.9501950000003</c:v>
                </c:pt>
                <c:pt idx="143">
                  <c:v>5495.1000979999999</c:v>
                </c:pt>
                <c:pt idx="144">
                  <c:v>5558.7001950000003</c:v>
                </c:pt>
                <c:pt idx="145">
                  <c:v>5594</c:v>
                </c:pt>
                <c:pt idx="146">
                  <c:v>5528.5498049999997</c:v>
                </c:pt>
                <c:pt idx="147">
                  <c:v>5568.3999020000001</c:v>
                </c:pt>
                <c:pt idx="148">
                  <c:v>5688.9501950000003</c:v>
                </c:pt>
                <c:pt idx="149">
                  <c:v>5688.7001950000003</c:v>
                </c:pt>
                <c:pt idx="150">
                  <c:v>5783.1000979999999</c:v>
                </c:pt>
                <c:pt idx="151">
                  <c:v>5783.1000979999999</c:v>
                </c:pt>
                <c:pt idx="152">
                  <c:v>5834.3999020000001</c:v>
                </c:pt>
                <c:pt idx="153">
                  <c:v>5836.8999020000001</c:v>
                </c:pt>
                <c:pt idx="154">
                  <c:v>5836.8999020000001</c:v>
                </c:pt>
                <c:pt idx="155">
                  <c:v>5916.2998049999997</c:v>
                </c:pt>
                <c:pt idx="156">
                  <c:v>5871.4501950000003</c:v>
                </c:pt>
                <c:pt idx="157">
                  <c:v>5904.1000979999999</c:v>
                </c:pt>
                <c:pt idx="158">
                  <c:v>5930.2001950000003</c:v>
                </c:pt>
                <c:pt idx="159">
                  <c:v>5930.2001950000003</c:v>
                </c:pt>
                <c:pt idx="160">
                  <c:v>5999.3500979999999</c:v>
                </c:pt>
                <c:pt idx="161">
                  <c:v>5944</c:v>
                </c:pt>
                <c:pt idx="162">
                  <c:v>5971.0498049999997</c:v>
                </c:pt>
                <c:pt idx="163">
                  <c:v>6043.5498049999997</c:v>
                </c:pt>
                <c:pt idx="164">
                  <c:v>6069.2998049999997</c:v>
                </c:pt>
                <c:pt idx="165">
                  <c:v>6050.1499020000001</c:v>
                </c:pt>
                <c:pt idx="166">
                  <c:v>6094.75</c:v>
                </c:pt>
                <c:pt idx="167">
                  <c:v>5980.4501950000003</c:v>
                </c:pt>
                <c:pt idx="168">
                  <c:v>5995.3999020000001</c:v>
                </c:pt>
                <c:pt idx="169">
                  <c:v>6146.75</c:v>
                </c:pt>
                <c:pt idx="170">
                  <c:v>6169.8999020000001</c:v>
                </c:pt>
                <c:pt idx="171">
                  <c:v>6187.2998049999997</c:v>
                </c:pt>
                <c:pt idx="172">
                  <c:v>6156.8999020000001</c:v>
                </c:pt>
                <c:pt idx="173">
                  <c:v>6114.1000979999999</c:v>
                </c:pt>
                <c:pt idx="174">
                  <c:v>6094.5</c:v>
                </c:pt>
                <c:pt idx="175">
                  <c:v>5967.0498049999997</c:v>
                </c:pt>
                <c:pt idx="176">
                  <c:v>5983.5498049999997</c:v>
                </c:pt>
                <c:pt idx="177">
                  <c:v>6083.1499020000001</c:v>
                </c:pt>
                <c:pt idx="178">
                  <c:v>6111.25</c:v>
                </c:pt>
                <c:pt idx="179">
                  <c:v>6104.2998049999997</c:v>
                </c:pt>
                <c:pt idx="180">
                  <c:v>6124.0498049999997</c:v>
                </c:pt>
                <c:pt idx="181">
                  <c:v>5985.9501950000003</c:v>
                </c:pt>
                <c:pt idx="182">
                  <c:v>5939.2998049999997</c:v>
                </c:pt>
                <c:pt idx="183">
                  <c:v>5919.4501950000003</c:v>
                </c:pt>
                <c:pt idx="184">
                  <c:v>5923.8500979999999</c:v>
                </c:pt>
                <c:pt idx="185">
                  <c:v>5921.3999020000001</c:v>
                </c:pt>
                <c:pt idx="186">
                  <c:v>5881</c:v>
                </c:pt>
                <c:pt idx="187">
                  <c:v>5878</c:v>
                </c:pt>
                <c:pt idx="188">
                  <c:v>5788.7998049999997</c:v>
                </c:pt>
                <c:pt idx="189">
                  <c:v>5760.2001950000003</c:v>
                </c:pt>
                <c:pt idx="190">
                  <c:v>5699.1000979999999</c:v>
                </c:pt>
                <c:pt idx="191">
                  <c:v>5808.3999020000001</c:v>
                </c:pt>
                <c:pt idx="192">
                  <c:v>5850.0498049999997</c:v>
                </c:pt>
                <c:pt idx="193">
                  <c:v>5813.6000979999999</c:v>
                </c:pt>
                <c:pt idx="194">
                  <c:v>5822.25</c:v>
                </c:pt>
                <c:pt idx="195">
                  <c:v>5655.8999020000001</c:v>
                </c:pt>
                <c:pt idx="196">
                  <c:v>5667.6499020000001</c:v>
                </c:pt>
                <c:pt idx="197">
                  <c:v>5590.25</c:v>
                </c:pt>
                <c:pt idx="198">
                  <c:v>5609.1000979999999</c:v>
                </c:pt>
                <c:pt idx="199">
                  <c:v>5588.7001950000003</c:v>
                </c:pt>
                <c:pt idx="200">
                  <c:v>5682.3500979999999</c:v>
                </c:pt>
                <c:pt idx="201">
                  <c:v>5842.2001950000003</c:v>
                </c:pt>
                <c:pt idx="202">
                  <c:v>5898.8500979999999</c:v>
                </c:pt>
                <c:pt idx="203">
                  <c:v>5857.5498049999997</c:v>
                </c:pt>
                <c:pt idx="204">
                  <c:v>5770.8999020000001</c:v>
                </c:pt>
                <c:pt idx="205">
                  <c:v>5836.9501950000003</c:v>
                </c:pt>
                <c:pt idx="206">
                  <c:v>5867.8999020000001</c:v>
                </c:pt>
                <c:pt idx="207">
                  <c:v>5811.5498049999997</c:v>
                </c:pt>
                <c:pt idx="208">
                  <c:v>5859</c:v>
                </c:pt>
                <c:pt idx="209">
                  <c:v>5816.7001950000003</c:v>
                </c:pt>
                <c:pt idx="210">
                  <c:v>5935.1000979999999</c:v>
                </c:pt>
                <c:pt idx="211">
                  <c:v>6009</c:v>
                </c:pt>
                <c:pt idx="212">
                  <c:v>6030.7998049999997</c:v>
                </c:pt>
                <c:pt idx="213">
                  <c:v>5955.25</c:v>
                </c:pt>
                <c:pt idx="214">
                  <c:v>5973.2998049999997</c:v>
                </c:pt>
                <c:pt idx="215">
                  <c:v>6038.0498049999997</c:v>
                </c:pt>
                <c:pt idx="216">
                  <c:v>6029.2001950000003</c:v>
                </c:pt>
                <c:pt idx="217">
                  <c:v>6031.7998049999997</c:v>
                </c:pt>
                <c:pt idx="218">
                  <c:v>6077.7998049999997</c:v>
                </c:pt>
                <c:pt idx="219">
                  <c:v>5990.5</c:v>
                </c:pt>
                <c:pt idx="220">
                  <c:v>5907.5</c:v>
                </c:pt>
                <c:pt idx="221">
                  <c:v>5886.2001950000003</c:v>
                </c:pt>
                <c:pt idx="222">
                  <c:v>5831.6499020000001</c:v>
                </c:pt>
                <c:pt idx="223">
                  <c:v>5755.0498049999997</c:v>
                </c:pt>
                <c:pt idx="224">
                  <c:v>5742</c:v>
                </c:pt>
                <c:pt idx="225">
                  <c:v>5727.8500979999999</c:v>
                </c:pt>
                <c:pt idx="226">
                  <c:v>5677.8999020000001</c:v>
                </c:pt>
                <c:pt idx="227">
                  <c:v>5685.3999020000001</c:v>
                </c:pt>
                <c:pt idx="228">
                  <c:v>5542.25</c:v>
                </c:pt>
                <c:pt idx="229">
                  <c:v>5519.1000979999999</c:v>
                </c:pt>
                <c:pt idx="230">
                  <c:v>5565.6499020000001</c:v>
                </c:pt>
                <c:pt idx="231">
                  <c:v>5565.6499020000001</c:v>
                </c:pt>
                <c:pt idx="232">
                  <c:v>5612.3999020000001</c:v>
                </c:pt>
                <c:pt idx="233">
                  <c:v>5699.2998049999997</c:v>
                </c:pt>
                <c:pt idx="234">
                  <c:v>5742.2998049999997</c:v>
                </c:pt>
                <c:pt idx="235">
                  <c:v>5742.2998049999997</c:v>
                </c:pt>
                <c:pt idx="236">
                  <c:v>5507.8500979999999</c:v>
                </c:pt>
                <c:pt idx="237">
                  <c:v>5414.75</c:v>
                </c:pt>
                <c:pt idx="238">
                  <c:v>5401.4501950000003</c:v>
                </c:pt>
                <c:pt idx="239">
                  <c:v>5302.5498049999997</c:v>
                </c:pt>
                <c:pt idx="240">
                  <c:v>5408.4501950000003</c:v>
                </c:pt>
                <c:pt idx="241">
                  <c:v>5471.75</c:v>
                </c:pt>
                <c:pt idx="242">
                  <c:v>5476.5</c:v>
                </c:pt>
                <c:pt idx="243">
                  <c:v>5287.4501950000003</c:v>
                </c:pt>
                <c:pt idx="244">
                  <c:v>5285</c:v>
                </c:pt>
                <c:pt idx="245">
                  <c:v>5409.0498049999997</c:v>
                </c:pt>
                <c:pt idx="246">
                  <c:v>5471.7998049999997</c:v>
                </c:pt>
                <c:pt idx="247">
                  <c:v>5550.75</c:v>
                </c:pt>
                <c:pt idx="248">
                  <c:v>5341.4501950000003</c:v>
                </c:pt>
                <c:pt idx="249">
                  <c:v>5448.1000979999999</c:v>
                </c:pt>
                <c:pt idx="250">
                  <c:v>5592.9501950000003</c:v>
                </c:pt>
                <c:pt idx="251">
                  <c:v>5680.3999020000001</c:v>
                </c:pt>
                <c:pt idx="252">
                  <c:v>5680.3999020000001</c:v>
                </c:pt>
                <c:pt idx="253">
                  <c:v>5896.75</c:v>
                </c:pt>
                <c:pt idx="254">
                  <c:v>5913.1499020000001</c:v>
                </c:pt>
                <c:pt idx="255">
                  <c:v>5850.7001950000003</c:v>
                </c:pt>
                <c:pt idx="256">
                  <c:v>5850.6000979999999</c:v>
                </c:pt>
                <c:pt idx="257">
                  <c:v>5840.5498049999997</c:v>
                </c:pt>
                <c:pt idx="258">
                  <c:v>5850.2001950000003</c:v>
                </c:pt>
                <c:pt idx="259">
                  <c:v>5899.4501950000003</c:v>
                </c:pt>
                <c:pt idx="260">
                  <c:v>6115.5498049999997</c:v>
                </c:pt>
                <c:pt idx="261">
                  <c:v>6012.1000979999999</c:v>
                </c:pt>
                <c:pt idx="262">
                  <c:v>5889.75</c:v>
                </c:pt>
                <c:pt idx="263">
                  <c:v>5892.4501950000003</c:v>
                </c:pt>
                <c:pt idx="264">
                  <c:v>5873.8500979999999</c:v>
                </c:pt>
                <c:pt idx="265">
                  <c:v>5882.25</c:v>
                </c:pt>
                <c:pt idx="266">
                  <c:v>5833.2001950000003</c:v>
                </c:pt>
                <c:pt idx="267">
                  <c:v>5735.2998049999997</c:v>
                </c:pt>
                <c:pt idx="268">
                  <c:v>5780.0498049999997</c:v>
                </c:pt>
                <c:pt idx="269">
                  <c:v>5909.7001950000003</c:v>
                </c:pt>
                <c:pt idx="270">
                  <c:v>5907.2998049999997</c:v>
                </c:pt>
                <c:pt idx="271">
                  <c:v>5906.1499020000001</c:v>
                </c:pt>
                <c:pt idx="272">
                  <c:v>5928.3999020000001</c:v>
                </c:pt>
                <c:pt idx="273">
                  <c:v>6007.4501950000003</c:v>
                </c:pt>
                <c:pt idx="274">
                  <c:v>6020.9501950000003</c:v>
                </c:pt>
                <c:pt idx="275">
                  <c:v>6096.2001950000003</c:v>
                </c:pt>
                <c:pt idx="276">
                  <c:v>6112.7001950000003</c:v>
                </c:pt>
                <c:pt idx="277">
                  <c:v>6089.0498049999997</c:v>
                </c:pt>
                <c:pt idx="278">
                  <c:v>6045.8500979999999</c:v>
                </c:pt>
                <c:pt idx="279">
                  <c:v>6189.3500979999999</c:v>
                </c:pt>
                <c:pt idx="280">
                  <c:v>6204.9501950000003</c:v>
                </c:pt>
                <c:pt idx="281">
                  <c:v>6202.7998049999997</c:v>
                </c:pt>
                <c:pt idx="282">
                  <c:v>6178.3500979999999</c:v>
                </c:pt>
                <c:pt idx="283">
                  <c:v>6164.3500979999999</c:v>
                </c:pt>
                <c:pt idx="284">
                  <c:v>6144.8999020000001</c:v>
                </c:pt>
                <c:pt idx="285">
                  <c:v>6101.1000979999999</c:v>
                </c:pt>
                <c:pt idx="286">
                  <c:v>6220.8999020000001</c:v>
                </c:pt>
                <c:pt idx="287">
                  <c:v>6251.7001950000003</c:v>
                </c:pt>
                <c:pt idx="288">
                  <c:v>6299.1499020000001</c:v>
                </c:pt>
                <c:pt idx="289">
                  <c:v>6307.2001950000003</c:v>
                </c:pt>
                <c:pt idx="290">
                  <c:v>6253.1499020000001</c:v>
                </c:pt>
                <c:pt idx="291">
                  <c:v>6215.1499020000001</c:v>
                </c:pt>
                <c:pt idx="292">
                  <c:v>6187.25</c:v>
                </c:pt>
                <c:pt idx="293">
                  <c:v>6140.75</c:v>
                </c:pt>
                <c:pt idx="294">
                  <c:v>6078.7998049999997</c:v>
                </c:pt>
                <c:pt idx="295">
                  <c:v>6018.0498049999997</c:v>
                </c:pt>
                <c:pt idx="296">
                  <c:v>5989.6000979999999</c:v>
                </c:pt>
                <c:pt idx="297">
                  <c:v>6056.1499020000001</c:v>
                </c:pt>
                <c:pt idx="298">
                  <c:v>6189</c:v>
                </c:pt>
                <c:pt idx="299">
                  <c:v>6203.3500979999999</c:v>
                </c:pt>
                <c:pt idx="300">
                  <c:v>6122.8999020000001</c:v>
                </c:pt>
                <c:pt idx="301">
                  <c:v>5999.0498049999997</c:v>
                </c:pt>
                <c:pt idx="302">
                  <c:v>5995.4501950000003</c:v>
                </c:pt>
                <c:pt idx="303">
                  <c:v>6115.3500979999999</c:v>
                </c:pt>
                <c:pt idx="304">
                  <c:v>6059.1000979999999</c:v>
                </c:pt>
                <c:pt idx="305">
                  <c:v>6057.1000979999999</c:v>
                </c:pt>
                <c:pt idx="306">
                  <c:v>6091.8500979999999</c:v>
                </c:pt>
                <c:pt idx="307">
                  <c:v>6176.1000979999999</c:v>
                </c:pt>
                <c:pt idx="308">
                  <c:v>6217.8500979999999</c:v>
                </c:pt>
                <c:pt idx="309">
                  <c:v>6201.8500979999999</c:v>
                </c:pt>
                <c:pt idx="310">
                  <c:v>6160.9501950000003</c:v>
                </c:pt>
                <c:pt idx="311">
                  <c:v>6241.1000979999999</c:v>
                </c:pt>
                <c:pt idx="312">
                  <c:v>6259.8999020000001</c:v>
                </c:pt>
                <c:pt idx="313">
                  <c:v>6363.8999020000001</c:v>
                </c:pt>
                <c:pt idx="314">
                  <c:v>6332.8500979999999</c:v>
                </c:pt>
                <c:pt idx="315">
                  <c:v>6307.8999020000001</c:v>
                </c:pt>
                <c:pt idx="316">
                  <c:v>6237.0498049999997</c:v>
                </c:pt>
                <c:pt idx="317">
                  <c:v>6168.3999020000001</c:v>
                </c:pt>
                <c:pt idx="318">
                  <c:v>6154.7001950000003</c:v>
                </c:pt>
                <c:pt idx="319">
                  <c:v>6139.0498049999997</c:v>
                </c:pt>
                <c:pt idx="320">
                  <c:v>6217.1499020000001</c:v>
                </c:pt>
                <c:pt idx="321">
                  <c:v>6166.6499020000001</c:v>
                </c:pt>
                <c:pt idx="322">
                  <c:v>6274.25</c:v>
                </c:pt>
                <c:pt idx="323">
                  <c:v>6284.5</c:v>
                </c:pt>
                <c:pt idx="324">
                  <c:v>6268.3999020000001</c:v>
                </c:pt>
                <c:pt idx="325">
                  <c:v>6278.8999020000001</c:v>
                </c:pt>
                <c:pt idx="326">
                  <c:v>6313.7998049999997</c:v>
                </c:pt>
                <c:pt idx="327">
                  <c:v>6291.1000979999999</c:v>
                </c:pt>
                <c:pt idx="328">
                  <c:v>6304</c:v>
                </c:pt>
                <c:pt idx="329">
                  <c:v>6221.1499020000001</c:v>
                </c:pt>
                <c:pt idx="330">
                  <c:v>6211.1499020000001</c:v>
                </c:pt>
                <c:pt idx="331">
                  <c:v>6191.4501950000003</c:v>
                </c:pt>
                <c:pt idx="332">
                  <c:v>6162.25</c:v>
                </c:pt>
                <c:pt idx="333">
                  <c:v>6174.6000979999999</c:v>
                </c:pt>
                <c:pt idx="334">
                  <c:v>6168.3500979999999</c:v>
                </c:pt>
                <c:pt idx="335">
                  <c:v>6171.4501950000003</c:v>
                </c:pt>
                <c:pt idx="336">
                  <c:v>6272.75</c:v>
                </c:pt>
                <c:pt idx="337">
                  <c:v>6241.8500979999999</c:v>
                </c:pt>
                <c:pt idx="338">
                  <c:v>6320.8999020000001</c:v>
                </c:pt>
                <c:pt idx="339">
                  <c:v>6318.8999020000001</c:v>
                </c:pt>
                <c:pt idx="340">
                  <c:v>6261.6499020000001</c:v>
                </c:pt>
                <c:pt idx="341">
                  <c:v>6303.9501950000003</c:v>
                </c:pt>
                <c:pt idx="342">
                  <c:v>6313.7998049999997</c:v>
                </c:pt>
                <c:pt idx="343">
                  <c:v>6338.9501950000003</c:v>
                </c:pt>
                <c:pt idx="344">
                  <c:v>6345.6499020000001</c:v>
                </c:pt>
                <c:pt idx="345">
                  <c:v>6266.75</c:v>
                </c:pt>
                <c:pt idx="346">
                  <c:v>6135.8500979999999</c:v>
                </c:pt>
                <c:pt idx="347">
                  <c:v>6126.25</c:v>
                </c:pt>
                <c:pt idx="348">
                  <c:v>6120.25</c:v>
                </c:pt>
                <c:pt idx="349">
                  <c:v>6073.7001950000003</c:v>
                </c:pt>
                <c:pt idx="350">
                  <c:v>6089.5</c:v>
                </c:pt>
                <c:pt idx="351">
                  <c:v>6001.7998049999997</c:v>
                </c:pt>
                <c:pt idx="352">
                  <c:v>6000.8999020000001</c:v>
                </c:pt>
                <c:pt idx="353">
                  <c:v>6022.3999020000001</c:v>
                </c:pt>
                <c:pt idx="354">
                  <c:v>6036.2998049999997</c:v>
                </c:pt>
                <c:pt idx="355">
                  <c:v>6063.2001950000003</c:v>
                </c:pt>
                <c:pt idx="356">
                  <c:v>6053.4501950000003</c:v>
                </c:pt>
                <c:pt idx="357">
                  <c:v>6062.7001950000003</c:v>
                </c:pt>
                <c:pt idx="358">
                  <c:v>6084</c:v>
                </c:pt>
                <c:pt idx="359">
                  <c:v>6001.1000979999999</c:v>
                </c:pt>
                <c:pt idx="360">
                  <c:v>6048.3500979999999</c:v>
                </c:pt>
                <c:pt idx="361">
                  <c:v>6073.2998049999997</c:v>
                </c:pt>
                <c:pt idx="362">
                  <c:v>6127.1000979999999</c:v>
                </c:pt>
                <c:pt idx="363">
                  <c:v>6152.75</c:v>
                </c:pt>
                <c:pt idx="364">
                  <c:v>6091.4501950000003</c:v>
                </c:pt>
                <c:pt idx="365">
                  <c:v>6155.4501950000003</c:v>
                </c:pt>
                <c:pt idx="366">
                  <c:v>6186.1000979999999</c:v>
                </c:pt>
                <c:pt idx="367">
                  <c:v>6200.0498049999997</c:v>
                </c:pt>
                <c:pt idx="368">
                  <c:v>6238.7998049999997</c:v>
                </c:pt>
                <c:pt idx="369">
                  <c:v>6276.9501950000003</c:v>
                </c:pt>
                <c:pt idx="370">
                  <c:v>6221.4501950000003</c:v>
                </c:pt>
                <c:pt idx="371">
                  <c:v>6297.9501950000003</c:v>
                </c:pt>
                <c:pt idx="372">
                  <c:v>6328.6499020000001</c:v>
                </c:pt>
                <c:pt idx="373">
                  <c:v>6401.1499020000001</c:v>
                </c:pt>
                <c:pt idx="374">
                  <c:v>6526.6499020000001</c:v>
                </c:pt>
                <c:pt idx="375">
                  <c:v>6537.25</c:v>
                </c:pt>
                <c:pt idx="376">
                  <c:v>6511.8999020000001</c:v>
                </c:pt>
                <c:pt idx="377">
                  <c:v>6516.8999020000001</c:v>
                </c:pt>
                <c:pt idx="378">
                  <c:v>6493.1000979999999</c:v>
                </c:pt>
                <c:pt idx="379">
                  <c:v>6504.2001950000003</c:v>
                </c:pt>
                <c:pt idx="380">
                  <c:v>6516.6499020000001</c:v>
                </c:pt>
                <c:pt idx="381">
                  <c:v>6524.0498049999997</c:v>
                </c:pt>
                <c:pt idx="382">
                  <c:v>6483.1000979999999</c:v>
                </c:pt>
                <c:pt idx="383">
                  <c:v>6493.2001950000003</c:v>
                </c:pt>
                <c:pt idx="384">
                  <c:v>6583.5</c:v>
                </c:pt>
                <c:pt idx="385">
                  <c:v>6589.75</c:v>
                </c:pt>
                <c:pt idx="386">
                  <c:v>6601.3999020000001</c:v>
                </c:pt>
                <c:pt idx="387">
                  <c:v>6641.75</c:v>
                </c:pt>
                <c:pt idx="388">
                  <c:v>6695.8999020000001</c:v>
                </c:pt>
                <c:pt idx="389">
                  <c:v>6704.2001950000003</c:v>
                </c:pt>
                <c:pt idx="390">
                  <c:v>6721.0498049999997</c:v>
                </c:pt>
                <c:pt idx="391">
                  <c:v>6752.5498049999997</c:v>
                </c:pt>
                <c:pt idx="392">
                  <c:v>6736.1000979999999</c:v>
                </c:pt>
                <c:pt idx="393">
                  <c:v>6694.3500979999999</c:v>
                </c:pt>
                <c:pt idx="394">
                  <c:v>6695.0498049999997</c:v>
                </c:pt>
                <c:pt idx="395">
                  <c:v>6796.2001950000003</c:v>
                </c:pt>
                <c:pt idx="396">
                  <c:v>6796.3999020000001</c:v>
                </c:pt>
                <c:pt idx="397">
                  <c:v>6776.2998049999997</c:v>
                </c:pt>
                <c:pt idx="398">
                  <c:v>6733.1000979999999</c:v>
                </c:pt>
                <c:pt idx="399">
                  <c:v>6675.2998049999997</c:v>
                </c:pt>
                <c:pt idx="400">
                  <c:v>6779.3999020000001</c:v>
                </c:pt>
                <c:pt idx="401">
                  <c:v>6817.6499020000001</c:v>
                </c:pt>
                <c:pt idx="402">
                  <c:v>6815.3500979999999</c:v>
                </c:pt>
                <c:pt idx="403">
                  <c:v>6840.7998049999997</c:v>
                </c:pt>
                <c:pt idx="404">
                  <c:v>6782.75</c:v>
                </c:pt>
                <c:pt idx="405">
                  <c:v>6761.25</c:v>
                </c:pt>
                <c:pt idx="406">
                  <c:v>6715.25</c:v>
                </c:pt>
                <c:pt idx="407">
                  <c:v>6696.3999020000001</c:v>
                </c:pt>
                <c:pt idx="408">
                  <c:v>6694.7998049999997</c:v>
                </c:pt>
                <c:pt idx="409">
                  <c:v>6699.3500979999999</c:v>
                </c:pt>
                <c:pt idx="410">
                  <c:v>6715.2998049999997</c:v>
                </c:pt>
                <c:pt idx="411">
                  <c:v>6652.5498049999997</c:v>
                </c:pt>
                <c:pt idx="412">
                  <c:v>6659.8500979999999</c:v>
                </c:pt>
                <c:pt idx="413">
                  <c:v>6858.7998049999997</c:v>
                </c:pt>
                <c:pt idx="414">
                  <c:v>7014.25</c:v>
                </c:pt>
                <c:pt idx="415">
                  <c:v>7108.75</c:v>
                </c:pt>
                <c:pt idx="416">
                  <c:v>7108.75</c:v>
                </c:pt>
                <c:pt idx="417">
                  <c:v>7123.1499020000001</c:v>
                </c:pt>
                <c:pt idx="418">
                  <c:v>7203</c:v>
                </c:pt>
                <c:pt idx="419">
                  <c:v>7263.5498049999997</c:v>
                </c:pt>
                <c:pt idx="420">
                  <c:v>7275.5</c:v>
                </c:pt>
                <c:pt idx="421">
                  <c:v>7252.8999020000001</c:v>
                </c:pt>
                <c:pt idx="422">
                  <c:v>7276.3999020000001</c:v>
                </c:pt>
                <c:pt idx="423">
                  <c:v>7367.1000979999999</c:v>
                </c:pt>
                <c:pt idx="424">
                  <c:v>7359.0498049999997</c:v>
                </c:pt>
                <c:pt idx="425">
                  <c:v>7318</c:v>
                </c:pt>
                <c:pt idx="426">
                  <c:v>7329.6499020000001</c:v>
                </c:pt>
                <c:pt idx="427">
                  <c:v>7235.6499020000001</c:v>
                </c:pt>
                <c:pt idx="428">
                  <c:v>7229.9501950000003</c:v>
                </c:pt>
                <c:pt idx="429">
                  <c:v>7362.5</c:v>
                </c:pt>
                <c:pt idx="430">
                  <c:v>7415.8500979999999</c:v>
                </c:pt>
                <c:pt idx="431">
                  <c:v>7402.25</c:v>
                </c:pt>
                <c:pt idx="432">
                  <c:v>7474.1000979999999</c:v>
                </c:pt>
                <c:pt idx="433">
                  <c:v>7583.3999020000001</c:v>
                </c:pt>
                <c:pt idx="434">
                  <c:v>7654.6000979999999</c:v>
                </c:pt>
                <c:pt idx="435">
                  <c:v>7656.3999020000001</c:v>
                </c:pt>
                <c:pt idx="436">
                  <c:v>7626.8500979999999</c:v>
                </c:pt>
                <c:pt idx="437">
                  <c:v>7649.8999020000001</c:v>
                </c:pt>
                <c:pt idx="438">
                  <c:v>7542.1000979999999</c:v>
                </c:pt>
                <c:pt idx="439">
                  <c:v>7533.5498049999997</c:v>
                </c:pt>
                <c:pt idx="440">
                  <c:v>7631.7001950000003</c:v>
                </c:pt>
                <c:pt idx="441">
                  <c:v>7558.2001950000003</c:v>
                </c:pt>
                <c:pt idx="442">
                  <c:v>7540.7001950000003</c:v>
                </c:pt>
                <c:pt idx="443">
                  <c:v>7511.4501950000003</c:v>
                </c:pt>
                <c:pt idx="444">
                  <c:v>7493.3500979999999</c:v>
                </c:pt>
                <c:pt idx="445">
                  <c:v>7580.2001950000003</c:v>
                </c:pt>
                <c:pt idx="446">
                  <c:v>7569.25</c:v>
                </c:pt>
                <c:pt idx="447">
                  <c:v>7493.2001950000003</c:v>
                </c:pt>
                <c:pt idx="448">
                  <c:v>7508.7998049999997</c:v>
                </c:pt>
                <c:pt idx="449">
                  <c:v>7611.3500979999999</c:v>
                </c:pt>
                <c:pt idx="450">
                  <c:v>7634.7001950000003</c:v>
                </c:pt>
                <c:pt idx="451">
                  <c:v>7725.1499020000001</c:v>
                </c:pt>
                <c:pt idx="452">
                  <c:v>7714.7998049999997</c:v>
                </c:pt>
                <c:pt idx="453">
                  <c:v>7751.6000979999999</c:v>
                </c:pt>
                <c:pt idx="454">
                  <c:v>7787.1499020000001</c:v>
                </c:pt>
                <c:pt idx="455">
                  <c:v>7623.2001950000003</c:v>
                </c:pt>
                <c:pt idx="456">
                  <c:v>7585</c:v>
                </c:pt>
                <c:pt idx="457">
                  <c:v>7567.75</c:v>
                </c:pt>
                <c:pt idx="458">
                  <c:v>7459.6000979999999</c:v>
                </c:pt>
                <c:pt idx="459">
                  <c:v>7454.1499020000001</c:v>
                </c:pt>
                <c:pt idx="460">
                  <c:v>7526.6499020000001</c:v>
                </c:pt>
                <c:pt idx="461">
                  <c:v>7624.3999020000001</c:v>
                </c:pt>
                <c:pt idx="462">
                  <c:v>7640.4501950000003</c:v>
                </c:pt>
                <c:pt idx="463">
                  <c:v>7663.8999020000001</c:v>
                </c:pt>
                <c:pt idx="464">
                  <c:v>7684.2001950000003</c:v>
                </c:pt>
                <c:pt idx="465">
                  <c:v>7767.8500979999999</c:v>
                </c:pt>
                <c:pt idx="466">
                  <c:v>7795.75</c:v>
                </c:pt>
                <c:pt idx="467">
                  <c:v>7830.6000979999999</c:v>
                </c:pt>
                <c:pt idx="468">
                  <c:v>7790.4501950000003</c:v>
                </c:pt>
                <c:pt idx="469">
                  <c:v>7748.7001950000003</c:v>
                </c:pt>
                <c:pt idx="470">
                  <c:v>7791.3999020000001</c:v>
                </c:pt>
                <c:pt idx="471">
                  <c:v>7721.2998049999997</c:v>
                </c:pt>
                <c:pt idx="472">
                  <c:v>7602.6000979999999</c:v>
                </c:pt>
                <c:pt idx="473">
                  <c:v>7683.6499020000001</c:v>
                </c:pt>
                <c:pt idx="474">
                  <c:v>7746.5498049999997</c:v>
                </c:pt>
                <c:pt idx="475">
                  <c:v>7672.0498049999997</c:v>
                </c:pt>
                <c:pt idx="476">
                  <c:v>7649.25</c:v>
                </c:pt>
                <c:pt idx="477">
                  <c:v>7568.5498049999997</c:v>
                </c:pt>
                <c:pt idx="478">
                  <c:v>7625.9501950000003</c:v>
                </c:pt>
                <c:pt idx="479">
                  <c:v>7727.0498049999997</c:v>
                </c:pt>
                <c:pt idx="480">
                  <c:v>7739.5498049999997</c:v>
                </c:pt>
                <c:pt idx="481">
                  <c:v>7791.7001950000003</c:v>
                </c:pt>
                <c:pt idx="482">
                  <c:v>7874.25</c:v>
                </c:pt>
                <c:pt idx="483">
                  <c:v>7897.5</c:v>
                </c:pt>
                <c:pt idx="484">
                  <c:v>7875.2998049999997</c:v>
                </c:pt>
                <c:pt idx="485">
                  <c:v>7891.1000979999999</c:v>
                </c:pt>
                <c:pt idx="486">
                  <c:v>7913.2001950000003</c:v>
                </c:pt>
                <c:pt idx="487">
                  <c:v>7906.2998049999997</c:v>
                </c:pt>
                <c:pt idx="488">
                  <c:v>7904.75</c:v>
                </c:pt>
                <c:pt idx="489">
                  <c:v>7936.0498049999997</c:v>
                </c:pt>
                <c:pt idx="490">
                  <c:v>7954.3500979999999</c:v>
                </c:pt>
                <c:pt idx="491">
                  <c:v>8027.7001950000003</c:v>
                </c:pt>
                <c:pt idx="492">
                  <c:v>8083.0498049999997</c:v>
                </c:pt>
                <c:pt idx="493">
                  <c:v>8114.6000979999999</c:v>
                </c:pt>
                <c:pt idx="494">
                  <c:v>8095.9501950000003</c:v>
                </c:pt>
                <c:pt idx="495">
                  <c:v>8086.8500979999999</c:v>
                </c:pt>
                <c:pt idx="496">
                  <c:v>8173.8999020000001</c:v>
                </c:pt>
                <c:pt idx="497">
                  <c:v>8152.9501950000003</c:v>
                </c:pt>
                <c:pt idx="498">
                  <c:v>8094.1000979999999</c:v>
                </c:pt>
                <c:pt idx="499">
                  <c:v>8085.7001950000003</c:v>
                </c:pt>
                <c:pt idx="500">
                  <c:v>8105.5</c:v>
                </c:pt>
                <c:pt idx="501">
                  <c:v>8042</c:v>
                </c:pt>
                <c:pt idx="502">
                  <c:v>7932.8999020000001</c:v>
                </c:pt>
                <c:pt idx="503">
                  <c:v>7975.5</c:v>
                </c:pt>
                <c:pt idx="504">
                  <c:v>8114.75</c:v>
                </c:pt>
                <c:pt idx="505">
                  <c:v>8121.4501950000003</c:v>
                </c:pt>
                <c:pt idx="506">
                  <c:v>8146.2998049999997</c:v>
                </c:pt>
                <c:pt idx="507">
                  <c:v>8017.5498049999997</c:v>
                </c:pt>
                <c:pt idx="508">
                  <c:v>8002.3999020000001</c:v>
                </c:pt>
                <c:pt idx="509">
                  <c:v>7911.8500979999999</c:v>
                </c:pt>
                <c:pt idx="510">
                  <c:v>7968.8500979999999</c:v>
                </c:pt>
                <c:pt idx="511">
                  <c:v>7958.8999020000001</c:v>
                </c:pt>
                <c:pt idx="512">
                  <c:v>7964.7998049999997</c:v>
                </c:pt>
                <c:pt idx="513">
                  <c:v>7945.5498049999997</c:v>
                </c:pt>
                <c:pt idx="514">
                  <c:v>7852.3999020000001</c:v>
                </c:pt>
                <c:pt idx="515">
                  <c:v>7842.7001950000003</c:v>
                </c:pt>
                <c:pt idx="516">
                  <c:v>7960.5498049999997</c:v>
                </c:pt>
                <c:pt idx="517">
                  <c:v>7859.9501950000003</c:v>
                </c:pt>
                <c:pt idx="518">
                  <c:v>7884.25</c:v>
                </c:pt>
                <c:pt idx="519">
                  <c:v>7864</c:v>
                </c:pt>
                <c:pt idx="520">
                  <c:v>7748.2001950000003</c:v>
                </c:pt>
                <c:pt idx="521">
                  <c:v>7779.7001950000003</c:v>
                </c:pt>
                <c:pt idx="522">
                  <c:v>7879.3999020000001</c:v>
                </c:pt>
                <c:pt idx="523">
                  <c:v>7927.75</c:v>
                </c:pt>
                <c:pt idx="524">
                  <c:v>7995.8999020000001</c:v>
                </c:pt>
                <c:pt idx="525">
                  <c:v>8014.5498049999997</c:v>
                </c:pt>
                <c:pt idx="526">
                  <c:v>7991.7001950000003</c:v>
                </c:pt>
                <c:pt idx="527">
                  <c:v>8027.6000979999999</c:v>
                </c:pt>
                <c:pt idx="528">
                  <c:v>8090.4501950000003</c:v>
                </c:pt>
                <c:pt idx="529">
                  <c:v>8169.2001950000003</c:v>
                </c:pt>
                <c:pt idx="530">
                  <c:v>8322.2001949999994</c:v>
                </c:pt>
                <c:pt idx="531">
                  <c:v>8324.1503909999992</c:v>
                </c:pt>
                <c:pt idx="532">
                  <c:v>8338.2998050000006</c:v>
                </c:pt>
                <c:pt idx="533">
                  <c:v>8337</c:v>
                </c:pt>
                <c:pt idx="534">
                  <c:v>8344.25</c:v>
                </c:pt>
                <c:pt idx="535">
                  <c:v>8362.6503909999992</c:v>
                </c:pt>
                <c:pt idx="536">
                  <c:v>8383.2998050000006</c:v>
                </c:pt>
                <c:pt idx="537">
                  <c:v>8357.8496090000008</c:v>
                </c:pt>
                <c:pt idx="538">
                  <c:v>8389.9003909999992</c:v>
                </c:pt>
                <c:pt idx="539">
                  <c:v>8430.75</c:v>
                </c:pt>
                <c:pt idx="540">
                  <c:v>8425.9003909999992</c:v>
                </c:pt>
                <c:pt idx="541">
                  <c:v>8382.2998050000006</c:v>
                </c:pt>
                <c:pt idx="542">
                  <c:v>8401.9003909999992</c:v>
                </c:pt>
                <c:pt idx="543">
                  <c:v>8477.3496090000008</c:v>
                </c:pt>
                <c:pt idx="544">
                  <c:v>8530.1503909999992</c:v>
                </c:pt>
                <c:pt idx="545">
                  <c:v>8463.0996090000008</c:v>
                </c:pt>
                <c:pt idx="546">
                  <c:v>8475.75</c:v>
                </c:pt>
                <c:pt idx="547">
                  <c:v>8494.2001949999994</c:v>
                </c:pt>
                <c:pt idx="548">
                  <c:v>8588.25</c:v>
                </c:pt>
                <c:pt idx="549">
                  <c:v>8555.9003909999992</c:v>
                </c:pt>
                <c:pt idx="550">
                  <c:v>8524.7001949999994</c:v>
                </c:pt>
                <c:pt idx="551">
                  <c:v>8537.6503909999992</c:v>
                </c:pt>
                <c:pt idx="552">
                  <c:v>8564.4003909999992</c:v>
                </c:pt>
                <c:pt idx="553">
                  <c:v>8538.2998050000006</c:v>
                </c:pt>
                <c:pt idx="554">
                  <c:v>8438.25</c:v>
                </c:pt>
                <c:pt idx="555">
                  <c:v>8340.7001949999994</c:v>
                </c:pt>
                <c:pt idx="556">
                  <c:v>8355.6503909999992</c:v>
                </c:pt>
                <c:pt idx="557">
                  <c:v>8292.9003909999992</c:v>
                </c:pt>
                <c:pt idx="558">
                  <c:v>8224.0996090000008</c:v>
                </c:pt>
                <c:pt idx="559">
                  <c:v>8219.5996090000008</c:v>
                </c:pt>
                <c:pt idx="560">
                  <c:v>8067.6000979999999</c:v>
                </c:pt>
                <c:pt idx="561">
                  <c:v>8029.7998049999997</c:v>
                </c:pt>
                <c:pt idx="562">
                  <c:v>8159.2998049999997</c:v>
                </c:pt>
                <c:pt idx="563">
                  <c:v>8225.2001949999994</c:v>
                </c:pt>
                <c:pt idx="564">
                  <c:v>8324</c:v>
                </c:pt>
                <c:pt idx="565">
                  <c:v>8267</c:v>
                </c:pt>
                <c:pt idx="566">
                  <c:v>8174.1000979999999</c:v>
                </c:pt>
                <c:pt idx="567">
                  <c:v>8200.7001949999994</c:v>
                </c:pt>
                <c:pt idx="568">
                  <c:v>8246.2998050000006</c:v>
                </c:pt>
                <c:pt idx="569">
                  <c:v>8248.25</c:v>
                </c:pt>
                <c:pt idx="570">
                  <c:v>8282.7001949999994</c:v>
                </c:pt>
                <c:pt idx="571">
                  <c:v>8395.4501949999994</c:v>
                </c:pt>
                <c:pt idx="572">
                  <c:v>8378.4003909999992</c:v>
                </c:pt>
                <c:pt idx="573">
                  <c:v>8127.3500979999999</c:v>
                </c:pt>
                <c:pt idx="574">
                  <c:v>8102.1000979999999</c:v>
                </c:pt>
                <c:pt idx="575">
                  <c:v>8234.5996090000008</c:v>
                </c:pt>
                <c:pt idx="576">
                  <c:v>8284.5</c:v>
                </c:pt>
                <c:pt idx="577">
                  <c:v>8323</c:v>
                </c:pt>
                <c:pt idx="578">
                  <c:v>8299.4003909999992</c:v>
                </c:pt>
                <c:pt idx="579">
                  <c:v>8277.5498050000006</c:v>
                </c:pt>
                <c:pt idx="580">
                  <c:v>8494.1503909999992</c:v>
                </c:pt>
                <c:pt idx="581">
                  <c:v>8513.7998050000006</c:v>
                </c:pt>
                <c:pt idx="582">
                  <c:v>8550.7001949999994</c:v>
                </c:pt>
                <c:pt idx="583">
                  <c:v>8695.5996090000008</c:v>
                </c:pt>
                <c:pt idx="584">
                  <c:v>8729.5</c:v>
                </c:pt>
                <c:pt idx="585">
                  <c:v>8761.4003909999992</c:v>
                </c:pt>
                <c:pt idx="586">
                  <c:v>8835.5996090000008</c:v>
                </c:pt>
                <c:pt idx="587">
                  <c:v>8910.5</c:v>
                </c:pt>
                <c:pt idx="588">
                  <c:v>8914.2998050000006</c:v>
                </c:pt>
                <c:pt idx="589">
                  <c:v>8952.3496090000008</c:v>
                </c:pt>
                <c:pt idx="590">
                  <c:v>8808.9003909999992</c:v>
                </c:pt>
                <c:pt idx="591">
                  <c:v>8797.4003909999992</c:v>
                </c:pt>
                <c:pt idx="592">
                  <c:v>8756.5498050000006</c:v>
                </c:pt>
                <c:pt idx="593">
                  <c:v>8723.7001949999994</c:v>
                </c:pt>
                <c:pt idx="594">
                  <c:v>8711.7001949999994</c:v>
                </c:pt>
                <c:pt idx="595">
                  <c:v>8661.0498050000006</c:v>
                </c:pt>
                <c:pt idx="596">
                  <c:v>8526.3496090000008</c:v>
                </c:pt>
                <c:pt idx="597">
                  <c:v>8565.5498050000006</c:v>
                </c:pt>
                <c:pt idx="598">
                  <c:v>8627.4003909999992</c:v>
                </c:pt>
                <c:pt idx="599">
                  <c:v>8711.5498050000006</c:v>
                </c:pt>
                <c:pt idx="600">
                  <c:v>8805.5</c:v>
                </c:pt>
                <c:pt idx="601">
                  <c:v>8809.3496090000008</c:v>
                </c:pt>
                <c:pt idx="602">
                  <c:v>8869.0996090000008</c:v>
                </c:pt>
                <c:pt idx="603">
                  <c:v>8895.2998050000006</c:v>
                </c:pt>
                <c:pt idx="604">
                  <c:v>8833.5996090000008</c:v>
                </c:pt>
                <c:pt idx="605">
                  <c:v>8754.9501949999994</c:v>
                </c:pt>
                <c:pt idx="606">
                  <c:v>8762.0996090000008</c:v>
                </c:pt>
                <c:pt idx="607">
                  <c:v>8767.25</c:v>
                </c:pt>
                <c:pt idx="608">
                  <c:v>8683.8496090000008</c:v>
                </c:pt>
                <c:pt idx="609">
                  <c:v>8844.5996090000008</c:v>
                </c:pt>
                <c:pt idx="610">
                  <c:v>8956.75</c:v>
                </c:pt>
                <c:pt idx="611">
                  <c:v>8996.25</c:v>
                </c:pt>
                <c:pt idx="612">
                  <c:v>8922.6503909999992</c:v>
                </c:pt>
                <c:pt idx="613">
                  <c:v>8937.75</c:v>
                </c:pt>
                <c:pt idx="614">
                  <c:v>8756.75</c:v>
                </c:pt>
                <c:pt idx="615">
                  <c:v>8712.0498050000006</c:v>
                </c:pt>
                <c:pt idx="616">
                  <c:v>8699.9501949999994</c:v>
                </c:pt>
                <c:pt idx="617">
                  <c:v>8776</c:v>
                </c:pt>
                <c:pt idx="618">
                  <c:v>8647.75</c:v>
                </c:pt>
                <c:pt idx="619">
                  <c:v>8633.1503909999992</c:v>
                </c:pt>
                <c:pt idx="620">
                  <c:v>8723.2998050000006</c:v>
                </c:pt>
                <c:pt idx="621">
                  <c:v>8685.9003909999992</c:v>
                </c:pt>
                <c:pt idx="622">
                  <c:v>8634.6503909999992</c:v>
                </c:pt>
                <c:pt idx="623">
                  <c:v>8570.9003909999992</c:v>
                </c:pt>
                <c:pt idx="624">
                  <c:v>8550.9003909999992</c:v>
                </c:pt>
                <c:pt idx="625">
                  <c:v>8542.9501949999994</c:v>
                </c:pt>
                <c:pt idx="626">
                  <c:v>8530.7998050000006</c:v>
                </c:pt>
                <c:pt idx="627">
                  <c:v>8342.1503909999992</c:v>
                </c:pt>
                <c:pt idx="628">
                  <c:v>8341.4003909999992</c:v>
                </c:pt>
                <c:pt idx="629">
                  <c:v>8492.2998050000006</c:v>
                </c:pt>
                <c:pt idx="630">
                  <c:v>8491</c:v>
                </c:pt>
                <c:pt idx="631">
                  <c:v>8586.25</c:v>
                </c:pt>
                <c:pt idx="632">
                  <c:v>8659.9003909999992</c:v>
                </c:pt>
                <c:pt idx="633">
                  <c:v>8660.2998050000006</c:v>
                </c:pt>
                <c:pt idx="634">
                  <c:v>8714.4003909999992</c:v>
                </c:pt>
                <c:pt idx="635">
                  <c:v>8778.2998050000006</c:v>
                </c:pt>
                <c:pt idx="636">
                  <c:v>8780.3496090000008</c:v>
                </c:pt>
                <c:pt idx="637">
                  <c:v>8834</c:v>
                </c:pt>
                <c:pt idx="638">
                  <c:v>8706.7001949999994</c:v>
                </c:pt>
                <c:pt idx="639">
                  <c:v>8606</c:v>
                </c:pt>
                <c:pt idx="640">
                  <c:v>8448.0996090000008</c:v>
                </c:pt>
                <c:pt idx="641">
                  <c:v>8377.75</c:v>
                </c:pt>
                <c:pt idx="642">
                  <c:v>8429.7001949999994</c:v>
                </c:pt>
                <c:pt idx="643">
                  <c:v>8398.2998050000006</c:v>
                </c:pt>
                <c:pt idx="644">
                  <c:v>8305.25</c:v>
                </c:pt>
                <c:pt idx="645">
                  <c:v>8213.7998050000006</c:v>
                </c:pt>
                <c:pt idx="646">
                  <c:v>8285.5996090000008</c:v>
                </c:pt>
                <c:pt idx="647">
                  <c:v>8239.75</c:v>
                </c:pt>
                <c:pt idx="648">
                  <c:v>8181.5</c:v>
                </c:pt>
                <c:pt idx="649">
                  <c:v>8331.9501949999994</c:v>
                </c:pt>
                <c:pt idx="650">
                  <c:v>8324.7998050000006</c:v>
                </c:pt>
                <c:pt idx="651">
                  <c:v>8097</c:v>
                </c:pt>
                <c:pt idx="652">
                  <c:v>8057.2998049999997</c:v>
                </c:pt>
                <c:pt idx="653">
                  <c:v>8191.5</c:v>
                </c:pt>
                <c:pt idx="654">
                  <c:v>8325.25</c:v>
                </c:pt>
                <c:pt idx="655">
                  <c:v>8126.9501950000003</c:v>
                </c:pt>
                <c:pt idx="656">
                  <c:v>8235.4501949999994</c:v>
                </c:pt>
                <c:pt idx="657">
                  <c:v>8224.2001949999994</c:v>
                </c:pt>
                <c:pt idx="658">
                  <c:v>8262.3496090000008</c:v>
                </c:pt>
                <c:pt idx="659">
                  <c:v>8373.6503909999992</c:v>
                </c:pt>
                <c:pt idx="660">
                  <c:v>8365.6503909999992</c:v>
                </c:pt>
                <c:pt idx="661">
                  <c:v>8423.25</c:v>
                </c:pt>
                <c:pt idx="662">
                  <c:v>8421</c:v>
                </c:pt>
                <c:pt idx="663">
                  <c:v>8458.9501949999994</c:v>
                </c:pt>
                <c:pt idx="664">
                  <c:v>8370.25</c:v>
                </c:pt>
                <c:pt idx="665">
                  <c:v>8339.3496090000008</c:v>
                </c:pt>
                <c:pt idx="666">
                  <c:v>8334.5996090000008</c:v>
                </c:pt>
                <c:pt idx="667">
                  <c:v>8319</c:v>
                </c:pt>
                <c:pt idx="668">
                  <c:v>8433.6503909999992</c:v>
                </c:pt>
                <c:pt idx="669">
                  <c:v>8433.4003909999992</c:v>
                </c:pt>
                <c:pt idx="670">
                  <c:v>8236.4501949999994</c:v>
                </c:pt>
                <c:pt idx="671">
                  <c:v>8135.1000979999999</c:v>
                </c:pt>
                <c:pt idx="672">
                  <c:v>8130.6499020000001</c:v>
                </c:pt>
                <c:pt idx="673">
                  <c:v>8114.7001950000003</c:v>
                </c:pt>
                <c:pt idx="674">
                  <c:v>8044.1499020000001</c:v>
                </c:pt>
                <c:pt idx="675">
                  <c:v>8022.3999020000001</c:v>
                </c:pt>
                <c:pt idx="676">
                  <c:v>8124.4501950000003</c:v>
                </c:pt>
                <c:pt idx="677">
                  <c:v>7965.3500979999999</c:v>
                </c:pt>
                <c:pt idx="678">
                  <c:v>7982.8999020000001</c:v>
                </c:pt>
                <c:pt idx="679">
                  <c:v>8013.8999020000001</c:v>
                </c:pt>
                <c:pt idx="680">
                  <c:v>8047.2998049999997</c:v>
                </c:pt>
                <c:pt idx="681">
                  <c:v>8091.5498049999997</c:v>
                </c:pt>
                <c:pt idx="682">
                  <c:v>8174.6000979999999</c:v>
                </c:pt>
                <c:pt idx="683">
                  <c:v>8224.9501949999994</c:v>
                </c:pt>
                <c:pt idx="684">
                  <c:v>8353.0996090000008</c:v>
                </c:pt>
                <c:pt idx="685">
                  <c:v>8381.5498050000006</c:v>
                </c:pt>
                <c:pt idx="686">
                  <c:v>8360.8496090000008</c:v>
                </c:pt>
                <c:pt idx="687">
                  <c:v>8398</c:v>
                </c:pt>
                <c:pt idx="688">
                  <c:v>8381.0996090000008</c:v>
                </c:pt>
                <c:pt idx="689">
                  <c:v>8318.4003909999992</c:v>
                </c:pt>
                <c:pt idx="690">
                  <c:v>8368.5</c:v>
                </c:pt>
                <c:pt idx="691">
                  <c:v>8453.0498050000006</c:v>
                </c:pt>
                <c:pt idx="692">
                  <c:v>8444.9003909999992</c:v>
                </c:pt>
                <c:pt idx="693">
                  <c:v>8484.9003909999992</c:v>
                </c:pt>
                <c:pt idx="694">
                  <c:v>8522.1503909999992</c:v>
                </c:pt>
                <c:pt idx="695">
                  <c:v>8510.7998050000006</c:v>
                </c:pt>
                <c:pt idx="696">
                  <c:v>8363.0498050000006</c:v>
                </c:pt>
                <c:pt idx="697">
                  <c:v>8328.5498050000006</c:v>
                </c:pt>
                <c:pt idx="698">
                  <c:v>8360.5498050000006</c:v>
                </c:pt>
                <c:pt idx="699">
                  <c:v>8459.6503909999992</c:v>
                </c:pt>
                <c:pt idx="700">
                  <c:v>8454.0996090000008</c:v>
                </c:pt>
                <c:pt idx="701">
                  <c:v>8523.7998050000006</c:v>
                </c:pt>
                <c:pt idx="702">
                  <c:v>8608.0498050000006</c:v>
                </c:pt>
                <c:pt idx="703">
                  <c:v>8609.8496090000008</c:v>
                </c:pt>
                <c:pt idx="704">
                  <c:v>8603.4501949999994</c:v>
                </c:pt>
                <c:pt idx="705">
                  <c:v>8529.4501949999994</c:v>
                </c:pt>
                <c:pt idx="706">
                  <c:v>8633.5</c:v>
                </c:pt>
                <c:pt idx="707">
                  <c:v>8589.7998050000006</c:v>
                </c:pt>
                <c:pt idx="708">
                  <c:v>8521.5498050000006</c:v>
                </c:pt>
                <c:pt idx="709">
                  <c:v>8361</c:v>
                </c:pt>
                <c:pt idx="710">
                  <c:v>8337</c:v>
                </c:pt>
                <c:pt idx="711">
                  <c:v>8375.0498050000006</c:v>
                </c:pt>
                <c:pt idx="712">
                  <c:v>8421.7998050000006</c:v>
                </c:pt>
                <c:pt idx="713">
                  <c:v>8532.8496090000008</c:v>
                </c:pt>
                <c:pt idx="714">
                  <c:v>8543.0498050000006</c:v>
                </c:pt>
                <c:pt idx="715">
                  <c:v>8516.9003909999992</c:v>
                </c:pt>
                <c:pt idx="716">
                  <c:v>8567.9501949999994</c:v>
                </c:pt>
                <c:pt idx="717">
                  <c:v>8588.6503909999992</c:v>
                </c:pt>
                <c:pt idx="718">
                  <c:v>8564.5996090000008</c:v>
                </c:pt>
                <c:pt idx="719">
                  <c:v>8525.5996090000008</c:v>
                </c:pt>
                <c:pt idx="720">
                  <c:v>8462.3496090000008</c:v>
                </c:pt>
                <c:pt idx="721">
                  <c:v>8349.4501949999994</c:v>
                </c:pt>
                <c:pt idx="722">
                  <c:v>8355.8496090000008</c:v>
                </c:pt>
                <c:pt idx="723">
                  <c:v>8518.5498050000006</c:v>
                </c:pt>
                <c:pt idx="724">
                  <c:v>8477.2998050000006</c:v>
                </c:pt>
                <c:pt idx="725">
                  <c:v>8466.5498050000006</c:v>
                </c:pt>
                <c:pt idx="726">
                  <c:v>8495.1503909999992</c:v>
                </c:pt>
                <c:pt idx="727">
                  <c:v>8372.75</c:v>
                </c:pt>
                <c:pt idx="728">
                  <c:v>8299.9501949999994</c:v>
                </c:pt>
                <c:pt idx="729">
                  <c:v>7809</c:v>
                </c:pt>
                <c:pt idx="730">
                  <c:v>7880.7001950000003</c:v>
                </c:pt>
                <c:pt idx="731">
                  <c:v>7791.8500979999999</c:v>
                </c:pt>
                <c:pt idx="732">
                  <c:v>7948.9501950000003</c:v>
                </c:pt>
                <c:pt idx="733">
                  <c:v>8001.9501950000003</c:v>
                </c:pt>
                <c:pt idx="734">
                  <c:v>7971.2998049999997</c:v>
                </c:pt>
                <c:pt idx="735">
                  <c:v>7785.8500979999999</c:v>
                </c:pt>
                <c:pt idx="736">
                  <c:v>7717</c:v>
                </c:pt>
                <c:pt idx="737">
                  <c:v>7823</c:v>
                </c:pt>
                <c:pt idx="738">
                  <c:v>7655.0498049999997</c:v>
                </c:pt>
                <c:pt idx="739">
                  <c:v>7558.7998049999997</c:v>
                </c:pt>
                <c:pt idx="740">
                  <c:v>7688.25</c:v>
                </c:pt>
                <c:pt idx="741">
                  <c:v>7818.6000979999999</c:v>
                </c:pt>
                <c:pt idx="742">
                  <c:v>7788.1000979999999</c:v>
                </c:pt>
                <c:pt idx="743">
                  <c:v>7789.2998049999997</c:v>
                </c:pt>
                <c:pt idx="744">
                  <c:v>7872.25</c:v>
                </c:pt>
                <c:pt idx="745">
                  <c:v>7829.1000979999999</c:v>
                </c:pt>
                <c:pt idx="746">
                  <c:v>7899.1499020000001</c:v>
                </c:pt>
                <c:pt idx="747">
                  <c:v>7981.8999020000001</c:v>
                </c:pt>
                <c:pt idx="748">
                  <c:v>7977.1000979999999</c:v>
                </c:pt>
                <c:pt idx="749">
                  <c:v>7812</c:v>
                </c:pt>
                <c:pt idx="750">
                  <c:v>7845.9501950000003</c:v>
                </c:pt>
                <c:pt idx="751">
                  <c:v>7868.5</c:v>
                </c:pt>
                <c:pt idx="752">
                  <c:v>7795.7001950000003</c:v>
                </c:pt>
                <c:pt idx="753">
                  <c:v>7843.2998049999997</c:v>
                </c:pt>
                <c:pt idx="754">
                  <c:v>7948.8999020000001</c:v>
                </c:pt>
                <c:pt idx="755">
                  <c:v>7950.8999020000001</c:v>
                </c:pt>
                <c:pt idx="756">
                  <c:v>8119.2998049999997</c:v>
                </c:pt>
                <c:pt idx="757">
                  <c:v>8152.8999020000001</c:v>
                </c:pt>
                <c:pt idx="758">
                  <c:v>8177.3999020000001</c:v>
                </c:pt>
                <c:pt idx="759">
                  <c:v>8129.3500979999999</c:v>
                </c:pt>
                <c:pt idx="760">
                  <c:v>8189.7001950000003</c:v>
                </c:pt>
                <c:pt idx="761">
                  <c:v>8143.6000979999999</c:v>
                </c:pt>
                <c:pt idx="762">
                  <c:v>8131.7001950000003</c:v>
                </c:pt>
                <c:pt idx="763">
                  <c:v>8107.8999020000001</c:v>
                </c:pt>
                <c:pt idx="764">
                  <c:v>8179.5</c:v>
                </c:pt>
                <c:pt idx="765">
                  <c:v>8238.1503909999992</c:v>
                </c:pt>
                <c:pt idx="766">
                  <c:v>8275.0498050000006</c:v>
                </c:pt>
                <c:pt idx="767">
                  <c:v>8261.6503909999992</c:v>
                </c:pt>
                <c:pt idx="768">
                  <c:v>8251.7001949999994</c:v>
                </c:pt>
                <c:pt idx="769">
                  <c:v>8295.4501949999994</c:v>
                </c:pt>
                <c:pt idx="770">
                  <c:v>8260.5498050000006</c:v>
                </c:pt>
                <c:pt idx="771">
                  <c:v>8232.9003909999992</c:v>
                </c:pt>
                <c:pt idx="772">
                  <c:v>8171.2001950000003</c:v>
                </c:pt>
                <c:pt idx="773">
                  <c:v>8111.75</c:v>
                </c:pt>
                <c:pt idx="774">
                  <c:v>8065.7998049999997</c:v>
                </c:pt>
                <c:pt idx="775">
                  <c:v>8050.7998049999997</c:v>
                </c:pt>
                <c:pt idx="776">
                  <c:v>8060.7001950000003</c:v>
                </c:pt>
                <c:pt idx="777">
                  <c:v>8040.2001950000003</c:v>
                </c:pt>
                <c:pt idx="778">
                  <c:v>7955.4501950000003</c:v>
                </c:pt>
                <c:pt idx="779">
                  <c:v>7954.2998049999997</c:v>
                </c:pt>
                <c:pt idx="780">
                  <c:v>7915.2001950000003</c:v>
                </c:pt>
                <c:pt idx="781">
                  <c:v>7783.3500979999999</c:v>
                </c:pt>
                <c:pt idx="782">
                  <c:v>7825</c:v>
                </c:pt>
                <c:pt idx="783">
                  <c:v>7762.25</c:v>
                </c:pt>
                <c:pt idx="784">
                  <c:v>7806.6000979999999</c:v>
                </c:pt>
                <c:pt idx="785">
                  <c:v>7837.5498049999997</c:v>
                </c:pt>
                <c:pt idx="786">
                  <c:v>7731.7998049999997</c:v>
                </c:pt>
                <c:pt idx="787">
                  <c:v>7842.75</c:v>
                </c:pt>
                <c:pt idx="788">
                  <c:v>7856.5498049999997</c:v>
                </c:pt>
                <c:pt idx="789">
                  <c:v>7849.25</c:v>
                </c:pt>
                <c:pt idx="790">
                  <c:v>7831.6000979999999</c:v>
                </c:pt>
                <c:pt idx="791">
                  <c:v>7883.7998049999997</c:v>
                </c:pt>
                <c:pt idx="792">
                  <c:v>7942.7001950000003</c:v>
                </c:pt>
                <c:pt idx="793">
                  <c:v>7935.25</c:v>
                </c:pt>
                <c:pt idx="794">
                  <c:v>7954.8999020000001</c:v>
                </c:pt>
                <c:pt idx="795">
                  <c:v>7931.3500979999999</c:v>
                </c:pt>
                <c:pt idx="796">
                  <c:v>7864.1499020000001</c:v>
                </c:pt>
                <c:pt idx="797">
                  <c:v>7781.8999020000001</c:v>
                </c:pt>
                <c:pt idx="798">
                  <c:v>7765.3999020000001</c:v>
                </c:pt>
                <c:pt idx="799">
                  <c:v>7701.7001950000003</c:v>
                </c:pt>
                <c:pt idx="800">
                  <c:v>7612.5</c:v>
                </c:pt>
                <c:pt idx="801">
                  <c:v>7683.2998049999997</c:v>
                </c:pt>
                <c:pt idx="802">
                  <c:v>7610.4501950000003</c:v>
                </c:pt>
                <c:pt idx="803">
                  <c:v>7650.0498049999997</c:v>
                </c:pt>
                <c:pt idx="804">
                  <c:v>7700.8999020000001</c:v>
                </c:pt>
                <c:pt idx="805">
                  <c:v>7750.8999020000001</c:v>
                </c:pt>
                <c:pt idx="806">
                  <c:v>7844.3500979999999</c:v>
                </c:pt>
                <c:pt idx="807">
                  <c:v>7761.9501950000003</c:v>
                </c:pt>
                <c:pt idx="808">
                  <c:v>7834.4501950000003</c:v>
                </c:pt>
                <c:pt idx="809">
                  <c:v>7786.1000979999999</c:v>
                </c:pt>
                <c:pt idx="810">
                  <c:v>7865.9501950000003</c:v>
                </c:pt>
                <c:pt idx="811">
                  <c:v>7861.0498049999997</c:v>
                </c:pt>
                <c:pt idx="812">
                  <c:v>7925.1499020000001</c:v>
                </c:pt>
                <c:pt idx="813">
                  <c:v>7928.9501950000003</c:v>
                </c:pt>
                <c:pt idx="814">
                  <c:v>7896.25</c:v>
                </c:pt>
                <c:pt idx="815">
                  <c:v>7946.3500979999999</c:v>
                </c:pt>
                <c:pt idx="816">
                  <c:v>7791.2998049999997</c:v>
                </c:pt>
                <c:pt idx="817">
                  <c:v>7784.6499020000001</c:v>
                </c:pt>
                <c:pt idx="818">
                  <c:v>7741</c:v>
                </c:pt>
                <c:pt idx="819">
                  <c:v>7568.2998049999997</c:v>
                </c:pt>
                <c:pt idx="820">
                  <c:v>7601.3500979999999</c:v>
                </c:pt>
                <c:pt idx="821">
                  <c:v>7563.8500979999999</c:v>
                </c:pt>
                <c:pt idx="822">
                  <c:v>7510.2998049999997</c:v>
                </c:pt>
                <c:pt idx="823">
                  <c:v>7562.3999020000001</c:v>
                </c:pt>
                <c:pt idx="824">
                  <c:v>7536.7998049999997</c:v>
                </c:pt>
                <c:pt idx="825">
                  <c:v>7437.7998049999997</c:v>
                </c:pt>
                <c:pt idx="826">
                  <c:v>7351</c:v>
                </c:pt>
                <c:pt idx="827">
                  <c:v>7435.1000979999999</c:v>
                </c:pt>
                <c:pt idx="828">
                  <c:v>7309.2998049999997</c:v>
                </c:pt>
                <c:pt idx="829">
                  <c:v>7276.7998049999997</c:v>
                </c:pt>
                <c:pt idx="830">
                  <c:v>7422.4501950000003</c:v>
                </c:pt>
                <c:pt idx="831">
                  <c:v>7436.1499020000001</c:v>
                </c:pt>
                <c:pt idx="832">
                  <c:v>7437.75</c:v>
                </c:pt>
                <c:pt idx="833">
                  <c:v>7424.6499020000001</c:v>
                </c:pt>
                <c:pt idx="834">
                  <c:v>7563.5498049999997</c:v>
                </c:pt>
                <c:pt idx="835">
                  <c:v>7555.9501950000003</c:v>
                </c:pt>
                <c:pt idx="836">
                  <c:v>7455.5498049999997</c:v>
                </c:pt>
                <c:pt idx="837">
                  <c:v>7361.7998049999997</c:v>
                </c:pt>
                <c:pt idx="838">
                  <c:v>7404</c:v>
                </c:pt>
                <c:pt idx="839">
                  <c:v>7489.1000979999999</c:v>
                </c:pt>
                <c:pt idx="840">
                  <c:v>7387.25</c:v>
                </c:pt>
                <c:pt idx="841">
                  <c:v>7298.2001950000003</c:v>
                </c:pt>
                <c:pt idx="842">
                  <c:v>7215.7001950000003</c:v>
                </c:pt>
                <c:pt idx="843">
                  <c:v>6976.3500979999999</c:v>
                </c:pt>
                <c:pt idx="844">
                  <c:v>6980.9501950000003</c:v>
                </c:pt>
                <c:pt idx="845">
                  <c:v>7162.9501950000003</c:v>
                </c:pt>
                <c:pt idx="846">
                  <c:v>7048.25</c:v>
                </c:pt>
                <c:pt idx="847">
                  <c:v>7108.4501950000003</c:v>
                </c:pt>
                <c:pt idx="848">
                  <c:v>7191.75</c:v>
                </c:pt>
                <c:pt idx="849">
                  <c:v>7210.75</c:v>
                </c:pt>
                <c:pt idx="850">
                  <c:v>7234.5498049999997</c:v>
                </c:pt>
                <c:pt idx="851">
                  <c:v>7109.5498049999997</c:v>
                </c:pt>
                <c:pt idx="852">
                  <c:v>7018.7001950000003</c:v>
                </c:pt>
                <c:pt idx="853">
                  <c:v>6970.6000979999999</c:v>
                </c:pt>
                <c:pt idx="854">
                  <c:v>7029.75</c:v>
                </c:pt>
                <c:pt idx="855">
                  <c:v>6987.0498049999997</c:v>
                </c:pt>
                <c:pt idx="856">
                  <c:v>7222.2998049999997</c:v>
                </c:pt>
                <c:pt idx="857">
                  <c:v>7368.8500979999999</c:v>
                </c:pt>
                <c:pt idx="858">
                  <c:v>7475.6000979999999</c:v>
                </c:pt>
                <c:pt idx="859">
                  <c:v>7485.3500979999999</c:v>
                </c:pt>
                <c:pt idx="860">
                  <c:v>7485.2998049999997</c:v>
                </c:pt>
                <c:pt idx="861">
                  <c:v>7531.7998049999997</c:v>
                </c:pt>
                <c:pt idx="862">
                  <c:v>7486.1499020000001</c:v>
                </c:pt>
                <c:pt idx="863">
                  <c:v>7510.2001950000003</c:v>
                </c:pt>
                <c:pt idx="864">
                  <c:v>7538.75</c:v>
                </c:pt>
                <c:pt idx="865">
                  <c:v>7460.6000979999999</c:v>
                </c:pt>
                <c:pt idx="866">
                  <c:v>7498.75</c:v>
                </c:pt>
                <c:pt idx="867">
                  <c:v>7512.5498049999997</c:v>
                </c:pt>
                <c:pt idx="868">
                  <c:v>7604.3500979999999</c:v>
                </c:pt>
                <c:pt idx="869">
                  <c:v>7704.25</c:v>
                </c:pt>
                <c:pt idx="870">
                  <c:v>7714.8999020000001</c:v>
                </c:pt>
                <c:pt idx="871">
                  <c:v>7716.5</c:v>
                </c:pt>
                <c:pt idx="872">
                  <c:v>7615.1000979999999</c:v>
                </c:pt>
                <c:pt idx="873">
                  <c:v>7597</c:v>
                </c:pt>
                <c:pt idx="874">
                  <c:v>7735.2001950000003</c:v>
                </c:pt>
                <c:pt idx="875">
                  <c:v>7738.3999020000001</c:v>
                </c:pt>
                <c:pt idx="876">
                  <c:v>7713.0498049999997</c:v>
                </c:pt>
                <c:pt idx="877">
                  <c:v>7758.7998049999997</c:v>
                </c:pt>
                <c:pt idx="878">
                  <c:v>7603.2001950000003</c:v>
                </c:pt>
                <c:pt idx="879">
                  <c:v>7614.3500979999999</c:v>
                </c:pt>
                <c:pt idx="880">
                  <c:v>7546.4501950000003</c:v>
                </c:pt>
                <c:pt idx="881">
                  <c:v>7555.2001950000003</c:v>
                </c:pt>
                <c:pt idx="882">
                  <c:v>7671.3999020000001</c:v>
                </c:pt>
                <c:pt idx="883">
                  <c:v>7708.9501950000003</c:v>
                </c:pt>
                <c:pt idx="884">
                  <c:v>7850.4501950000003</c:v>
                </c:pt>
                <c:pt idx="885">
                  <c:v>7914.7001950000003</c:v>
                </c:pt>
                <c:pt idx="886">
                  <c:v>7914.75</c:v>
                </c:pt>
                <c:pt idx="887">
                  <c:v>7912.0498049999997</c:v>
                </c:pt>
                <c:pt idx="888">
                  <c:v>7899.2998049999997</c:v>
                </c:pt>
                <c:pt idx="889">
                  <c:v>7855.0498049999997</c:v>
                </c:pt>
                <c:pt idx="890">
                  <c:v>7962.6499020000001</c:v>
                </c:pt>
                <c:pt idx="891">
                  <c:v>7979.8999020000001</c:v>
                </c:pt>
                <c:pt idx="892">
                  <c:v>7847.25</c:v>
                </c:pt>
                <c:pt idx="893">
                  <c:v>7849.7998049999997</c:v>
                </c:pt>
                <c:pt idx="894">
                  <c:v>7805.8999020000001</c:v>
                </c:pt>
                <c:pt idx="895">
                  <c:v>7747</c:v>
                </c:pt>
                <c:pt idx="896">
                  <c:v>7706.5498049999997</c:v>
                </c:pt>
                <c:pt idx="897">
                  <c:v>7735.5</c:v>
                </c:pt>
                <c:pt idx="898">
                  <c:v>7733.4501950000003</c:v>
                </c:pt>
                <c:pt idx="899">
                  <c:v>7866.0498049999997</c:v>
                </c:pt>
                <c:pt idx="900">
                  <c:v>7887.7998049999997</c:v>
                </c:pt>
                <c:pt idx="901">
                  <c:v>7848.8500979999999</c:v>
                </c:pt>
                <c:pt idx="902">
                  <c:v>7900.3999020000001</c:v>
                </c:pt>
                <c:pt idx="903">
                  <c:v>7814.8999020000001</c:v>
                </c:pt>
                <c:pt idx="904">
                  <c:v>7860.75</c:v>
                </c:pt>
                <c:pt idx="905">
                  <c:v>7890.75</c:v>
                </c:pt>
                <c:pt idx="906">
                  <c:v>7870.1499020000001</c:v>
                </c:pt>
                <c:pt idx="907">
                  <c:v>7783.3999020000001</c:v>
                </c:pt>
                <c:pt idx="908">
                  <c:v>7749.7001950000003</c:v>
                </c:pt>
                <c:pt idx="909">
                  <c:v>7731.0498049999997</c:v>
                </c:pt>
                <c:pt idx="910">
                  <c:v>7748.8500979999999</c:v>
                </c:pt>
                <c:pt idx="911">
                  <c:v>7934.8999020000001</c:v>
                </c:pt>
                <c:pt idx="912">
                  <c:v>8069.6499020000001</c:v>
                </c:pt>
                <c:pt idx="913">
                  <c:v>8156.6499020000001</c:v>
                </c:pt>
                <c:pt idx="914">
                  <c:v>8178.5</c:v>
                </c:pt>
                <c:pt idx="915">
                  <c:v>8160.1000979999999</c:v>
                </c:pt>
                <c:pt idx="916">
                  <c:v>8179.9501950000003</c:v>
                </c:pt>
                <c:pt idx="917">
                  <c:v>8218.9501949999994</c:v>
                </c:pt>
                <c:pt idx="918">
                  <c:v>8220.7998050000006</c:v>
                </c:pt>
                <c:pt idx="919">
                  <c:v>8201.0498050000006</c:v>
                </c:pt>
                <c:pt idx="920">
                  <c:v>8266.4501949999994</c:v>
                </c:pt>
                <c:pt idx="921">
                  <c:v>8273.0498050000006</c:v>
                </c:pt>
                <c:pt idx="922">
                  <c:v>8203.5996090000008</c:v>
                </c:pt>
                <c:pt idx="923">
                  <c:v>8170.0498049999997</c:v>
                </c:pt>
                <c:pt idx="924">
                  <c:v>8110.6000979999999</c:v>
                </c:pt>
                <c:pt idx="925">
                  <c:v>8108.8500979999999</c:v>
                </c:pt>
                <c:pt idx="926">
                  <c:v>8206.5996090000008</c:v>
                </c:pt>
                <c:pt idx="927">
                  <c:v>8140.75</c:v>
                </c:pt>
                <c:pt idx="928">
                  <c:v>8170.2001950000003</c:v>
                </c:pt>
                <c:pt idx="929">
                  <c:v>8238.5</c:v>
                </c:pt>
                <c:pt idx="930">
                  <c:v>8219.9003909999992</c:v>
                </c:pt>
                <c:pt idx="931">
                  <c:v>8203.7001949999994</c:v>
                </c:pt>
                <c:pt idx="932">
                  <c:v>8270.4501949999994</c:v>
                </c:pt>
                <c:pt idx="933">
                  <c:v>8088.6000979999999</c:v>
                </c:pt>
                <c:pt idx="934">
                  <c:v>8094.7001950000003</c:v>
                </c:pt>
                <c:pt idx="935">
                  <c:v>8127.8500979999999</c:v>
                </c:pt>
                <c:pt idx="936">
                  <c:v>8204</c:v>
                </c:pt>
                <c:pt idx="937">
                  <c:v>8287.75</c:v>
                </c:pt>
                <c:pt idx="938">
                  <c:v>8328.3496090000008</c:v>
                </c:pt>
                <c:pt idx="939">
                  <c:v>8370.7001949999994</c:v>
                </c:pt>
                <c:pt idx="940">
                  <c:v>8335.9501949999994</c:v>
                </c:pt>
                <c:pt idx="941">
                  <c:v>8337.9003909999992</c:v>
                </c:pt>
                <c:pt idx="942">
                  <c:v>8323.2001949999994</c:v>
                </c:pt>
                <c:pt idx="943">
                  <c:v>8467.9003909999992</c:v>
                </c:pt>
                <c:pt idx="944">
                  <c:v>8521.0498050000006</c:v>
                </c:pt>
                <c:pt idx="945">
                  <c:v>8519.5</c:v>
                </c:pt>
                <c:pt idx="946">
                  <c:v>8565</c:v>
                </c:pt>
                <c:pt idx="947">
                  <c:v>8541.4003909999992</c:v>
                </c:pt>
                <c:pt idx="948">
                  <c:v>8508.7001949999994</c:v>
                </c:pt>
                <c:pt idx="949">
                  <c:v>8528.5498050000006</c:v>
                </c:pt>
                <c:pt idx="950">
                  <c:v>8565.8496090000008</c:v>
                </c:pt>
                <c:pt idx="951">
                  <c:v>8510.0996090000008</c:v>
                </c:pt>
                <c:pt idx="952">
                  <c:v>8541.2001949999994</c:v>
                </c:pt>
                <c:pt idx="953">
                  <c:v>8635.6503909999992</c:v>
                </c:pt>
                <c:pt idx="954">
                  <c:v>8590.6503909999992</c:v>
                </c:pt>
                <c:pt idx="955">
                  <c:v>8615.7998050000006</c:v>
                </c:pt>
                <c:pt idx="956">
                  <c:v>8666.2998050000006</c:v>
                </c:pt>
                <c:pt idx="957">
                  <c:v>8638.5</c:v>
                </c:pt>
                <c:pt idx="958">
                  <c:v>8636.5498050000006</c:v>
                </c:pt>
                <c:pt idx="959">
                  <c:v>8622.9003909999992</c:v>
                </c:pt>
                <c:pt idx="960">
                  <c:v>8544.8496090000008</c:v>
                </c:pt>
                <c:pt idx="961">
                  <c:v>8551.0996090000008</c:v>
                </c:pt>
                <c:pt idx="962">
                  <c:v>8683.1503909999992</c:v>
                </c:pt>
                <c:pt idx="963">
                  <c:v>8711.3496090000008</c:v>
                </c:pt>
                <c:pt idx="964">
                  <c:v>8678.25</c:v>
                </c:pt>
                <c:pt idx="965">
                  <c:v>8575.2998050000006</c:v>
                </c:pt>
                <c:pt idx="966">
                  <c:v>8592.1503909999992</c:v>
                </c:pt>
                <c:pt idx="967">
                  <c:v>8642.5498050000006</c:v>
                </c:pt>
                <c:pt idx="968">
                  <c:v>8624.0498050000006</c:v>
                </c:pt>
                <c:pt idx="969">
                  <c:v>8673.25</c:v>
                </c:pt>
                <c:pt idx="970">
                  <c:v>8666.9003909999992</c:v>
                </c:pt>
                <c:pt idx="971">
                  <c:v>8629.1503909999992</c:v>
                </c:pt>
                <c:pt idx="972">
                  <c:v>8632.5996090000008</c:v>
                </c:pt>
                <c:pt idx="973">
                  <c:v>8650.2998050000006</c:v>
                </c:pt>
                <c:pt idx="974">
                  <c:v>8592.2001949999994</c:v>
                </c:pt>
                <c:pt idx="975">
                  <c:v>8572.5498050000006</c:v>
                </c:pt>
                <c:pt idx="976">
                  <c:v>8607.4501949999994</c:v>
                </c:pt>
                <c:pt idx="977">
                  <c:v>8744.3496090000008</c:v>
                </c:pt>
                <c:pt idx="978">
                  <c:v>8786.2001949999994</c:v>
                </c:pt>
                <c:pt idx="979">
                  <c:v>8774.6503909999992</c:v>
                </c:pt>
                <c:pt idx="980">
                  <c:v>8809.6503909999992</c:v>
                </c:pt>
                <c:pt idx="981">
                  <c:v>8943</c:v>
                </c:pt>
                <c:pt idx="982">
                  <c:v>8917.9501949999994</c:v>
                </c:pt>
                <c:pt idx="983">
                  <c:v>8952.5</c:v>
                </c:pt>
                <c:pt idx="984">
                  <c:v>8866.7001949999994</c:v>
                </c:pt>
                <c:pt idx="985">
                  <c:v>8715.5996090000008</c:v>
                </c:pt>
                <c:pt idx="986">
                  <c:v>8726.5996090000008</c:v>
                </c:pt>
                <c:pt idx="987">
                  <c:v>8742.5498050000006</c:v>
                </c:pt>
                <c:pt idx="988">
                  <c:v>8779.8496090000008</c:v>
                </c:pt>
                <c:pt idx="989">
                  <c:v>8808.4003909999992</c:v>
                </c:pt>
                <c:pt idx="990">
                  <c:v>8775.9003909999992</c:v>
                </c:pt>
                <c:pt idx="991">
                  <c:v>8777.1503909999992</c:v>
                </c:pt>
                <c:pt idx="992">
                  <c:v>8867.4501949999994</c:v>
                </c:pt>
                <c:pt idx="993">
                  <c:v>8831.5498050000006</c:v>
                </c:pt>
                <c:pt idx="994">
                  <c:v>8723.0498050000006</c:v>
                </c:pt>
                <c:pt idx="995">
                  <c:v>8706.4003909999992</c:v>
                </c:pt>
                <c:pt idx="996">
                  <c:v>8745.1503909999992</c:v>
                </c:pt>
                <c:pt idx="997">
                  <c:v>8591.25</c:v>
                </c:pt>
                <c:pt idx="998">
                  <c:v>8611.1503909999992</c:v>
                </c:pt>
                <c:pt idx="999">
                  <c:v>8738.0996090000008</c:v>
                </c:pt>
                <c:pt idx="1000">
                  <c:v>8769.1503909999992</c:v>
                </c:pt>
                <c:pt idx="1001">
                  <c:v>8743.9501949999994</c:v>
                </c:pt>
                <c:pt idx="1002">
                  <c:v>8709.5498050000006</c:v>
                </c:pt>
                <c:pt idx="1003">
                  <c:v>8697.5996090000008</c:v>
                </c:pt>
                <c:pt idx="1004">
                  <c:v>8708.7998050000006</c:v>
                </c:pt>
                <c:pt idx="1005">
                  <c:v>8573.3496090000008</c:v>
                </c:pt>
                <c:pt idx="1006">
                  <c:v>8583.4003909999992</c:v>
                </c:pt>
                <c:pt idx="1007">
                  <c:v>8520.4003909999992</c:v>
                </c:pt>
                <c:pt idx="1008">
                  <c:v>8677.9003909999992</c:v>
                </c:pt>
                <c:pt idx="1009">
                  <c:v>8659.0996090000008</c:v>
                </c:pt>
                <c:pt idx="1010">
                  <c:v>8699.4003909999992</c:v>
                </c:pt>
                <c:pt idx="1011">
                  <c:v>8693.0498050000006</c:v>
                </c:pt>
                <c:pt idx="1012">
                  <c:v>8708.9501949999994</c:v>
                </c:pt>
                <c:pt idx="1013">
                  <c:v>8691.2998050000006</c:v>
                </c:pt>
                <c:pt idx="1014">
                  <c:v>8615.25</c:v>
                </c:pt>
                <c:pt idx="1015">
                  <c:v>8615.25</c:v>
                </c:pt>
                <c:pt idx="1016">
                  <c:v>8638</c:v>
                </c:pt>
                <c:pt idx="1017">
                  <c:v>8626.25</c:v>
                </c:pt>
                <c:pt idx="1018">
                  <c:v>8514</c:v>
                </c:pt>
                <c:pt idx="1019">
                  <c:v>8484.9501949999994</c:v>
                </c:pt>
                <c:pt idx="1020">
                  <c:v>8433.75</c:v>
                </c:pt>
                <c:pt idx="1021">
                  <c:v>8497.0498050000006</c:v>
                </c:pt>
                <c:pt idx="1022">
                  <c:v>8543.5498050000006</c:v>
                </c:pt>
                <c:pt idx="1023">
                  <c:v>8432</c:v>
                </c:pt>
                <c:pt idx="1024">
                  <c:v>8525.75</c:v>
                </c:pt>
                <c:pt idx="1025">
                  <c:v>8296.2998050000006</c:v>
                </c:pt>
                <c:pt idx="1026">
                  <c:v>8108.4501950000003</c:v>
                </c:pt>
                <c:pt idx="1027">
                  <c:v>8111.6000979999999</c:v>
                </c:pt>
                <c:pt idx="1028">
                  <c:v>8079.9501950000003</c:v>
                </c:pt>
                <c:pt idx="1029">
                  <c:v>8074.1000979999999</c:v>
                </c:pt>
                <c:pt idx="1030">
                  <c:v>7929.1000979999999</c:v>
                </c:pt>
                <c:pt idx="1031">
                  <c:v>8002.2998049999997</c:v>
                </c:pt>
                <c:pt idx="1032">
                  <c:v>8033.2998049999997</c:v>
                </c:pt>
                <c:pt idx="1033">
                  <c:v>7965.5</c:v>
                </c:pt>
                <c:pt idx="1034">
                  <c:v>8114.2998049999997</c:v>
                </c:pt>
                <c:pt idx="1035">
                  <c:v>8126.8999020000001</c:v>
                </c:pt>
                <c:pt idx="1036">
                  <c:v>8142.1499020000001</c:v>
                </c:pt>
                <c:pt idx="1037">
                  <c:v>8224.5</c:v>
                </c:pt>
                <c:pt idx="1038">
                  <c:v>8192.9003909999992</c:v>
                </c:pt>
                <c:pt idx="1039">
                  <c:v>8086.7998049999997</c:v>
                </c:pt>
                <c:pt idx="1040">
                  <c:v>8128.75</c:v>
                </c:pt>
                <c:pt idx="1041">
                  <c:v>8143.1499020000001</c:v>
                </c:pt>
                <c:pt idx="1042">
                  <c:v>8102.0498049999997</c:v>
                </c:pt>
                <c:pt idx="1043">
                  <c:v>8246.8496090000008</c:v>
                </c:pt>
                <c:pt idx="1044">
                  <c:v>8261.75</c:v>
                </c:pt>
                <c:pt idx="1045">
                  <c:v>8170.7998049999997</c:v>
                </c:pt>
                <c:pt idx="1046">
                  <c:v>8221.7998050000006</c:v>
                </c:pt>
                <c:pt idx="1047">
                  <c:v>8182.4501950000003</c:v>
                </c:pt>
                <c:pt idx="1048">
                  <c:v>8153.6000979999999</c:v>
                </c:pt>
                <c:pt idx="1049">
                  <c:v>8139.4501950000003</c:v>
                </c:pt>
                <c:pt idx="1050">
                  <c:v>8104.3500979999999</c:v>
                </c:pt>
                <c:pt idx="1051">
                  <c:v>8082.3999020000001</c:v>
                </c:pt>
                <c:pt idx="1052">
                  <c:v>8061.2998049999997</c:v>
                </c:pt>
                <c:pt idx="1053">
                  <c:v>7979.1000979999999</c:v>
                </c:pt>
                <c:pt idx="1054">
                  <c:v>7985.75</c:v>
                </c:pt>
                <c:pt idx="1055">
                  <c:v>7908.25</c:v>
                </c:pt>
                <c:pt idx="1056">
                  <c:v>8032.8500979999999</c:v>
                </c:pt>
                <c:pt idx="1057">
                  <c:v>8034.8500979999999</c:v>
                </c:pt>
                <c:pt idx="1058">
                  <c:v>8103.6000979999999</c:v>
                </c:pt>
                <c:pt idx="1059">
                  <c:v>8185.7998049999997</c:v>
                </c:pt>
                <c:pt idx="1060">
                  <c:v>8179.5</c:v>
                </c:pt>
                <c:pt idx="1061">
                  <c:v>8192.25</c:v>
                </c:pt>
                <c:pt idx="1062">
                  <c:v>8190.5</c:v>
                </c:pt>
                <c:pt idx="1063">
                  <c:v>8273.7998050000006</c:v>
                </c:pt>
                <c:pt idx="1064">
                  <c:v>8243.7998050000006</c:v>
                </c:pt>
                <c:pt idx="1065">
                  <c:v>8236.0498050000006</c:v>
                </c:pt>
                <c:pt idx="1066">
                  <c:v>8288.5996090000008</c:v>
                </c:pt>
                <c:pt idx="1067">
                  <c:v>8380.6503909999992</c:v>
                </c:pt>
                <c:pt idx="1068">
                  <c:v>8407.2001949999994</c:v>
                </c:pt>
                <c:pt idx="1069">
                  <c:v>8400.3496090000008</c:v>
                </c:pt>
                <c:pt idx="1070">
                  <c:v>8412.7998050000006</c:v>
                </c:pt>
                <c:pt idx="1071">
                  <c:v>8398</c:v>
                </c:pt>
                <c:pt idx="1072">
                  <c:v>8417</c:v>
                </c:pt>
                <c:pt idx="1073">
                  <c:v>8435.0996090000008</c:v>
                </c:pt>
                <c:pt idx="1074">
                  <c:v>8349.3496090000008</c:v>
                </c:pt>
                <c:pt idx="1075">
                  <c:v>8391.5</c:v>
                </c:pt>
                <c:pt idx="1076">
                  <c:v>8475.7998050000006</c:v>
                </c:pt>
                <c:pt idx="1077">
                  <c:v>8602.75</c:v>
                </c:pt>
                <c:pt idx="1078">
                  <c:v>8641.25</c:v>
                </c:pt>
                <c:pt idx="1079">
                  <c:v>8632.75</c:v>
                </c:pt>
                <c:pt idx="1080">
                  <c:v>8561.2998050000006</c:v>
                </c:pt>
                <c:pt idx="1081">
                  <c:v>8716.4003909999992</c:v>
                </c:pt>
                <c:pt idx="1082">
                  <c:v>8734.25</c:v>
                </c:pt>
                <c:pt idx="1083">
                  <c:v>8740.9501949999994</c:v>
                </c:pt>
                <c:pt idx="1084">
                  <c:v>8801.0498050000006</c:v>
                </c:pt>
                <c:pt idx="1085">
                  <c:v>8768.2998050000006</c:v>
                </c:pt>
                <c:pt idx="1086">
                  <c:v>8769.0498050000006</c:v>
                </c:pt>
                <c:pt idx="1087">
                  <c:v>8778.4003909999992</c:v>
                </c:pt>
                <c:pt idx="1088">
                  <c:v>8793.5498050000006</c:v>
                </c:pt>
                <c:pt idx="1089">
                  <c:v>8805.0498050000006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BollingerBand_Nifty!$C$1</c:f>
              <c:strCache>
                <c:ptCount val="1"/>
                <c:pt idx="0">
                  <c:v>SMA_20</c:v>
                </c:pt>
              </c:strCache>
            </c:strRef>
          </c:tx>
          <c:marker>
            <c:symbol val="none"/>
          </c:marker>
          <c:cat>
            <c:numRef>
              <c:f>BollingerBand_Nifty!$A$2:$A$1091</c:f>
              <c:numCache>
                <c:formatCode>m/d/yyyy</c:formatCode>
                <c:ptCount val="1090"/>
                <c:pt idx="0">
                  <c:v>41169</c:v>
                </c:pt>
                <c:pt idx="1">
                  <c:v>41170</c:v>
                </c:pt>
                <c:pt idx="2">
                  <c:v>41171</c:v>
                </c:pt>
                <c:pt idx="3">
                  <c:v>41172</c:v>
                </c:pt>
                <c:pt idx="4">
                  <c:v>41173</c:v>
                </c:pt>
                <c:pt idx="5">
                  <c:v>41176</c:v>
                </c:pt>
                <c:pt idx="6">
                  <c:v>41177</c:v>
                </c:pt>
                <c:pt idx="7">
                  <c:v>41178</c:v>
                </c:pt>
                <c:pt idx="8">
                  <c:v>41179</c:v>
                </c:pt>
                <c:pt idx="9">
                  <c:v>41180</c:v>
                </c:pt>
                <c:pt idx="10">
                  <c:v>41183</c:v>
                </c:pt>
                <c:pt idx="11">
                  <c:v>41184</c:v>
                </c:pt>
                <c:pt idx="12">
                  <c:v>41185</c:v>
                </c:pt>
                <c:pt idx="13">
                  <c:v>41186</c:v>
                </c:pt>
                <c:pt idx="14">
                  <c:v>41187</c:v>
                </c:pt>
                <c:pt idx="15">
                  <c:v>41190</c:v>
                </c:pt>
                <c:pt idx="16">
                  <c:v>41191</c:v>
                </c:pt>
                <c:pt idx="17">
                  <c:v>41192</c:v>
                </c:pt>
                <c:pt idx="18">
                  <c:v>41193</c:v>
                </c:pt>
                <c:pt idx="19">
                  <c:v>41194</c:v>
                </c:pt>
                <c:pt idx="20">
                  <c:v>41197</c:v>
                </c:pt>
                <c:pt idx="21">
                  <c:v>41198</c:v>
                </c:pt>
                <c:pt idx="22">
                  <c:v>41199</c:v>
                </c:pt>
                <c:pt idx="23">
                  <c:v>41200</c:v>
                </c:pt>
                <c:pt idx="24">
                  <c:v>41201</c:v>
                </c:pt>
                <c:pt idx="25">
                  <c:v>41204</c:v>
                </c:pt>
                <c:pt idx="26">
                  <c:v>41205</c:v>
                </c:pt>
                <c:pt idx="27">
                  <c:v>41206</c:v>
                </c:pt>
                <c:pt idx="28">
                  <c:v>41207</c:v>
                </c:pt>
                <c:pt idx="29">
                  <c:v>41208</c:v>
                </c:pt>
                <c:pt idx="30">
                  <c:v>41211</c:v>
                </c:pt>
                <c:pt idx="31">
                  <c:v>41212</c:v>
                </c:pt>
                <c:pt idx="32">
                  <c:v>41213</c:v>
                </c:pt>
                <c:pt idx="33">
                  <c:v>41214</c:v>
                </c:pt>
                <c:pt idx="34">
                  <c:v>41215</c:v>
                </c:pt>
                <c:pt idx="35">
                  <c:v>41218</c:v>
                </c:pt>
                <c:pt idx="36">
                  <c:v>41219</c:v>
                </c:pt>
                <c:pt idx="37">
                  <c:v>41220</c:v>
                </c:pt>
                <c:pt idx="38">
                  <c:v>41221</c:v>
                </c:pt>
                <c:pt idx="39">
                  <c:v>41222</c:v>
                </c:pt>
                <c:pt idx="40">
                  <c:v>41225</c:v>
                </c:pt>
                <c:pt idx="41">
                  <c:v>41226</c:v>
                </c:pt>
                <c:pt idx="42">
                  <c:v>41227</c:v>
                </c:pt>
                <c:pt idx="43">
                  <c:v>41228</c:v>
                </c:pt>
                <c:pt idx="44">
                  <c:v>41229</c:v>
                </c:pt>
                <c:pt idx="45">
                  <c:v>41232</c:v>
                </c:pt>
                <c:pt idx="46">
                  <c:v>41233</c:v>
                </c:pt>
                <c:pt idx="47">
                  <c:v>41234</c:v>
                </c:pt>
                <c:pt idx="48">
                  <c:v>41235</c:v>
                </c:pt>
                <c:pt idx="49">
                  <c:v>41236</c:v>
                </c:pt>
                <c:pt idx="50">
                  <c:v>41239</c:v>
                </c:pt>
                <c:pt idx="51">
                  <c:v>41240</c:v>
                </c:pt>
                <c:pt idx="52">
                  <c:v>41241</c:v>
                </c:pt>
                <c:pt idx="53">
                  <c:v>41242</c:v>
                </c:pt>
                <c:pt idx="54">
                  <c:v>41243</c:v>
                </c:pt>
                <c:pt idx="55">
                  <c:v>41246</c:v>
                </c:pt>
                <c:pt idx="56">
                  <c:v>41247</c:v>
                </c:pt>
                <c:pt idx="57">
                  <c:v>41248</c:v>
                </c:pt>
                <c:pt idx="58">
                  <c:v>41249</c:v>
                </c:pt>
                <c:pt idx="59">
                  <c:v>41250</c:v>
                </c:pt>
                <c:pt idx="60">
                  <c:v>41253</c:v>
                </c:pt>
                <c:pt idx="61">
                  <c:v>41254</c:v>
                </c:pt>
                <c:pt idx="62">
                  <c:v>41255</c:v>
                </c:pt>
                <c:pt idx="63">
                  <c:v>41256</c:v>
                </c:pt>
                <c:pt idx="64">
                  <c:v>41257</c:v>
                </c:pt>
                <c:pt idx="65">
                  <c:v>41260</c:v>
                </c:pt>
                <c:pt idx="66">
                  <c:v>41261</c:v>
                </c:pt>
                <c:pt idx="67">
                  <c:v>41262</c:v>
                </c:pt>
                <c:pt idx="68">
                  <c:v>41263</c:v>
                </c:pt>
                <c:pt idx="69">
                  <c:v>41264</c:v>
                </c:pt>
                <c:pt idx="70">
                  <c:v>41267</c:v>
                </c:pt>
                <c:pt idx="71">
                  <c:v>41269</c:v>
                </c:pt>
                <c:pt idx="72">
                  <c:v>41270</c:v>
                </c:pt>
                <c:pt idx="73">
                  <c:v>41271</c:v>
                </c:pt>
                <c:pt idx="74">
                  <c:v>41274</c:v>
                </c:pt>
                <c:pt idx="75">
                  <c:v>41276</c:v>
                </c:pt>
                <c:pt idx="76">
                  <c:v>41277</c:v>
                </c:pt>
                <c:pt idx="77">
                  <c:v>41278</c:v>
                </c:pt>
                <c:pt idx="78">
                  <c:v>41281</c:v>
                </c:pt>
                <c:pt idx="79">
                  <c:v>41282</c:v>
                </c:pt>
                <c:pt idx="80">
                  <c:v>41283</c:v>
                </c:pt>
                <c:pt idx="81">
                  <c:v>41284</c:v>
                </c:pt>
                <c:pt idx="82">
                  <c:v>41285</c:v>
                </c:pt>
                <c:pt idx="83">
                  <c:v>41288</c:v>
                </c:pt>
                <c:pt idx="84">
                  <c:v>41289</c:v>
                </c:pt>
                <c:pt idx="85">
                  <c:v>41290</c:v>
                </c:pt>
                <c:pt idx="86">
                  <c:v>41291</c:v>
                </c:pt>
                <c:pt idx="87">
                  <c:v>41292</c:v>
                </c:pt>
                <c:pt idx="88">
                  <c:v>41295</c:v>
                </c:pt>
                <c:pt idx="89">
                  <c:v>41296</c:v>
                </c:pt>
                <c:pt idx="90">
                  <c:v>41297</c:v>
                </c:pt>
                <c:pt idx="91">
                  <c:v>41298</c:v>
                </c:pt>
                <c:pt idx="92">
                  <c:v>41299</c:v>
                </c:pt>
                <c:pt idx="93">
                  <c:v>41302</c:v>
                </c:pt>
                <c:pt idx="94">
                  <c:v>41303</c:v>
                </c:pt>
                <c:pt idx="95">
                  <c:v>41304</c:v>
                </c:pt>
                <c:pt idx="96">
                  <c:v>41305</c:v>
                </c:pt>
                <c:pt idx="97">
                  <c:v>41306</c:v>
                </c:pt>
                <c:pt idx="98">
                  <c:v>41309</c:v>
                </c:pt>
                <c:pt idx="99">
                  <c:v>41310</c:v>
                </c:pt>
                <c:pt idx="100">
                  <c:v>41311</c:v>
                </c:pt>
                <c:pt idx="101">
                  <c:v>41312</c:v>
                </c:pt>
                <c:pt idx="102">
                  <c:v>41313</c:v>
                </c:pt>
                <c:pt idx="103">
                  <c:v>41316</c:v>
                </c:pt>
                <c:pt idx="104">
                  <c:v>41317</c:v>
                </c:pt>
                <c:pt idx="105">
                  <c:v>41318</c:v>
                </c:pt>
                <c:pt idx="106">
                  <c:v>41319</c:v>
                </c:pt>
                <c:pt idx="107">
                  <c:v>41320</c:v>
                </c:pt>
                <c:pt idx="108">
                  <c:v>41323</c:v>
                </c:pt>
                <c:pt idx="109">
                  <c:v>41324</c:v>
                </c:pt>
                <c:pt idx="110">
                  <c:v>41325</c:v>
                </c:pt>
                <c:pt idx="111">
                  <c:v>41326</c:v>
                </c:pt>
                <c:pt idx="112">
                  <c:v>41327</c:v>
                </c:pt>
                <c:pt idx="113">
                  <c:v>41330</c:v>
                </c:pt>
                <c:pt idx="114">
                  <c:v>41331</c:v>
                </c:pt>
                <c:pt idx="115">
                  <c:v>41332</c:v>
                </c:pt>
                <c:pt idx="116">
                  <c:v>41333</c:v>
                </c:pt>
                <c:pt idx="117">
                  <c:v>41334</c:v>
                </c:pt>
                <c:pt idx="118">
                  <c:v>41337</c:v>
                </c:pt>
                <c:pt idx="119">
                  <c:v>41338</c:v>
                </c:pt>
                <c:pt idx="120">
                  <c:v>41339</c:v>
                </c:pt>
                <c:pt idx="121">
                  <c:v>41340</c:v>
                </c:pt>
                <c:pt idx="122">
                  <c:v>41341</c:v>
                </c:pt>
                <c:pt idx="123">
                  <c:v>41344</c:v>
                </c:pt>
                <c:pt idx="124">
                  <c:v>41345</c:v>
                </c:pt>
                <c:pt idx="125">
                  <c:v>41346</c:v>
                </c:pt>
                <c:pt idx="126">
                  <c:v>41347</c:v>
                </c:pt>
                <c:pt idx="127">
                  <c:v>41348</c:v>
                </c:pt>
                <c:pt idx="128">
                  <c:v>41351</c:v>
                </c:pt>
                <c:pt idx="129">
                  <c:v>41352</c:v>
                </c:pt>
                <c:pt idx="130">
                  <c:v>41353</c:v>
                </c:pt>
                <c:pt idx="131">
                  <c:v>41354</c:v>
                </c:pt>
                <c:pt idx="132">
                  <c:v>41355</c:v>
                </c:pt>
                <c:pt idx="133">
                  <c:v>41358</c:v>
                </c:pt>
                <c:pt idx="134">
                  <c:v>41359</c:v>
                </c:pt>
                <c:pt idx="135">
                  <c:v>41360</c:v>
                </c:pt>
                <c:pt idx="136">
                  <c:v>41361</c:v>
                </c:pt>
                <c:pt idx="137">
                  <c:v>41365</c:v>
                </c:pt>
                <c:pt idx="138">
                  <c:v>41366</c:v>
                </c:pt>
                <c:pt idx="139">
                  <c:v>41367</c:v>
                </c:pt>
                <c:pt idx="140">
                  <c:v>41368</c:v>
                </c:pt>
                <c:pt idx="141">
                  <c:v>41369</c:v>
                </c:pt>
                <c:pt idx="142">
                  <c:v>41372</c:v>
                </c:pt>
                <c:pt idx="143">
                  <c:v>41373</c:v>
                </c:pt>
                <c:pt idx="144">
                  <c:v>41374</c:v>
                </c:pt>
                <c:pt idx="145">
                  <c:v>41375</c:v>
                </c:pt>
                <c:pt idx="146">
                  <c:v>41376</c:v>
                </c:pt>
                <c:pt idx="147">
                  <c:v>41379</c:v>
                </c:pt>
                <c:pt idx="148">
                  <c:v>41380</c:v>
                </c:pt>
                <c:pt idx="149">
                  <c:v>41381</c:v>
                </c:pt>
                <c:pt idx="150">
                  <c:v>41382</c:v>
                </c:pt>
                <c:pt idx="151">
                  <c:v>41383</c:v>
                </c:pt>
                <c:pt idx="152">
                  <c:v>41386</c:v>
                </c:pt>
                <c:pt idx="153">
                  <c:v>41387</c:v>
                </c:pt>
                <c:pt idx="154">
                  <c:v>41388</c:v>
                </c:pt>
                <c:pt idx="155">
                  <c:v>41389</c:v>
                </c:pt>
                <c:pt idx="156">
                  <c:v>41390</c:v>
                </c:pt>
                <c:pt idx="157">
                  <c:v>41393</c:v>
                </c:pt>
                <c:pt idx="158">
                  <c:v>41394</c:v>
                </c:pt>
                <c:pt idx="159">
                  <c:v>41395</c:v>
                </c:pt>
                <c:pt idx="160">
                  <c:v>41396</c:v>
                </c:pt>
                <c:pt idx="161">
                  <c:v>41397</c:v>
                </c:pt>
                <c:pt idx="162">
                  <c:v>41400</c:v>
                </c:pt>
                <c:pt idx="163">
                  <c:v>41401</c:v>
                </c:pt>
                <c:pt idx="164">
                  <c:v>41402</c:v>
                </c:pt>
                <c:pt idx="165">
                  <c:v>41403</c:v>
                </c:pt>
                <c:pt idx="166">
                  <c:v>41404</c:v>
                </c:pt>
                <c:pt idx="167">
                  <c:v>41407</c:v>
                </c:pt>
                <c:pt idx="168">
                  <c:v>41408</c:v>
                </c:pt>
                <c:pt idx="169">
                  <c:v>41409</c:v>
                </c:pt>
                <c:pt idx="170">
                  <c:v>41410</c:v>
                </c:pt>
                <c:pt idx="171">
                  <c:v>41411</c:v>
                </c:pt>
                <c:pt idx="172">
                  <c:v>41414</c:v>
                </c:pt>
                <c:pt idx="173">
                  <c:v>41415</c:v>
                </c:pt>
                <c:pt idx="174">
                  <c:v>41416</c:v>
                </c:pt>
                <c:pt idx="175">
                  <c:v>41417</c:v>
                </c:pt>
                <c:pt idx="176">
                  <c:v>41418</c:v>
                </c:pt>
                <c:pt idx="177">
                  <c:v>41421</c:v>
                </c:pt>
                <c:pt idx="178">
                  <c:v>41422</c:v>
                </c:pt>
                <c:pt idx="179">
                  <c:v>41423</c:v>
                </c:pt>
                <c:pt idx="180">
                  <c:v>41424</c:v>
                </c:pt>
                <c:pt idx="181">
                  <c:v>41425</c:v>
                </c:pt>
                <c:pt idx="182">
                  <c:v>41428</c:v>
                </c:pt>
                <c:pt idx="183">
                  <c:v>41429</c:v>
                </c:pt>
                <c:pt idx="184">
                  <c:v>41430</c:v>
                </c:pt>
                <c:pt idx="185">
                  <c:v>41431</c:v>
                </c:pt>
                <c:pt idx="186">
                  <c:v>41432</c:v>
                </c:pt>
                <c:pt idx="187">
                  <c:v>41435</c:v>
                </c:pt>
                <c:pt idx="188">
                  <c:v>41436</c:v>
                </c:pt>
                <c:pt idx="189">
                  <c:v>41437</c:v>
                </c:pt>
                <c:pt idx="190">
                  <c:v>41438</c:v>
                </c:pt>
                <c:pt idx="191">
                  <c:v>41439</c:v>
                </c:pt>
                <c:pt idx="192">
                  <c:v>41442</c:v>
                </c:pt>
                <c:pt idx="193">
                  <c:v>41443</c:v>
                </c:pt>
                <c:pt idx="194">
                  <c:v>41444</c:v>
                </c:pt>
                <c:pt idx="195">
                  <c:v>41445</c:v>
                </c:pt>
                <c:pt idx="196">
                  <c:v>41446</c:v>
                </c:pt>
                <c:pt idx="197">
                  <c:v>41449</c:v>
                </c:pt>
                <c:pt idx="198">
                  <c:v>41450</c:v>
                </c:pt>
                <c:pt idx="199">
                  <c:v>41451</c:v>
                </c:pt>
                <c:pt idx="200">
                  <c:v>41452</c:v>
                </c:pt>
                <c:pt idx="201">
                  <c:v>41453</c:v>
                </c:pt>
                <c:pt idx="202">
                  <c:v>41456</c:v>
                </c:pt>
                <c:pt idx="203">
                  <c:v>41457</c:v>
                </c:pt>
                <c:pt idx="204">
                  <c:v>41458</c:v>
                </c:pt>
                <c:pt idx="205">
                  <c:v>41459</c:v>
                </c:pt>
                <c:pt idx="206">
                  <c:v>41460</c:v>
                </c:pt>
                <c:pt idx="207">
                  <c:v>41463</c:v>
                </c:pt>
                <c:pt idx="208">
                  <c:v>41464</c:v>
                </c:pt>
                <c:pt idx="209">
                  <c:v>41465</c:v>
                </c:pt>
                <c:pt idx="210">
                  <c:v>41466</c:v>
                </c:pt>
                <c:pt idx="211">
                  <c:v>41467</c:v>
                </c:pt>
                <c:pt idx="212">
                  <c:v>41470</c:v>
                </c:pt>
                <c:pt idx="213">
                  <c:v>41471</c:v>
                </c:pt>
                <c:pt idx="214">
                  <c:v>41472</c:v>
                </c:pt>
                <c:pt idx="215">
                  <c:v>41473</c:v>
                </c:pt>
                <c:pt idx="216">
                  <c:v>41474</c:v>
                </c:pt>
                <c:pt idx="217">
                  <c:v>41477</c:v>
                </c:pt>
                <c:pt idx="218">
                  <c:v>41478</c:v>
                </c:pt>
                <c:pt idx="219">
                  <c:v>41479</c:v>
                </c:pt>
                <c:pt idx="220">
                  <c:v>41480</c:v>
                </c:pt>
                <c:pt idx="221">
                  <c:v>41481</c:v>
                </c:pt>
                <c:pt idx="222">
                  <c:v>41484</c:v>
                </c:pt>
                <c:pt idx="223">
                  <c:v>41485</c:v>
                </c:pt>
                <c:pt idx="224">
                  <c:v>41486</c:v>
                </c:pt>
                <c:pt idx="225">
                  <c:v>41487</c:v>
                </c:pt>
                <c:pt idx="226">
                  <c:v>41488</c:v>
                </c:pt>
                <c:pt idx="227">
                  <c:v>41491</c:v>
                </c:pt>
                <c:pt idx="228">
                  <c:v>41492</c:v>
                </c:pt>
                <c:pt idx="229">
                  <c:v>41493</c:v>
                </c:pt>
                <c:pt idx="230">
                  <c:v>41494</c:v>
                </c:pt>
                <c:pt idx="231">
                  <c:v>41495</c:v>
                </c:pt>
                <c:pt idx="232">
                  <c:v>41498</c:v>
                </c:pt>
                <c:pt idx="233">
                  <c:v>41499</c:v>
                </c:pt>
                <c:pt idx="234">
                  <c:v>41500</c:v>
                </c:pt>
                <c:pt idx="235">
                  <c:v>41501</c:v>
                </c:pt>
                <c:pt idx="236">
                  <c:v>41502</c:v>
                </c:pt>
                <c:pt idx="237">
                  <c:v>41505</c:v>
                </c:pt>
                <c:pt idx="238">
                  <c:v>41506</c:v>
                </c:pt>
                <c:pt idx="239">
                  <c:v>41507</c:v>
                </c:pt>
                <c:pt idx="240">
                  <c:v>41508</c:v>
                </c:pt>
                <c:pt idx="241">
                  <c:v>41509</c:v>
                </c:pt>
                <c:pt idx="242">
                  <c:v>41512</c:v>
                </c:pt>
                <c:pt idx="243">
                  <c:v>41513</c:v>
                </c:pt>
                <c:pt idx="244">
                  <c:v>41514</c:v>
                </c:pt>
                <c:pt idx="245">
                  <c:v>41515</c:v>
                </c:pt>
                <c:pt idx="246">
                  <c:v>41516</c:v>
                </c:pt>
                <c:pt idx="247">
                  <c:v>41519</c:v>
                </c:pt>
                <c:pt idx="248">
                  <c:v>41520</c:v>
                </c:pt>
                <c:pt idx="249">
                  <c:v>41521</c:v>
                </c:pt>
                <c:pt idx="250">
                  <c:v>41522</c:v>
                </c:pt>
                <c:pt idx="251">
                  <c:v>41523</c:v>
                </c:pt>
                <c:pt idx="252">
                  <c:v>41526</c:v>
                </c:pt>
                <c:pt idx="253">
                  <c:v>41527</c:v>
                </c:pt>
                <c:pt idx="254">
                  <c:v>41528</c:v>
                </c:pt>
                <c:pt idx="255">
                  <c:v>41529</c:v>
                </c:pt>
                <c:pt idx="256">
                  <c:v>41530</c:v>
                </c:pt>
                <c:pt idx="257">
                  <c:v>41533</c:v>
                </c:pt>
                <c:pt idx="258">
                  <c:v>41534</c:v>
                </c:pt>
                <c:pt idx="259">
                  <c:v>41535</c:v>
                </c:pt>
                <c:pt idx="260">
                  <c:v>41536</c:v>
                </c:pt>
                <c:pt idx="261">
                  <c:v>41537</c:v>
                </c:pt>
                <c:pt idx="262">
                  <c:v>41540</c:v>
                </c:pt>
                <c:pt idx="263">
                  <c:v>41541</c:v>
                </c:pt>
                <c:pt idx="264">
                  <c:v>41542</c:v>
                </c:pt>
                <c:pt idx="265">
                  <c:v>41543</c:v>
                </c:pt>
                <c:pt idx="266">
                  <c:v>41544</c:v>
                </c:pt>
                <c:pt idx="267">
                  <c:v>41547</c:v>
                </c:pt>
                <c:pt idx="268">
                  <c:v>41548</c:v>
                </c:pt>
                <c:pt idx="269">
                  <c:v>41550</c:v>
                </c:pt>
                <c:pt idx="270">
                  <c:v>41551</c:v>
                </c:pt>
                <c:pt idx="271">
                  <c:v>41554</c:v>
                </c:pt>
                <c:pt idx="272">
                  <c:v>41555</c:v>
                </c:pt>
                <c:pt idx="273">
                  <c:v>41556</c:v>
                </c:pt>
                <c:pt idx="274">
                  <c:v>41557</c:v>
                </c:pt>
                <c:pt idx="275">
                  <c:v>41558</c:v>
                </c:pt>
                <c:pt idx="276">
                  <c:v>41561</c:v>
                </c:pt>
                <c:pt idx="277">
                  <c:v>41562</c:v>
                </c:pt>
                <c:pt idx="278">
                  <c:v>41564</c:v>
                </c:pt>
                <c:pt idx="279">
                  <c:v>41565</c:v>
                </c:pt>
                <c:pt idx="280">
                  <c:v>41568</c:v>
                </c:pt>
                <c:pt idx="281">
                  <c:v>41569</c:v>
                </c:pt>
                <c:pt idx="282">
                  <c:v>41570</c:v>
                </c:pt>
                <c:pt idx="283">
                  <c:v>41571</c:v>
                </c:pt>
                <c:pt idx="284">
                  <c:v>41572</c:v>
                </c:pt>
                <c:pt idx="285">
                  <c:v>41575</c:v>
                </c:pt>
                <c:pt idx="286">
                  <c:v>41576</c:v>
                </c:pt>
                <c:pt idx="287">
                  <c:v>41577</c:v>
                </c:pt>
                <c:pt idx="288">
                  <c:v>41578</c:v>
                </c:pt>
                <c:pt idx="289">
                  <c:v>41579</c:v>
                </c:pt>
                <c:pt idx="290">
                  <c:v>41583</c:v>
                </c:pt>
                <c:pt idx="291">
                  <c:v>41584</c:v>
                </c:pt>
                <c:pt idx="292">
                  <c:v>41585</c:v>
                </c:pt>
                <c:pt idx="293">
                  <c:v>41586</c:v>
                </c:pt>
                <c:pt idx="294">
                  <c:v>41589</c:v>
                </c:pt>
                <c:pt idx="295">
                  <c:v>41590</c:v>
                </c:pt>
                <c:pt idx="296">
                  <c:v>41591</c:v>
                </c:pt>
                <c:pt idx="297">
                  <c:v>41592</c:v>
                </c:pt>
                <c:pt idx="298">
                  <c:v>41596</c:v>
                </c:pt>
                <c:pt idx="299">
                  <c:v>41597</c:v>
                </c:pt>
                <c:pt idx="300">
                  <c:v>41598</c:v>
                </c:pt>
                <c:pt idx="301">
                  <c:v>41599</c:v>
                </c:pt>
                <c:pt idx="302">
                  <c:v>41600</c:v>
                </c:pt>
                <c:pt idx="303">
                  <c:v>41603</c:v>
                </c:pt>
                <c:pt idx="304">
                  <c:v>41604</c:v>
                </c:pt>
                <c:pt idx="305">
                  <c:v>41605</c:v>
                </c:pt>
                <c:pt idx="306">
                  <c:v>41606</c:v>
                </c:pt>
                <c:pt idx="307">
                  <c:v>41607</c:v>
                </c:pt>
                <c:pt idx="308">
                  <c:v>41610</c:v>
                </c:pt>
                <c:pt idx="309">
                  <c:v>41611</c:v>
                </c:pt>
                <c:pt idx="310">
                  <c:v>41612</c:v>
                </c:pt>
                <c:pt idx="311">
                  <c:v>41613</c:v>
                </c:pt>
                <c:pt idx="312">
                  <c:v>41614</c:v>
                </c:pt>
                <c:pt idx="313">
                  <c:v>41617</c:v>
                </c:pt>
                <c:pt idx="314">
                  <c:v>41618</c:v>
                </c:pt>
                <c:pt idx="315">
                  <c:v>41619</c:v>
                </c:pt>
                <c:pt idx="316">
                  <c:v>41620</c:v>
                </c:pt>
                <c:pt idx="317">
                  <c:v>41621</c:v>
                </c:pt>
                <c:pt idx="318">
                  <c:v>41624</c:v>
                </c:pt>
                <c:pt idx="319">
                  <c:v>41625</c:v>
                </c:pt>
                <c:pt idx="320">
                  <c:v>41626</c:v>
                </c:pt>
                <c:pt idx="321">
                  <c:v>41627</c:v>
                </c:pt>
                <c:pt idx="322">
                  <c:v>41628</c:v>
                </c:pt>
                <c:pt idx="323">
                  <c:v>41631</c:v>
                </c:pt>
                <c:pt idx="324">
                  <c:v>41632</c:v>
                </c:pt>
                <c:pt idx="325">
                  <c:v>41634</c:v>
                </c:pt>
                <c:pt idx="326">
                  <c:v>41635</c:v>
                </c:pt>
                <c:pt idx="327">
                  <c:v>41638</c:v>
                </c:pt>
                <c:pt idx="328">
                  <c:v>41639</c:v>
                </c:pt>
                <c:pt idx="329">
                  <c:v>41641</c:v>
                </c:pt>
                <c:pt idx="330">
                  <c:v>41642</c:v>
                </c:pt>
                <c:pt idx="331">
                  <c:v>41645</c:v>
                </c:pt>
                <c:pt idx="332">
                  <c:v>41646</c:v>
                </c:pt>
                <c:pt idx="333">
                  <c:v>41647</c:v>
                </c:pt>
                <c:pt idx="334">
                  <c:v>41648</c:v>
                </c:pt>
                <c:pt idx="335">
                  <c:v>41649</c:v>
                </c:pt>
                <c:pt idx="336">
                  <c:v>41652</c:v>
                </c:pt>
                <c:pt idx="337">
                  <c:v>41653</c:v>
                </c:pt>
                <c:pt idx="338">
                  <c:v>41654</c:v>
                </c:pt>
                <c:pt idx="339">
                  <c:v>41655</c:v>
                </c:pt>
                <c:pt idx="340">
                  <c:v>41656</c:v>
                </c:pt>
                <c:pt idx="341">
                  <c:v>41659</c:v>
                </c:pt>
                <c:pt idx="342">
                  <c:v>41660</c:v>
                </c:pt>
                <c:pt idx="343">
                  <c:v>41661</c:v>
                </c:pt>
                <c:pt idx="344">
                  <c:v>41662</c:v>
                </c:pt>
                <c:pt idx="345">
                  <c:v>41663</c:v>
                </c:pt>
                <c:pt idx="346">
                  <c:v>41666</c:v>
                </c:pt>
                <c:pt idx="347">
                  <c:v>41667</c:v>
                </c:pt>
                <c:pt idx="348">
                  <c:v>41668</c:v>
                </c:pt>
                <c:pt idx="349">
                  <c:v>41669</c:v>
                </c:pt>
                <c:pt idx="350">
                  <c:v>41670</c:v>
                </c:pt>
                <c:pt idx="351">
                  <c:v>41673</c:v>
                </c:pt>
                <c:pt idx="352">
                  <c:v>41674</c:v>
                </c:pt>
                <c:pt idx="353">
                  <c:v>41675</c:v>
                </c:pt>
                <c:pt idx="354">
                  <c:v>41676</c:v>
                </c:pt>
                <c:pt idx="355">
                  <c:v>41677</c:v>
                </c:pt>
                <c:pt idx="356">
                  <c:v>41680</c:v>
                </c:pt>
                <c:pt idx="357">
                  <c:v>41681</c:v>
                </c:pt>
                <c:pt idx="358">
                  <c:v>41682</c:v>
                </c:pt>
                <c:pt idx="359">
                  <c:v>41683</c:v>
                </c:pt>
                <c:pt idx="360">
                  <c:v>41684</c:v>
                </c:pt>
                <c:pt idx="361">
                  <c:v>41687</c:v>
                </c:pt>
                <c:pt idx="362">
                  <c:v>41688</c:v>
                </c:pt>
                <c:pt idx="363">
                  <c:v>41689</c:v>
                </c:pt>
                <c:pt idx="364">
                  <c:v>41690</c:v>
                </c:pt>
                <c:pt idx="365">
                  <c:v>41691</c:v>
                </c:pt>
                <c:pt idx="366">
                  <c:v>41694</c:v>
                </c:pt>
                <c:pt idx="367">
                  <c:v>41695</c:v>
                </c:pt>
                <c:pt idx="368">
                  <c:v>41696</c:v>
                </c:pt>
                <c:pt idx="369">
                  <c:v>41698</c:v>
                </c:pt>
                <c:pt idx="370">
                  <c:v>41701</c:v>
                </c:pt>
                <c:pt idx="371">
                  <c:v>41702</c:v>
                </c:pt>
                <c:pt idx="372">
                  <c:v>41703</c:v>
                </c:pt>
                <c:pt idx="373">
                  <c:v>41704</c:v>
                </c:pt>
                <c:pt idx="374">
                  <c:v>41705</c:v>
                </c:pt>
                <c:pt idx="375">
                  <c:v>41708</c:v>
                </c:pt>
                <c:pt idx="376">
                  <c:v>41709</c:v>
                </c:pt>
                <c:pt idx="377">
                  <c:v>41710</c:v>
                </c:pt>
                <c:pt idx="378">
                  <c:v>41711</c:v>
                </c:pt>
                <c:pt idx="379">
                  <c:v>41712</c:v>
                </c:pt>
                <c:pt idx="380">
                  <c:v>41716</c:v>
                </c:pt>
                <c:pt idx="381">
                  <c:v>41717</c:v>
                </c:pt>
                <c:pt idx="382">
                  <c:v>41718</c:v>
                </c:pt>
                <c:pt idx="383">
                  <c:v>41719</c:v>
                </c:pt>
                <c:pt idx="384">
                  <c:v>41722</c:v>
                </c:pt>
                <c:pt idx="385">
                  <c:v>41723</c:v>
                </c:pt>
                <c:pt idx="386">
                  <c:v>41724</c:v>
                </c:pt>
                <c:pt idx="387">
                  <c:v>41725</c:v>
                </c:pt>
                <c:pt idx="388">
                  <c:v>41726</c:v>
                </c:pt>
                <c:pt idx="389">
                  <c:v>41729</c:v>
                </c:pt>
                <c:pt idx="390">
                  <c:v>41730</c:v>
                </c:pt>
                <c:pt idx="391">
                  <c:v>41731</c:v>
                </c:pt>
                <c:pt idx="392">
                  <c:v>41732</c:v>
                </c:pt>
                <c:pt idx="393">
                  <c:v>41733</c:v>
                </c:pt>
                <c:pt idx="394">
                  <c:v>41736</c:v>
                </c:pt>
                <c:pt idx="395">
                  <c:v>41738</c:v>
                </c:pt>
                <c:pt idx="396">
                  <c:v>41739</c:v>
                </c:pt>
                <c:pt idx="397">
                  <c:v>41740</c:v>
                </c:pt>
                <c:pt idx="398">
                  <c:v>41744</c:v>
                </c:pt>
                <c:pt idx="399">
                  <c:v>41745</c:v>
                </c:pt>
                <c:pt idx="400">
                  <c:v>41746</c:v>
                </c:pt>
                <c:pt idx="401">
                  <c:v>41750</c:v>
                </c:pt>
                <c:pt idx="402">
                  <c:v>41751</c:v>
                </c:pt>
                <c:pt idx="403">
                  <c:v>41752</c:v>
                </c:pt>
                <c:pt idx="404">
                  <c:v>41754</c:v>
                </c:pt>
                <c:pt idx="405">
                  <c:v>41757</c:v>
                </c:pt>
                <c:pt idx="406">
                  <c:v>41758</c:v>
                </c:pt>
                <c:pt idx="407">
                  <c:v>41759</c:v>
                </c:pt>
                <c:pt idx="408">
                  <c:v>41761</c:v>
                </c:pt>
                <c:pt idx="409">
                  <c:v>41764</c:v>
                </c:pt>
                <c:pt idx="410">
                  <c:v>41765</c:v>
                </c:pt>
                <c:pt idx="411">
                  <c:v>41766</c:v>
                </c:pt>
                <c:pt idx="412">
                  <c:v>41767</c:v>
                </c:pt>
                <c:pt idx="413">
                  <c:v>41768</c:v>
                </c:pt>
                <c:pt idx="414">
                  <c:v>41771</c:v>
                </c:pt>
                <c:pt idx="415">
                  <c:v>41772</c:v>
                </c:pt>
                <c:pt idx="416">
                  <c:v>41773</c:v>
                </c:pt>
                <c:pt idx="417">
                  <c:v>41774</c:v>
                </c:pt>
                <c:pt idx="418">
                  <c:v>41775</c:v>
                </c:pt>
                <c:pt idx="419">
                  <c:v>41778</c:v>
                </c:pt>
                <c:pt idx="420">
                  <c:v>41779</c:v>
                </c:pt>
                <c:pt idx="421">
                  <c:v>41780</c:v>
                </c:pt>
                <c:pt idx="422">
                  <c:v>41781</c:v>
                </c:pt>
                <c:pt idx="423">
                  <c:v>41782</c:v>
                </c:pt>
                <c:pt idx="424">
                  <c:v>41785</c:v>
                </c:pt>
                <c:pt idx="425">
                  <c:v>41786</c:v>
                </c:pt>
                <c:pt idx="426">
                  <c:v>41787</c:v>
                </c:pt>
                <c:pt idx="427">
                  <c:v>41788</c:v>
                </c:pt>
                <c:pt idx="428">
                  <c:v>41789</c:v>
                </c:pt>
                <c:pt idx="429">
                  <c:v>41792</c:v>
                </c:pt>
                <c:pt idx="430">
                  <c:v>41793</c:v>
                </c:pt>
                <c:pt idx="431">
                  <c:v>41794</c:v>
                </c:pt>
                <c:pt idx="432">
                  <c:v>41795</c:v>
                </c:pt>
                <c:pt idx="433">
                  <c:v>41796</c:v>
                </c:pt>
                <c:pt idx="434">
                  <c:v>41799</c:v>
                </c:pt>
                <c:pt idx="435">
                  <c:v>41800</c:v>
                </c:pt>
                <c:pt idx="436">
                  <c:v>41801</c:v>
                </c:pt>
                <c:pt idx="437">
                  <c:v>41802</c:v>
                </c:pt>
                <c:pt idx="438">
                  <c:v>41803</c:v>
                </c:pt>
                <c:pt idx="439">
                  <c:v>41806</c:v>
                </c:pt>
                <c:pt idx="440">
                  <c:v>41807</c:v>
                </c:pt>
                <c:pt idx="441">
                  <c:v>41808</c:v>
                </c:pt>
                <c:pt idx="442">
                  <c:v>41809</c:v>
                </c:pt>
                <c:pt idx="443">
                  <c:v>41810</c:v>
                </c:pt>
                <c:pt idx="444">
                  <c:v>41813</c:v>
                </c:pt>
                <c:pt idx="445">
                  <c:v>41814</c:v>
                </c:pt>
                <c:pt idx="446">
                  <c:v>41815</c:v>
                </c:pt>
                <c:pt idx="447">
                  <c:v>41816</c:v>
                </c:pt>
                <c:pt idx="448">
                  <c:v>41817</c:v>
                </c:pt>
                <c:pt idx="449">
                  <c:v>41820</c:v>
                </c:pt>
                <c:pt idx="450">
                  <c:v>41821</c:v>
                </c:pt>
                <c:pt idx="451">
                  <c:v>41822</c:v>
                </c:pt>
                <c:pt idx="452">
                  <c:v>41823</c:v>
                </c:pt>
                <c:pt idx="453">
                  <c:v>41824</c:v>
                </c:pt>
                <c:pt idx="454">
                  <c:v>41827</c:v>
                </c:pt>
                <c:pt idx="455">
                  <c:v>41828</c:v>
                </c:pt>
                <c:pt idx="456">
                  <c:v>41829</c:v>
                </c:pt>
                <c:pt idx="457">
                  <c:v>41830</c:v>
                </c:pt>
                <c:pt idx="458">
                  <c:v>41831</c:v>
                </c:pt>
                <c:pt idx="459">
                  <c:v>41834</c:v>
                </c:pt>
                <c:pt idx="460">
                  <c:v>41835</c:v>
                </c:pt>
                <c:pt idx="461">
                  <c:v>41836</c:v>
                </c:pt>
                <c:pt idx="462">
                  <c:v>41837</c:v>
                </c:pt>
                <c:pt idx="463">
                  <c:v>41838</c:v>
                </c:pt>
                <c:pt idx="464">
                  <c:v>41841</c:v>
                </c:pt>
                <c:pt idx="465">
                  <c:v>41842</c:v>
                </c:pt>
                <c:pt idx="466">
                  <c:v>41843</c:v>
                </c:pt>
                <c:pt idx="467">
                  <c:v>41844</c:v>
                </c:pt>
                <c:pt idx="468">
                  <c:v>41845</c:v>
                </c:pt>
                <c:pt idx="469">
                  <c:v>41848</c:v>
                </c:pt>
                <c:pt idx="470">
                  <c:v>41850</c:v>
                </c:pt>
                <c:pt idx="471">
                  <c:v>41851</c:v>
                </c:pt>
                <c:pt idx="472">
                  <c:v>41852</c:v>
                </c:pt>
                <c:pt idx="473">
                  <c:v>41855</c:v>
                </c:pt>
                <c:pt idx="474">
                  <c:v>41856</c:v>
                </c:pt>
                <c:pt idx="475">
                  <c:v>41857</c:v>
                </c:pt>
                <c:pt idx="476">
                  <c:v>41858</c:v>
                </c:pt>
                <c:pt idx="477">
                  <c:v>41859</c:v>
                </c:pt>
                <c:pt idx="478">
                  <c:v>41862</c:v>
                </c:pt>
                <c:pt idx="479">
                  <c:v>41863</c:v>
                </c:pt>
                <c:pt idx="480">
                  <c:v>41864</c:v>
                </c:pt>
                <c:pt idx="481">
                  <c:v>41865</c:v>
                </c:pt>
                <c:pt idx="482">
                  <c:v>41869</c:v>
                </c:pt>
                <c:pt idx="483">
                  <c:v>41870</c:v>
                </c:pt>
                <c:pt idx="484">
                  <c:v>41871</c:v>
                </c:pt>
                <c:pt idx="485">
                  <c:v>41872</c:v>
                </c:pt>
                <c:pt idx="486">
                  <c:v>41873</c:v>
                </c:pt>
                <c:pt idx="487">
                  <c:v>41876</c:v>
                </c:pt>
                <c:pt idx="488">
                  <c:v>41877</c:v>
                </c:pt>
                <c:pt idx="489">
                  <c:v>41878</c:v>
                </c:pt>
                <c:pt idx="490">
                  <c:v>41879</c:v>
                </c:pt>
                <c:pt idx="491">
                  <c:v>41883</c:v>
                </c:pt>
                <c:pt idx="492">
                  <c:v>41884</c:v>
                </c:pt>
                <c:pt idx="493">
                  <c:v>41885</c:v>
                </c:pt>
                <c:pt idx="494">
                  <c:v>41886</c:v>
                </c:pt>
                <c:pt idx="495">
                  <c:v>41887</c:v>
                </c:pt>
                <c:pt idx="496">
                  <c:v>41890</c:v>
                </c:pt>
                <c:pt idx="497">
                  <c:v>41891</c:v>
                </c:pt>
                <c:pt idx="498">
                  <c:v>41892</c:v>
                </c:pt>
                <c:pt idx="499">
                  <c:v>41893</c:v>
                </c:pt>
                <c:pt idx="500">
                  <c:v>41894</c:v>
                </c:pt>
                <c:pt idx="501">
                  <c:v>41897</c:v>
                </c:pt>
                <c:pt idx="502">
                  <c:v>41898</c:v>
                </c:pt>
                <c:pt idx="503">
                  <c:v>41899</c:v>
                </c:pt>
                <c:pt idx="504">
                  <c:v>41900</c:v>
                </c:pt>
                <c:pt idx="505">
                  <c:v>41901</c:v>
                </c:pt>
                <c:pt idx="506">
                  <c:v>41904</c:v>
                </c:pt>
                <c:pt idx="507">
                  <c:v>41905</c:v>
                </c:pt>
                <c:pt idx="508">
                  <c:v>41906</c:v>
                </c:pt>
                <c:pt idx="509">
                  <c:v>41907</c:v>
                </c:pt>
                <c:pt idx="510">
                  <c:v>41908</c:v>
                </c:pt>
                <c:pt idx="511">
                  <c:v>41911</c:v>
                </c:pt>
                <c:pt idx="512">
                  <c:v>41912</c:v>
                </c:pt>
                <c:pt idx="513">
                  <c:v>41913</c:v>
                </c:pt>
                <c:pt idx="514">
                  <c:v>41919</c:v>
                </c:pt>
                <c:pt idx="515">
                  <c:v>41920</c:v>
                </c:pt>
                <c:pt idx="516">
                  <c:v>41921</c:v>
                </c:pt>
                <c:pt idx="517">
                  <c:v>41922</c:v>
                </c:pt>
                <c:pt idx="518">
                  <c:v>41925</c:v>
                </c:pt>
                <c:pt idx="519">
                  <c:v>41926</c:v>
                </c:pt>
                <c:pt idx="520">
                  <c:v>41928</c:v>
                </c:pt>
                <c:pt idx="521">
                  <c:v>41929</c:v>
                </c:pt>
                <c:pt idx="522">
                  <c:v>41932</c:v>
                </c:pt>
                <c:pt idx="523">
                  <c:v>41933</c:v>
                </c:pt>
                <c:pt idx="524">
                  <c:v>41934</c:v>
                </c:pt>
                <c:pt idx="525">
                  <c:v>41935</c:v>
                </c:pt>
                <c:pt idx="526">
                  <c:v>41939</c:v>
                </c:pt>
                <c:pt idx="527">
                  <c:v>41940</c:v>
                </c:pt>
                <c:pt idx="528">
                  <c:v>41941</c:v>
                </c:pt>
                <c:pt idx="529">
                  <c:v>41942</c:v>
                </c:pt>
                <c:pt idx="530">
                  <c:v>41943</c:v>
                </c:pt>
                <c:pt idx="531">
                  <c:v>41946</c:v>
                </c:pt>
                <c:pt idx="532">
                  <c:v>41948</c:v>
                </c:pt>
                <c:pt idx="533">
                  <c:v>41950</c:v>
                </c:pt>
                <c:pt idx="534">
                  <c:v>41953</c:v>
                </c:pt>
                <c:pt idx="535">
                  <c:v>41954</c:v>
                </c:pt>
                <c:pt idx="536">
                  <c:v>41955</c:v>
                </c:pt>
                <c:pt idx="537">
                  <c:v>41956</c:v>
                </c:pt>
                <c:pt idx="538">
                  <c:v>41957</c:v>
                </c:pt>
                <c:pt idx="539">
                  <c:v>41960</c:v>
                </c:pt>
                <c:pt idx="540">
                  <c:v>41961</c:v>
                </c:pt>
                <c:pt idx="541">
                  <c:v>41962</c:v>
                </c:pt>
                <c:pt idx="542">
                  <c:v>41963</c:v>
                </c:pt>
                <c:pt idx="543">
                  <c:v>41964</c:v>
                </c:pt>
                <c:pt idx="544">
                  <c:v>41967</c:v>
                </c:pt>
                <c:pt idx="545">
                  <c:v>41968</c:v>
                </c:pt>
                <c:pt idx="546">
                  <c:v>41969</c:v>
                </c:pt>
                <c:pt idx="547">
                  <c:v>41970</c:v>
                </c:pt>
                <c:pt idx="548">
                  <c:v>41971</c:v>
                </c:pt>
                <c:pt idx="549">
                  <c:v>41974</c:v>
                </c:pt>
                <c:pt idx="550">
                  <c:v>41975</c:v>
                </c:pt>
                <c:pt idx="551">
                  <c:v>41976</c:v>
                </c:pt>
                <c:pt idx="552">
                  <c:v>41977</c:v>
                </c:pt>
                <c:pt idx="553">
                  <c:v>41978</c:v>
                </c:pt>
                <c:pt idx="554">
                  <c:v>41981</c:v>
                </c:pt>
                <c:pt idx="555">
                  <c:v>41982</c:v>
                </c:pt>
                <c:pt idx="556">
                  <c:v>41983</c:v>
                </c:pt>
                <c:pt idx="557">
                  <c:v>41984</c:v>
                </c:pt>
                <c:pt idx="558">
                  <c:v>41985</c:v>
                </c:pt>
                <c:pt idx="559">
                  <c:v>41988</c:v>
                </c:pt>
                <c:pt idx="560">
                  <c:v>41989</c:v>
                </c:pt>
                <c:pt idx="561">
                  <c:v>41990</c:v>
                </c:pt>
                <c:pt idx="562">
                  <c:v>41991</c:v>
                </c:pt>
                <c:pt idx="563">
                  <c:v>41992</c:v>
                </c:pt>
                <c:pt idx="564">
                  <c:v>41995</c:v>
                </c:pt>
                <c:pt idx="565">
                  <c:v>41996</c:v>
                </c:pt>
                <c:pt idx="566">
                  <c:v>41997</c:v>
                </c:pt>
                <c:pt idx="567">
                  <c:v>41999</c:v>
                </c:pt>
                <c:pt idx="568">
                  <c:v>42002</c:v>
                </c:pt>
                <c:pt idx="569">
                  <c:v>42003</c:v>
                </c:pt>
                <c:pt idx="570">
                  <c:v>42004</c:v>
                </c:pt>
                <c:pt idx="571">
                  <c:v>42006</c:v>
                </c:pt>
                <c:pt idx="572">
                  <c:v>42009</c:v>
                </c:pt>
                <c:pt idx="573">
                  <c:v>42010</c:v>
                </c:pt>
                <c:pt idx="574">
                  <c:v>42011</c:v>
                </c:pt>
                <c:pt idx="575">
                  <c:v>42012</c:v>
                </c:pt>
                <c:pt idx="576">
                  <c:v>42013</c:v>
                </c:pt>
                <c:pt idx="577">
                  <c:v>42016</c:v>
                </c:pt>
                <c:pt idx="578">
                  <c:v>42017</c:v>
                </c:pt>
                <c:pt idx="579">
                  <c:v>42018</c:v>
                </c:pt>
                <c:pt idx="580">
                  <c:v>42019</c:v>
                </c:pt>
                <c:pt idx="581">
                  <c:v>42020</c:v>
                </c:pt>
                <c:pt idx="582">
                  <c:v>42023</c:v>
                </c:pt>
                <c:pt idx="583">
                  <c:v>42024</c:v>
                </c:pt>
                <c:pt idx="584">
                  <c:v>42025</c:v>
                </c:pt>
                <c:pt idx="585">
                  <c:v>42026</c:v>
                </c:pt>
                <c:pt idx="586">
                  <c:v>42027</c:v>
                </c:pt>
                <c:pt idx="587">
                  <c:v>42031</c:v>
                </c:pt>
                <c:pt idx="588">
                  <c:v>42032</c:v>
                </c:pt>
                <c:pt idx="589">
                  <c:v>42033</c:v>
                </c:pt>
                <c:pt idx="590">
                  <c:v>42034</c:v>
                </c:pt>
                <c:pt idx="591">
                  <c:v>42037</c:v>
                </c:pt>
                <c:pt idx="592">
                  <c:v>42038</c:v>
                </c:pt>
                <c:pt idx="593">
                  <c:v>42039</c:v>
                </c:pt>
                <c:pt idx="594">
                  <c:v>42040</c:v>
                </c:pt>
                <c:pt idx="595">
                  <c:v>42041</c:v>
                </c:pt>
                <c:pt idx="596">
                  <c:v>42044</c:v>
                </c:pt>
                <c:pt idx="597">
                  <c:v>42045</c:v>
                </c:pt>
                <c:pt idx="598">
                  <c:v>42046</c:v>
                </c:pt>
                <c:pt idx="599">
                  <c:v>42047</c:v>
                </c:pt>
                <c:pt idx="600">
                  <c:v>42048</c:v>
                </c:pt>
                <c:pt idx="601">
                  <c:v>42051</c:v>
                </c:pt>
                <c:pt idx="602">
                  <c:v>42053</c:v>
                </c:pt>
                <c:pt idx="603">
                  <c:v>42054</c:v>
                </c:pt>
                <c:pt idx="604">
                  <c:v>42055</c:v>
                </c:pt>
                <c:pt idx="605">
                  <c:v>42058</c:v>
                </c:pt>
                <c:pt idx="606">
                  <c:v>42059</c:v>
                </c:pt>
                <c:pt idx="607">
                  <c:v>42060</c:v>
                </c:pt>
                <c:pt idx="608">
                  <c:v>42061</c:v>
                </c:pt>
                <c:pt idx="609">
                  <c:v>42062</c:v>
                </c:pt>
                <c:pt idx="610">
                  <c:v>42065</c:v>
                </c:pt>
                <c:pt idx="611">
                  <c:v>42066</c:v>
                </c:pt>
                <c:pt idx="612">
                  <c:v>42067</c:v>
                </c:pt>
                <c:pt idx="613">
                  <c:v>42068</c:v>
                </c:pt>
                <c:pt idx="614">
                  <c:v>42072</c:v>
                </c:pt>
                <c:pt idx="615">
                  <c:v>42073</c:v>
                </c:pt>
                <c:pt idx="616">
                  <c:v>42074</c:v>
                </c:pt>
                <c:pt idx="617">
                  <c:v>42075</c:v>
                </c:pt>
                <c:pt idx="618">
                  <c:v>42076</c:v>
                </c:pt>
                <c:pt idx="619">
                  <c:v>42079</c:v>
                </c:pt>
                <c:pt idx="620">
                  <c:v>42080</c:v>
                </c:pt>
                <c:pt idx="621">
                  <c:v>42081</c:v>
                </c:pt>
                <c:pt idx="622">
                  <c:v>42082</c:v>
                </c:pt>
                <c:pt idx="623">
                  <c:v>42083</c:v>
                </c:pt>
                <c:pt idx="624">
                  <c:v>42086</c:v>
                </c:pt>
                <c:pt idx="625">
                  <c:v>42087</c:v>
                </c:pt>
                <c:pt idx="626">
                  <c:v>42088</c:v>
                </c:pt>
                <c:pt idx="627">
                  <c:v>42089</c:v>
                </c:pt>
                <c:pt idx="628">
                  <c:v>42090</c:v>
                </c:pt>
                <c:pt idx="629">
                  <c:v>42093</c:v>
                </c:pt>
                <c:pt idx="630">
                  <c:v>42094</c:v>
                </c:pt>
                <c:pt idx="631">
                  <c:v>42095</c:v>
                </c:pt>
                <c:pt idx="632">
                  <c:v>42100</c:v>
                </c:pt>
                <c:pt idx="633">
                  <c:v>42101</c:v>
                </c:pt>
                <c:pt idx="634">
                  <c:v>42102</c:v>
                </c:pt>
                <c:pt idx="635">
                  <c:v>42103</c:v>
                </c:pt>
                <c:pt idx="636">
                  <c:v>42104</c:v>
                </c:pt>
                <c:pt idx="637">
                  <c:v>42107</c:v>
                </c:pt>
                <c:pt idx="638">
                  <c:v>42110</c:v>
                </c:pt>
                <c:pt idx="639">
                  <c:v>42111</c:v>
                </c:pt>
                <c:pt idx="640">
                  <c:v>42114</c:v>
                </c:pt>
                <c:pt idx="641">
                  <c:v>42115</c:v>
                </c:pt>
                <c:pt idx="642">
                  <c:v>42116</c:v>
                </c:pt>
                <c:pt idx="643">
                  <c:v>42117</c:v>
                </c:pt>
                <c:pt idx="644">
                  <c:v>42118</c:v>
                </c:pt>
                <c:pt idx="645">
                  <c:v>42121</c:v>
                </c:pt>
                <c:pt idx="646">
                  <c:v>42122</c:v>
                </c:pt>
                <c:pt idx="647">
                  <c:v>42123</c:v>
                </c:pt>
                <c:pt idx="648">
                  <c:v>42124</c:v>
                </c:pt>
                <c:pt idx="649">
                  <c:v>42128</c:v>
                </c:pt>
                <c:pt idx="650">
                  <c:v>42129</c:v>
                </c:pt>
                <c:pt idx="651">
                  <c:v>42130</c:v>
                </c:pt>
                <c:pt idx="652">
                  <c:v>42131</c:v>
                </c:pt>
                <c:pt idx="653">
                  <c:v>42132</c:v>
                </c:pt>
                <c:pt idx="654">
                  <c:v>42135</c:v>
                </c:pt>
                <c:pt idx="655">
                  <c:v>42136</c:v>
                </c:pt>
                <c:pt idx="656">
                  <c:v>42137</c:v>
                </c:pt>
                <c:pt idx="657">
                  <c:v>42138</c:v>
                </c:pt>
                <c:pt idx="658">
                  <c:v>42139</c:v>
                </c:pt>
                <c:pt idx="659">
                  <c:v>42142</c:v>
                </c:pt>
                <c:pt idx="660">
                  <c:v>42143</c:v>
                </c:pt>
                <c:pt idx="661">
                  <c:v>42144</c:v>
                </c:pt>
                <c:pt idx="662">
                  <c:v>42145</c:v>
                </c:pt>
                <c:pt idx="663">
                  <c:v>42146</c:v>
                </c:pt>
                <c:pt idx="664">
                  <c:v>42149</c:v>
                </c:pt>
                <c:pt idx="665">
                  <c:v>42150</c:v>
                </c:pt>
                <c:pt idx="666">
                  <c:v>42151</c:v>
                </c:pt>
                <c:pt idx="667">
                  <c:v>42152</c:v>
                </c:pt>
                <c:pt idx="668">
                  <c:v>42153</c:v>
                </c:pt>
                <c:pt idx="669">
                  <c:v>42156</c:v>
                </c:pt>
                <c:pt idx="670">
                  <c:v>42157</c:v>
                </c:pt>
                <c:pt idx="671">
                  <c:v>42158</c:v>
                </c:pt>
                <c:pt idx="672">
                  <c:v>42159</c:v>
                </c:pt>
                <c:pt idx="673">
                  <c:v>42160</c:v>
                </c:pt>
                <c:pt idx="674">
                  <c:v>42163</c:v>
                </c:pt>
                <c:pt idx="675">
                  <c:v>42164</c:v>
                </c:pt>
                <c:pt idx="676">
                  <c:v>42165</c:v>
                </c:pt>
                <c:pt idx="677">
                  <c:v>42166</c:v>
                </c:pt>
                <c:pt idx="678">
                  <c:v>42167</c:v>
                </c:pt>
                <c:pt idx="679">
                  <c:v>42170</c:v>
                </c:pt>
                <c:pt idx="680">
                  <c:v>42171</c:v>
                </c:pt>
                <c:pt idx="681">
                  <c:v>42172</c:v>
                </c:pt>
                <c:pt idx="682">
                  <c:v>42173</c:v>
                </c:pt>
                <c:pt idx="683">
                  <c:v>42174</c:v>
                </c:pt>
                <c:pt idx="684">
                  <c:v>42177</c:v>
                </c:pt>
                <c:pt idx="685">
                  <c:v>42178</c:v>
                </c:pt>
                <c:pt idx="686">
                  <c:v>42179</c:v>
                </c:pt>
                <c:pt idx="687">
                  <c:v>42180</c:v>
                </c:pt>
                <c:pt idx="688">
                  <c:v>42181</c:v>
                </c:pt>
                <c:pt idx="689">
                  <c:v>42184</c:v>
                </c:pt>
                <c:pt idx="690">
                  <c:v>42185</c:v>
                </c:pt>
                <c:pt idx="691">
                  <c:v>42186</c:v>
                </c:pt>
                <c:pt idx="692">
                  <c:v>42187</c:v>
                </c:pt>
                <c:pt idx="693">
                  <c:v>42188</c:v>
                </c:pt>
                <c:pt idx="694">
                  <c:v>42191</c:v>
                </c:pt>
                <c:pt idx="695">
                  <c:v>42192</c:v>
                </c:pt>
                <c:pt idx="696">
                  <c:v>42193</c:v>
                </c:pt>
                <c:pt idx="697">
                  <c:v>42194</c:v>
                </c:pt>
                <c:pt idx="698">
                  <c:v>42195</c:v>
                </c:pt>
                <c:pt idx="699">
                  <c:v>42198</c:v>
                </c:pt>
                <c:pt idx="700">
                  <c:v>42199</c:v>
                </c:pt>
                <c:pt idx="701">
                  <c:v>42200</c:v>
                </c:pt>
                <c:pt idx="702">
                  <c:v>42201</c:v>
                </c:pt>
                <c:pt idx="703">
                  <c:v>42202</c:v>
                </c:pt>
                <c:pt idx="704">
                  <c:v>42205</c:v>
                </c:pt>
                <c:pt idx="705">
                  <c:v>42206</c:v>
                </c:pt>
                <c:pt idx="706">
                  <c:v>42207</c:v>
                </c:pt>
                <c:pt idx="707">
                  <c:v>42208</c:v>
                </c:pt>
                <c:pt idx="708">
                  <c:v>42209</c:v>
                </c:pt>
                <c:pt idx="709">
                  <c:v>42212</c:v>
                </c:pt>
                <c:pt idx="710">
                  <c:v>42213</c:v>
                </c:pt>
                <c:pt idx="711">
                  <c:v>42214</c:v>
                </c:pt>
                <c:pt idx="712">
                  <c:v>42215</c:v>
                </c:pt>
                <c:pt idx="713">
                  <c:v>42216</c:v>
                </c:pt>
                <c:pt idx="714">
                  <c:v>42219</c:v>
                </c:pt>
                <c:pt idx="715">
                  <c:v>42220</c:v>
                </c:pt>
                <c:pt idx="716">
                  <c:v>42221</c:v>
                </c:pt>
                <c:pt idx="717">
                  <c:v>42222</c:v>
                </c:pt>
                <c:pt idx="718">
                  <c:v>42223</c:v>
                </c:pt>
                <c:pt idx="719">
                  <c:v>42226</c:v>
                </c:pt>
                <c:pt idx="720">
                  <c:v>42227</c:v>
                </c:pt>
                <c:pt idx="721">
                  <c:v>42228</c:v>
                </c:pt>
                <c:pt idx="722">
                  <c:v>42229</c:v>
                </c:pt>
                <c:pt idx="723">
                  <c:v>42230</c:v>
                </c:pt>
                <c:pt idx="724">
                  <c:v>42233</c:v>
                </c:pt>
                <c:pt idx="725">
                  <c:v>42234</c:v>
                </c:pt>
                <c:pt idx="726">
                  <c:v>42235</c:v>
                </c:pt>
                <c:pt idx="727">
                  <c:v>42236</c:v>
                </c:pt>
                <c:pt idx="728">
                  <c:v>42237</c:v>
                </c:pt>
                <c:pt idx="729">
                  <c:v>42240</c:v>
                </c:pt>
                <c:pt idx="730">
                  <c:v>42241</c:v>
                </c:pt>
                <c:pt idx="731">
                  <c:v>42242</c:v>
                </c:pt>
                <c:pt idx="732">
                  <c:v>42243</c:v>
                </c:pt>
                <c:pt idx="733">
                  <c:v>42244</c:v>
                </c:pt>
                <c:pt idx="734">
                  <c:v>42247</c:v>
                </c:pt>
                <c:pt idx="735">
                  <c:v>42248</c:v>
                </c:pt>
                <c:pt idx="736">
                  <c:v>42249</c:v>
                </c:pt>
                <c:pt idx="737">
                  <c:v>42250</c:v>
                </c:pt>
                <c:pt idx="738">
                  <c:v>42251</c:v>
                </c:pt>
                <c:pt idx="739">
                  <c:v>42254</c:v>
                </c:pt>
                <c:pt idx="740">
                  <c:v>42255</c:v>
                </c:pt>
                <c:pt idx="741">
                  <c:v>42256</c:v>
                </c:pt>
                <c:pt idx="742">
                  <c:v>42257</c:v>
                </c:pt>
                <c:pt idx="743">
                  <c:v>42258</c:v>
                </c:pt>
                <c:pt idx="744">
                  <c:v>42261</c:v>
                </c:pt>
                <c:pt idx="745">
                  <c:v>42262</c:v>
                </c:pt>
                <c:pt idx="746">
                  <c:v>42263</c:v>
                </c:pt>
                <c:pt idx="747">
                  <c:v>42265</c:v>
                </c:pt>
                <c:pt idx="748">
                  <c:v>42268</c:v>
                </c:pt>
                <c:pt idx="749">
                  <c:v>42269</c:v>
                </c:pt>
                <c:pt idx="750">
                  <c:v>42270</c:v>
                </c:pt>
                <c:pt idx="751">
                  <c:v>42271</c:v>
                </c:pt>
                <c:pt idx="752">
                  <c:v>42275</c:v>
                </c:pt>
                <c:pt idx="753">
                  <c:v>42276</c:v>
                </c:pt>
                <c:pt idx="754">
                  <c:v>42277</c:v>
                </c:pt>
                <c:pt idx="755">
                  <c:v>42278</c:v>
                </c:pt>
                <c:pt idx="756">
                  <c:v>42282</c:v>
                </c:pt>
                <c:pt idx="757">
                  <c:v>42283</c:v>
                </c:pt>
                <c:pt idx="758">
                  <c:v>42284</c:v>
                </c:pt>
                <c:pt idx="759">
                  <c:v>42285</c:v>
                </c:pt>
                <c:pt idx="760">
                  <c:v>42286</c:v>
                </c:pt>
                <c:pt idx="761">
                  <c:v>42289</c:v>
                </c:pt>
                <c:pt idx="762">
                  <c:v>42290</c:v>
                </c:pt>
                <c:pt idx="763">
                  <c:v>42291</c:v>
                </c:pt>
                <c:pt idx="764">
                  <c:v>42292</c:v>
                </c:pt>
                <c:pt idx="765">
                  <c:v>42293</c:v>
                </c:pt>
                <c:pt idx="766">
                  <c:v>42296</c:v>
                </c:pt>
                <c:pt idx="767">
                  <c:v>42297</c:v>
                </c:pt>
                <c:pt idx="768">
                  <c:v>42298</c:v>
                </c:pt>
                <c:pt idx="769">
                  <c:v>42300</c:v>
                </c:pt>
                <c:pt idx="770">
                  <c:v>42303</c:v>
                </c:pt>
                <c:pt idx="771">
                  <c:v>42304</c:v>
                </c:pt>
                <c:pt idx="772">
                  <c:v>42305</c:v>
                </c:pt>
                <c:pt idx="773">
                  <c:v>42306</c:v>
                </c:pt>
                <c:pt idx="774">
                  <c:v>42307</c:v>
                </c:pt>
                <c:pt idx="775">
                  <c:v>42310</c:v>
                </c:pt>
                <c:pt idx="776">
                  <c:v>42311</c:v>
                </c:pt>
                <c:pt idx="777">
                  <c:v>42312</c:v>
                </c:pt>
                <c:pt idx="778">
                  <c:v>42313</c:v>
                </c:pt>
                <c:pt idx="779">
                  <c:v>42314</c:v>
                </c:pt>
                <c:pt idx="780">
                  <c:v>42317</c:v>
                </c:pt>
                <c:pt idx="781">
                  <c:v>42318</c:v>
                </c:pt>
                <c:pt idx="782">
                  <c:v>42319</c:v>
                </c:pt>
                <c:pt idx="783">
                  <c:v>42321</c:v>
                </c:pt>
                <c:pt idx="784">
                  <c:v>42324</c:v>
                </c:pt>
                <c:pt idx="785">
                  <c:v>42325</c:v>
                </c:pt>
                <c:pt idx="786">
                  <c:v>42326</c:v>
                </c:pt>
                <c:pt idx="787">
                  <c:v>42327</c:v>
                </c:pt>
                <c:pt idx="788">
                  <c:v>42328</c:v>
                </c:pt>
                <c:pt idx="789">
                  <c:v>42331</c:v>
                </c:pt>
                <c:pt idx="790">
                  <c:v>42332</c:v>
                </c:pt>
                <c:pt idx="791">
                  <c:v>42334</c:v>
                </c:pt>
                <c:pt idx="792">
                  <c:v>42335</c:v>
                </c:pt>
                <c:pt idx="793">
                  <c:v>42338</c:v>
                </c:pt>
                <c:pt idx="794">
                  <c:v>42339</c:v>
                </c:pt>
                <c:pt idx="795">
                  <c:v>42340</c:v>
                </c:pt>
                <c:pt idx="796">
                  <c:v>42341</c:v>
                </c:pt>
                <c:pt idx="797">
                  <c:v>42342</c:v>
                </c:pt>
                <c:pt idx="798">
                  <c:v>42345</c:v>
                </c:pt>
                <c:pt idx="799">
                  <c:v>42346</c:v>
                </c:pt>
                <c:pt idx="800">
                  <c:v>42347</c:v>
                </c:pt>
                <c:pt idx="801">
                  <c:v>42348</c:v>
                </c:pt>
                <c:pt idx="802">
                  <c:v>42349</c:v>
                </c:pt>
                <c:pt idx="803">
                  <c:v>42352</c:v>
                </c:pt>
                <c:pt idx="804">
                  <c:v>42353</c:v>
                </c:pt>
                <c:pt idx="805">
                  <c:v>42354</c:v>
                </c:pt>
                <c:pt idx="806">
                  <c:v>42355</c:v>
                </c:pt>
                <c:pt idx="807">
                  <c:v>42356</c:v>
                </c:pt>
                <c:pt idx="808">
                  <c:v>42359</c:v>
                </c:pt>
                <c:pt idx="809">
                  <c:v>42360</c:v>
                </c:pt>
                <c:pt idx="810">
                  <c:v>42361</c:v>
                </c:pt>
                <c:pt idx="811">
                  <c:v>42362</c:v>
                </c:pt>
                <c:pt idx="812">
                  <c:v>42366</c:v>
                </c:pt>
                <c:pt idx="813">
                  <c:v>42367</c:v>
                </c:pt>
                <c:pt idx="814">
                  <c:v>42368</c:v>
                </c:pt>
                <c:pt idx="815">
                  <c:v>42369</c:v>
                </c:pt>
                <c:pt idx="816">
                  <c:v>42373</c:v>
                </c:pt>
                <c:pt idx="817">
                  <c:v>42374</c:v>
                </c:pt>
                <c:pt idx="818">
                  <c:v>42375</c:v>
                </c:pt>
                <c:pt idx="819">
                  <c:v>42376</c:v>
                </c:pt>
                <c:pt idx="820">
                  <c:v>42377</c:v>
                </c:pt>
                <c:pt idx="821">
                  <c:v>42380</c:v>
                </c:pt>
                <c:pt idx="822">
                  <c:v>42381</c:v>
                </c:pt>
                <c:pt idx="823">
                  <c:v>42382</c:v>
                </c:pt>
                <c:pt idx="824">
                  <c:v>42383</c:v>
                </c:pt>
                <c:pt idx="825">
                  <c:v>42384</c:v>
                </c:pt>
                <c:pt idx="826">
                  <c:v>42387</c:v>
                </c:pt>
                <c:pt idx="827">
                  <c:v>42388</c:v>
                </c:pt>
                <c:pt idx="828">
                  <c:v>42389</c:v>
                </c:pt>
                <c:pt idx="829">
                  <c:v>42390</c:v>
                </c:pt>
                <c:pt idx="830">
                  <c:v>42391</c:v>
                </c:pt>
                <c:pt idx="831">
                  <c:v>42394</c:v>
                </c:pt>
                <c:pt idx="832">
                  <c:v>42396</c:v>
                </c:pt>
                <c:pt idx="833">
                  <c:v>42397</c:v>
                </c:pt>
                <c:pt idx="834">
                  <c:v>42398</c:v>
                </c:pt>
                <c:pt idx="835">
                  <c:v>42401</c:v>
                </c:pt>
                <c:pt idx="836">
                  <c:v>42402</c:v>
                </c:pt>
                <c:pt idx="837">
                  <c:v>42403</c:v>
                </c:pt>
                <c:pt idx="838">
                  <c:v>42404</c:v>
                </c:pt>
                <c:pt idx="839">
                  <c:v>42405</c:v>
                </c:pt>
                <c:pt idx="840">
                  <c:v>42408</c:v>
                </c:pt>
                <c:pt idx="841">
                  <c:v>42409</c:v>
                </c:pt>
                <c:pt idx="842">
                  <c:v>42410</c:v>
                </c:pt>
                <c:pt idx="843">
                  <c:v>42411</c:v>
                </c:pt>
                <c:pt idx="844">
                  <c:v>42412</c:v>
                </c:pt>
                <c:pt idx="845">
                  <c:v>42415</c:v>
                </c:pt>
                <c:pt idx="846">
                  <c:v>42416</c:v>
                </c:pt>
                <c:pt idx="847">
                  <c:v>42417</c:v>
                </c:pt>
                <c:pt idx="848">
                  <c:v>42418</c:v>
                </c:pt>
                <c:pt idx="849">
                  <c:v>42419</c:v>
                </c:pt>
                <c:pt idx="850">
                  <c:v>42422</c:v>
                </c:pt>
                <c:pt idx="851">
                  <c:v>42423</c:v>
                </c:pt>
                <c:pt idx="852">
                  <c:v>42424</c:v>
                </c:pt>
                <c:pt idx="853">
                  <c:v>42425</c:v>
                </c:pt>
                <c:pt idx="854">
                  <c:v>42426</c:v>
                </c:pt>
                <c:pt idx="855">
                  <c:v>42429</c:v>
                </c:pt>
                <c:pt idx="856">
                  <c:v>42430</c:v>
                </c:pt>
                <c:pt idx="857">
                  <c:v>42431</c:v>
                </c:pt>
                <c:pt idx="858">
                  <c:v>42432</c:v>
                </c:pt>
                <c:pt idx="859">
                  <c:v>42433</c:v>
                </c:pt>
                <c:pt idx="860">
                  <c:v>42437</c:v>
                </c:pt>
                <c:pt idx="861">
                  <c:v>42438</c:v>
                </c:pt>
                <c:pt idx="862">
                  <c:v>42439</c:v>
                </c:pt>
                <c:pt idx="863">
                  <c:v>42440</c:v>
                </c:pt>
                <c:pt idx="864">
                  <c:v>42443</c:v>
                </c:pt>
                <c:pt idx="865">
                  <c:v>42444</c:v>
                </c:pt>
                <c:pt idx="866">
                  <c:v>42445</c:v>
                </c:pt>
                <c:pt idx="867">
                  <c:v>42446</c:v>
                </c:pt>
                <c:pt idx="868">
                  <c:v>42447</c:v>
                </c:pt>
                <c:pt idx="869">
                  <c:v>42450</c:v>
                </c:pt>
                <c:pt idx="870">
                  <c:v>42451</c:v>
                </c:pt>
                <c:pt idx="871">
                  <c:v>42452</c:v>
                </c:pt>
                <c:pt idx="872">
                  <c:v>42457</c:v>
                </c:pt>
                <c:pt idx="873">
                  <c:v>42458</c:v>
                </c:pt>
                <c:pt idx="874">
                  <c:v>42459</c:v>
                </c:pt>
                <c:pt idx="875">
                  <c:v>42460</c:v>
                </c:pt>
                <c:pt idx="876">
                  <c:v>42461</c:v>
                </c:pt>
                <c:pt idx="877">
                  <c:v>42464</c:v>
                </c:pt>
                <c:pt idx="878">
                  <c:v>42465</c:v>
                </c:pt>
                <c:pt idx="879">
                  <c:v>42466</c:v>
                </c:pt>
                <c:pt idx="880">
                  <c:v>42467</c:v>
                </c:pt>
                <c:pt idx="881">
                  <c:v>42468</c:v>
                </c:pt>
                <c:pt idx="882">
                  <c:v>42471</c:v>
                </c:pt>
                <c:pt idx="883">
                  <c:v>42472</c:v>
                </c:pt>
                <c:pt idx="884">
                  <c:v>42473</c:v>
                </c:pt>
                <c:pt idx="885">
                  <c:v>42478</c:v>
                </c:pt>
                <c:pt idx="886">
                  <c:v>42480</c:v>
                </c:pt>
                <c:pt idx="887">
                  <c:v>42481</c:v>
                </c:pt>
                <c:pt idx="888">
                  <c:v>42482</c:v>
                </c:pt>
                <c:pt idx="889">
                  <c:v>42485</c:v>
                </c:pt>
                <c:pt idx="890">
                  <c:v>42486</c:v>
                </c:pt>
                <c:pt idx="891">
                  <c:v>42487</c:v>
                </c:pt>
                <c:pt idx="892">
                  <c:v>42488</c:v>
                </c:pt>
                <c:pt idx="893">
                  <c:v>42489</c:v>
                </c:pt>
                <c:pt idx="894">
                  <c:v>42492</c:v>
                </c:pt>
                <c:pt idx="895">
                  <c:v>42493</c:v>
                </c:pt>
                <c:pt idx="896">
                  <c:v>42494</c:v>
                </c:pt>
                <c:pt idx="897">
                  <c:v>42495</c:v>
                </c:pt>
                <c:pt idx="898">
                  <c:v>42496</c:v>
                </c:pt>
                <c:pt idx="899">
                  <c:v>42499</c:v>
                </c:pt>
                <c:pt idx="900">
                  <c:v>42500</c:v>
                </c:pt>
                <c:pt idx="901">
                  <c:v>42501</c:v>
                </c:pt>
                <c:pt idx="902">
                  <c:v>42502</c:v>
                </c:pt>
                <c:pt idx="903">
                  <c:v>42503</c:v>
                </c:pt>
                <c:pt idx="904">
                  <c:v>42506</c:v>
                </c:pt>
                <c:pt idx="905">
                  <c:v>42507</c:v>
                </c:pt>
                <c:pt idx="906">
                  <c:v>42508</c:v>
                </c:pt>
                <c:pt idx="907">
                  <c:v>42509</c:v>
                </c:pt>
                <c:pt idx="908">
                  <c:v>42510</c:v>
                </c:pt>
                <c:pt idx="909">
                  <c:v>42513</c:v>
                </c:pt>
                <c:pt idx="910">
                  <c:v>42514</c:v>
                </c:pt>
                <c:pt idx="911">
                  <c:v>42515</c:v>
                </c:pt>
                <c:pt idx="912">
                  <c:v>42516</c:v>
                </c:pt>
                <c:pt idx="913">
                  <c:v>42517</c:v>
                </c:pt>
                <c:pt idx="914">
                  <c:v>42520</c:v>
                </c:pt>
                <c:pt idx="915">
                  <c:v>42521</c:v>
                </c:pt>
                <c:pt idx="916">
                  <c:v>42522</c:v>
                </c:pt>
                <c:pt idx="917">
                  <c:v>42523</c:v>
                </c:pt>
                <c:pt idx="918">
                  <c:v>42524</c:v>
                </c:pt>
                <c:pt idx="919">
                  <c:v>42527</c:v>
                </c:pt>
                <c:pt idx="920">
                  <c:v>42528</c:v>
                </c:pt>
                <c:pt idx="921">
                  <c:v>42529</c:v>
                </c:pt>
                <c:pt idx="922">
                  <c:v>42530</c:v>
                </c:pt>
                <c:pt idx="923">
                  <c:v>42531</c:v>
                </c:pt>
                <c:pt idx="924">
                  <c:v>42534</c:v>
                </c:pt>
                <c:pt idx="925">
                  <c:v>42535</c:v>
                </c:pt>
                <c:pt idx="926">
                  <c:v>42536</c:v>
                </c:pt>
                <c:pt idx="927">
                  <c:v>42537</c:v>
                </c:pt>
                <c:pt idx="928">
                  <c:v>42538</c:v>
                </c:pt>
                <c:pt idx="929">
                  <c:v>42541</c:v>
                </c:pt>
                <c:pt idx="930">
                  <c:v>42542</c:v>
                </c:pt>
                <c:pt idx="931">
                  <c:v>42543</c:v>
                </c:pt>
                <c:pt idx="932">
                  <c:v>42544</c:v>
                </c:pt>
                <c:pt idx="933">
                  <c:v>42545</c:v>
                </c:pt>
                <c:pt idx="934">
                  <c:v>42548</c:v>
                </c:pt>
                <c:pt idx="935">
                  <c:v>42549</c:v>
                </c:pt>
                <c:pt idx="936">
                  <c:v>42550</c:v>
                </c:pt>
                <c:pt idx="937">
                  <c:v>42551</c:v>
                </c:pt>
                <c:pt idx="938">
                  <c:v>42552</c:v>
                </c:pt>
                <c:pt idx="939">
                  <c:v>42555</c:v>
                </c:pt>
                <c:pt idx="940">
                  <c:v>42556</c:v>
                </c:pt>
                <c:pt idx="941">
                  <c:v>42558</c:v>
                </c:pt>
                <c:pt idx="942">
                  <c:v>42559</c:v>
                </c:pt>
                <c:pt idx="943">
                  <c:v>42562</c:v>
                </c:pt>
                <c:pt idx="944">
                  <c:v>42563</c:v>
                </c:pt>
                <c:pt idx="945">
                  <c:v>42564</c:v>
                </c:pt>
                <c:pt idx="946">
                  <c:v>42565</c:v>
                </c:pt>
                <c:pt idx="947">
                  <c:v>42566</c:v>
                </c:pt>
                <c:pt idx="948">
                  <c:v>42569</c:v>
                </c:pt>
                <c:pt idx="949">
                  <c:v>42570</c:v>
                </c:pt>
                <c:pt idx="950">
                  <c:v>42571</c:v>
                </c:pt>
                <c:pt idx="951">
                  <c:v>42572</c:v>
                </c:pt>
                <c:pt idx="952">
                  <c:v>42573</c:v>
                </c:pt>
                <c:pt idx="953">
                  <c:v>42576</c:v>
                </c:pt>
                <c:pt idx="954">
                  <c:v>42577</c:v>
                </c:pt>
                <c:pt idx="955">
                  <c:v>42578</c:v>
                </c:pt>
                <c:pt idx="956">
                  <c:v>42579</c:v>
                </c:pt>
                <c:pt idx="957">
                  <c:v>42580</c:v>
                </c:pt>
                <c:pt idx="958">
                  <c:v>42583</c:v>
                </c:pt>
                <c:pt idx="959">
                  <c:v>42584</c:v>
                </c:pt>
                <c:pt idx="960">
                  <c:v>42585</c:v>
                </c:pt>
                <c:pt idx="961">
                  <c:v>42586</c:v>
                </c:pt>
                <c:pt idx="962">
                  <c:v>42587</c:v>
                </c:pt>
                <c:pt idx="963">
                  <c:v>42590</c:v>
                </c:pt>
                <c:pt idx="964">
                  <c:v>42591</c:v>
                </c:pt>
                <c:pt idx="965">
                  <c:v>42592</c:v>
                </c:pt>
                <c:pt idx="966">
                  <c:v>42593</c:v>
                </c:pt>
                <c:pt idx="967">
                  <c:v>42598</c:v>
                </c:pt>
                <c:pt idx="968">
                  <c:v>42599</c:v>
                </c:pt>
                <c:pt idx="969">
                  <c:v>42600</c:v>
                </c:pt>
                <c:pt idx="970">
                  <c:v>42601</c:v>
                </c:pt>
                <c:pt idx="971">
                  <c:v>42604</c:v>
                </c:pt>
                <c:pt idx="972">
                  <c:v>42605</c:v>
                </c:pt>
                <c:pt idx="973">
                  <c:v>42606</c:v>
                </c:pt>
                <c:pt idx="974">
                  <c:v>42607</c:v>
                </c:pt>
                <c:pt idx="975">
                  <c:v>42608</c:v>
                </c:pt>
                <c:pt idx="976">
                  <c:v>42611</c:v>
                </c:pt>
                <c:pt idx="977">
                  <c:v>42612</c:v>
                </c:pt>
                <c:pt idx="978">
                  <c:v>42613</c:v>
                </c:pt>
                <c:pt idx="979">
                  <c:v>42614</c:v>
                </c:pt>
                <c:pt idx="980">
                  <c:v>42615</c:v>
                </c:pt>
                <c:pt idx="981">
                  <c:v>42619</c:v>
                </c:pt>
                <c:pt idx="982">
                  <c:v>42620</c:v>
                </c:pt>
                <c:pt idx="983">
                  <c:v>42621</c:v>
                </c:pt>
                <c:pt idx="984">
                  <c:v>42622</c:v>
                </c:pt>
                <c:pt idx="985">
                  <c:v>42625</c:v>
                </c:pt>
                <c:pt idx="986">
                  <c:v>42627</c:v>
                </c:pt>
                <c:pt idx="987">
                  <c:v>42628</c:v>
                </c:pt>
                <c:pt idx="988">
                  <c:v>42629</c:v>
                </c:pt>
                <c:pt idx="989">
                  <c:v>42632</c:v>
                </c:pt>
                <c:pt idx="990">
                  <c:v>42633</c:v>
                </c:pt>
                <c:pt idx="991">
                  <c:v>42634</c:v>
                </c:pt>
                <c:pt idx="992">
                  <c:v>42635</c:v>
                </c:pt>
                <c:pt idx="993">
                  <c:v>42636</c:v>
                </c:pt>
                <c:pt idx="994">
                  <c:v>42639</c:v>
                </c:pt>
                <c:pt idx="995">
                  <c:v>42640</c:v>
                </c:pt>
                <c:pt idx="996">
                  <c:v>42641</c:v>
                </c:pt>
                <c:pt idx="997">
                  <c:v>42642</c:v>
                </c:pt>
                <c:pt idx="998">
                  <c:v>42643</c:v>
                </c:pt>
                <c:pt idx="999">
                  <c:v>42646</c:v>
                </c:pt>
                <c:pt idx="1000">
                  <c:v>42647</c:v>
                </c:pt>
                <c:pt idx="1001">
                  <c:v>42648</c:v>
                </c:pt>
                <c:pt idx="1002">
                  <c:v>42649</c:v>
                </c:pt>
                <c:pt idx="1003">
                  <c:v>42650</c:v>
                </c:pt>
                <c:pt idx="1004">
                  <c:v>42653</c:v>
                </c:pt>
                <c:pt idx="1005">
                  <c:v>42656</c:v>
                </c:pt>
                <c:pt idx="1006">
                  <c:v>42657</c:v>
                </c:pt>
                <c:pt idx="1007">
                  <c:v>42660</c:v>
                </c:pt>
                <c:pt idx="1008">
                  <c:v>42661</c:v>
                </c:pt>
                <c:pt idx="1009">
                  <c:v>42662</c:v>
                </c:pt>
                <c:pt idx="1010">
                  <c:v>42663</c:v>
                </c:pt>
                <c:pt idx="1011">
                  <c:v>42664</c:v>
                </c:pt>
                <c:pt idx="1012">
                  <c:v>42667</c:v>
                </c:pt>
                <c:pt idx="1013">
                  <c:v>42668</c:v>
                </c:pt>
                <c:pt idx="1014">
                  <c:v>42669</c:v>
                </c:pt>
                <c:pt idx="1015">
                  <c:v>42670</c:v>
                </c:pt>
                <c:pt idx="1016">
                  <c:v>42671</c:v>
                </c:pt>
                <c:pt idx="1017">
                  <c:v>42675</c:v>
                </c:pt>
                <c:pt idx="1018">
                  <c:v>42676</c:v>
                </c:pt>
                <c:pt idx="1019">
                  <c:v>42677</c:v>
                </c:pt>
                <c:pt idx="1020">
                  <c:v>42678</c:v>
                </c:pt>
                <c:pt idx="1021">
                  <c:v>42681</c:v>
                </c:pt>
                <c:pt idx="1022">
                  <c:v>42682</c:v>
                </c:pt>
                <c:pt idx="1023">
                  <c:v>42683</c:v>
                </c:pt>
                <c:pt idx="1024">
                  <c:v>42684</c:v>
                </c:pt>
                <c:pt idx="1025">
                  <c:v>42685</c:v>
                </c:pt>
                <c:pt idx="1026">
                  <c:v>42689</c:v>
                </c:pt>
                <c:pt idx="1027">
                  <c:v>42690</c:v>
                </c:pt>
                <c:pt idx="1028">
                  <c:v>42691</c:v>
                </c:pt>
                <c:pt idx="1029">
                  <c:v>42692</c:v>
                </c:pt>
                <c:pt idx="1030">
                  <c:v>42695</c:v>
                </c:pt>
                <c:pt idx="1031">
                  <c:v>42696</c:v>
                </c:pt>
                <c:pt idx="1032">
                  <c:v>42697</c:v>
                </c:pt>
                <c:pt idx="1033">
                  <c:v>42698</c:v>
                </c:pt>
                <c:pt idx="1034">
                  <c:v>42699</c:v>
                </c:pt>
                <c:pt idx="1035">
                  <c:v>42702</c:v>
                </c:pt>
                <c:pt idx="1036">
                  <c:v>42703</c:v>
                </c:pt>
                <c:pt idx="1037">
                  <c:v>42704</c:v>
                </c:pt>
                <c:pt idx="1038">
                  <c:v>42705</c:v>
                </c:pt>
                <c:pt idx="1039">
                  <c:v>42706</c:v>
                </c:pt>
                <c:pt idx="1040">
                  <c:v>42709</c:v>
                </c:pt>
                <c:pt idx="1041">
                  <c:v>42710</c:v>
                </c:pt>
                <c:pt idx="1042">
                  <c:v>42711</c:v>
                </c:pt>
                <c:pt idx="1043">
                  <c:v>42712</c:v>
                </c:pt>
                <c:pt idx="1044">
                  <c:v>42713</c:v>
                </c:pt>
                <c:pt idx="1045">
                  <c:v>42716</c:v>
                </c:pt>
                <c:pt idx="1046">
                  <c:v>42717</c:v>
                </c:pt>
                <c:pt idx="1047">
                  <c:v>42718</c:v>
                </c:pt>
                <c:pt idx="1048">
                  <c:v>42719</c:v>
                </c:pt>
                <c:pt idx="1049">
                  <c:v>42720</c:v>
                </c:pt>
                <c:pt idx="1050">
                  <c:v>42723</c:v>
                </c:pt>
                <c:pt idx="1051">
                  <c:v>42724</c:v>
                </c:pt>
                <c:pt idx="1052">
                  <c:v>42725</c:v>
                </c:pt>
                <c:pt idx="1053">
                  <c:v>42726</c:v>
                </c:pt>
                <c:pt idx="1054">
                  <c:v>42727</c:v>
                </c:pt>
                <c:pt idx="1055">
                  <c:v>42730</c:v>
                </c:pt>
                <c:pt idx="1056">
                  <c:v>42731</c:v>
                </c:pt>
                <c:pt idx="1057">
                  <c:v>42732</c:v>
                </c:pt>
                <c:pt idx="1058">
                  <c:v>42733</c:v>
                </c:pt>
                <c:pt idx="1059">
                  <c:v>42734</c:v>
                </c:pt>
                <c:pt idx="1060">
                  <c:v>42737</c:v>
                </c:pt>
                <c:pt idx="1061">
                  <c:v>42738</c:v>
                </c:pt>
                <c:pt idx="1062">
                  <c:v>42739</c:v>
                </c:pt>
                <c:pt idx="1063">
                  <c:v>42740</c:v>
                </c:pt>
                <c:pt idx="1064">
                  <c:v>42741</c:v>
                </c:pt>
                <c:pt idx="1065">
                  <c:v>42744</c:v>
                </c:pt>
                <c:pt idx="1066">
                  <c:v>42745</c:v>
                </c:pt>
                <c:pt idx="1067">
                  <c:v>42746</c:v>
                </c:pt>
                <c:pt idx="1068">
                  <c:v>42747</c:v>
                </c:pt>
                <c:pt idx="1069">
                  <c:v>42748</c:v>
                </c:pt>
                <c:pt idx="1070">
                  <c:v>42751</c:v>
                </c:pt>
                <c:pt idx="1071">
                  <c:v>42752</c:v>
                </c:pt>
                <c:pt idx="1072">
                  <c:v>42753</c:v>
                </c:pt>
                <c:pt idx="1073">
                  <c:v>42754</c:v>
                </c:pt>
                <c:pt idx="1074">
                  <c:v>42755</c:v>
                </c:pt>
                <c:pt idx="1075">
                  <c:v>42758</c:v>
                </c:pt>
                <c:pt idx="1076">
                  <c:v>42759</c:v>
                </c:pt>
                <c:pt idx="1077">
                  <c:v>42760</c:v>
                </c:pt>
                <c:pt idx="1078">
                  <c:v>42762</c:v>
                </c:pt>
                <c:pt idx="1079">
                  <c:v>42765</c:v>
                </c:pt>
                <c:pt idx="1080">
                  <c:v>42766</c:v>
                </c:pt>
                <c:pt idx="1081">
                  <c:v>42767</c:v>
                </c:pt>
                <c:pt idx="1082">
                  <c:v>42768</c:v>
                </c:pt>
                <c:pt idx="1083">
                  <c:v>42769</c:v>
                </c:pt>
                <c:pt idx="1084">
                  <c:v>42772</c:v>
                </c:pt>
                <c:pt idx="1085">
                  <c:v>42773</c:v>
                </c:pt>
                <c:pt idx="1086">
                  <c:v>42774</c:v>
                </c:pt>
                <c:pt idx="1087">
                  <c:v>42775</c:v>
                </c:pt>
                <c:pt idx="1088">
                  <c:v>42776</c:v>
                </c:pt>
                <c:pt idx="1089">
                  <c:v>42779</c:v>
                </c:pt>
              </c:numCache>
            </c:numRef>
          </c:cat>
          <c:val>
            <c:numRef>
              <c:f>BollingerBand_Nifty!$C$2:$C$1091</c:f>
              <c:numCache>
                <c:formatCode>General</c:formatCode>
                <c:ptCount val="1090"/>
                <c:pt idx="19">
                  <c:v>5676.7749512499995</c:v>
                </c:pt>
                <c:pt idx="20">
                  <c:v>5680.6374512499997</c:v>
                </c:pt>
                <c:pt idx="21">
                  <c:v>5683.0349610000003</c:v>
                </c:pt>
                <c:pt idx="22">
                  <c:v>5686.0449707500011</c:v>
                </c:pt>
                <c:pt idx="23">
                  <c:v>5694.2674805000006</c:v>
                </c:pt>
                <c:pt idx="24">
                  <c:v>5693.9224854000004</c:v>
                </c:pt>
                <c:pt idx="25">
                  <c:v>5696.2999756000008</c:v>
                </c:pt>
                <c:pt idx="26">
                  <c:v>5697.1749756000008</c:v>
                </c:pt>
                <c:pt idx="27">
                  <c:v>5698.5724609500003</c:v>
                </c:pt>
                <c:pt idx="28">
                  <c:v>5701.3624512000006</c:v>
                </c:pt>
                <c:pt idx="29">
                  <c:v>5699.4124512000008</c:v>
                </c:pt>
                <c:pt idx="30">
                  <c:v>5696.7524658500006</c:v>
                </c:pt>
                <c:pt idx="31">
                  <c:v>5690.7074707000011</c:v>
                </c:pt>
                <c:pt idx="32">
                  <c:v>5685.1299804500004</c:v>
                </c:pt>
                <c:pt idx="33">
                  <c:v>5678.0024658000011</c:v>
                </c:pt>
                <c:pt idx="34">
                  <c:v>5675.5399658000006</c:v>
                </c:pt>
                <c:pt idx="35">
                  <c:v>5676.9499755499992</c:v>
                </c:pt>
                <c:pt idx="36">
                  <c:v>5677.9399657499989</c:v>
                </c:pt>
                <c:pt idx="37">
                  <c:v>5683.337475549999</c:v>
                </c:pt>
                <c:pt idx="38">
                  <c:v>5684.8724853000003</c:v>
                </c:pt>
                <c:pt idx="39">
                  <c:v>5685.3824950500002</c:v>
                </c:pt>
                <c:pt idx="40">
                  <c:v>5685.2050048000001</c:v>
                </c:pt>
                <c:pt idx="41">
                  <c:v>5686.15251455</c:v>
                </c:pt>
                <c:pt idx="42">
                  <c:v>5686.4875243000006</c:v>
                </c:pt>
                <c:pt idx="43">
                  <c:v>5682.1025145499998</c:v>
                </c:pt>
                <c:pt idx="44">
                  <c:v>5676.592504799999</c:v>
                </c:pt>
                <c:pt idx="45">
                  <c:v>5669.3050047999996</c:v>
                </c:pt>
                <c:pt idx="46">
                  <c:v>5663.3124999500005</c:v>
                </c:pt>
                <c:pt idx="47">
                  <c:v>5659.4824951000001</c:v>
                </c:pt>
                <c:pt idx="48">
                  <c:v>5655.6050048500001</c:v>
                </c:pt>
                <c:pt idx="49">
                  <c:v>5653.7200195000005</c:v>
                </c:pt>
                <c:pt idx="50">
                  <c:v>5652.2350097000008</c:v>
                </c:pt>
                <c:pt idx="51">
                  <c:v>5658.7125243500004</c:v>
                </c:pt>
                <c:pt idx="52">
                  <c:v>5664.1000243500002</c:v>
                </c:pt>
                <c:pt idx="53">
                  <c:v>5673.0975340999994</c:v>
                </c:pt>
                <c:pt idx="54">
                  <c:v>5682.2050292499998</c:v>
                </c:pt>
                <c:pt idx="55">
                  <c:v>5690.5425292499995</c:v>
                </c:pt>
                <c:pt idx="56">
                  <c:v>5698.7850341499998</c:v>
                </c:pt>
                <c:pt idx="57">
                  <c:v>5705.8050292500002</c:v>
                </c:pt>
                <c:pt idx="58">
                  <c:v>5715.4125243500002</c:v>
                </c:pt>
                <c:pt idx="59">
                  <c:v>5726.4700194500001</c:v>
                </c:pt>
                <c:pt idx="60">
                  <c:v>5737.7300048000006</c:v>
                </c:pt>
                <c:pt idx="61">
                  <c:v>5749.3224853000011</c:v>
                </c:pt>
                <c:pt idx="62">
                  <c:v>5760.3749755500003</c:v>
                </c:pt>
                <c:pt idx="63">
                  <c:v>5771.3999755500008</c:v>
                </c:pt>
                <c:pt idx="64">
                  <c:v>5786.6774901999997</c:v>
                </c:pt>
                <c:pt idx="65">
                  <c:v>5801.0024902000005</c:v>
                </c:pt>
                <c:pt idx="66">
                  <c:v>5817.2649902000003</c:v>
                </c:pt>
                <c:pt idx="67">
                  <c:v>5833.0050048499998</c:v>
                </c:pt>
                <c:pt idx="68">
                  <c:v>5847.4374999500005</c:v>
                </c:pt>
                <c:pt idx="69">
                  <c:v>5858.4925047999996</c:v>
                </c:pt>
                <c:pt idx="70">
                  <c:v>5869.4850096999999</c:v>
                </c:pt>
                <c:pt idx="71">
                  <c:v>5878.3925048499996</c:v>
                </c:pt>
                <c:pt idx="72">
                  <c:v>5885.5249999999996</c:v>
                </c:pt>
                <c:pt idx="73">
                  <c:v>5889.6925049000001</c:v>
                </c:pt>
                <c:pt idx="74">
                  <c:v>5890.955004899999</c:v>
                </c:pt>
                <c:pt idx="75">
                  <c:v>5897.0699951499992</c:v>
                </c:pt>
                <c:pt idx="76">
                  <c:v>5903.082495149999</c:v>
                </c:pt>
                <c:pt idx="77">
                  <c:v>5908.8649902499992</c:v>
                </c:pt>
                <c:pt idx="78">
                  <c:v>5911.7399902499992</c:v>
                </c:pt>
                <c:pt idx="79">
                  <c:v>5916.4550048999999</c:v>
                </c:pt>
                <c:pt idx="80">
                  <c:v>5919.5850097999992</c:v>
                </c:pt>
                <c:pt idx="81">
                  <c:v>5923.07751465</c:v>
                </c:pt>
                <c:pt idx="82">
                  <c:v>5926.2425049000003</c:v>
                </c:pt>
                <c:pt idx="83">
                  <c:v>5934.8699951500012</c:v>
                </c:pt>
                <c:pt idx="84">
                  <c:v>5943.7199951500015</c:v>
                </c:pt>
                <c:pt idx="85">
                  <c:v>5950.9175049500009</c:v>
                </c:pt>
                <c:pt idx="86">
                  <c:v>5958.0375244500001</c:v>
                </c:pt>
                <c:pt idx="87">
                  <c:v>5964.7775146500007</c:v>
                </c:pt>
                <c:pt idx="88">
                  <c:v>5973.0725097999994</c:v>
                </c:pt>
                <c:pt idx="89">
                  <c:v>5983.1125000499997</c:v>
                </c:pt>
                <c:pt idx="90">
                  <c:v>5993.0399902999998</c:v>
                </c:pt>
                <c:pt idx="91">
                  <c:v>5998.7274902999989</c:v>
                </c:pt>
                <c:pt idx="92">
                  <c:v>6008.9549804999997</c:v>
                </c:pt>
                <c:pt idx="93">
                  <c:v>6017.2774658500002</c:v>
                </c:pt>
                <c:pt idx="94">
                  <c:v>6024.5174560500009</c:v>
                </c:pt>
                <c:pt idx="95">
                  <c:v>6027.6424560500018</c:v>
                </c:pt>
                <c:pt idx="96">
                  <c:v>6028.9049560500007</c:v>
                </c:pt>
                <c:pt idx="97">
                  <c:v>6028.0424560500014</c:v>
                </c:pt>
                <c:pt idx="98">
                  <c:v>6027.9849609500006</c:v>
                </c:pt>
                <c:pt idx="99">
                  <c:v>6025.7449463000003</c:v>
                </c:pt>
                <c:pt idx="100">
                  <c:v>6025.1299560500011</c:v>
                </c:pt>
                <c:pt idx="101">
                  <c:v>6023.6374512000011</c:v>
                </c:pt>
                <c:pt idx="102">
                  <c:v>6021.2474609500005</c:v>
                </c:pt>
                <c:pt idx="103">
                  <c:v>6014.9374756000007</c:v>
                </c:pt>
                <c:pt idx="104">
                  <c:v>6008.2324707000007</c:v>
                </c:pt>
                <c:pt idx="105">
                  <c:v>6004.7874755499997</c:v>
                </c:pt>
                <c:pt idx="106">
                  <c:v>5997.6749755499995</c:v>
                </c:pt>
                <c:pt idx="107">
                  <c:v>5988.8249755500001</c:v>
                </c:pt>
                <c:pt idx="108">
                  <c:v>5979.6199950499995</c:v>
                </c:pt>
                <c:pt idx="109">
                  <c:v>5974.1800047999986</c:v>
                </c:pt>
                <c:pt idx="110">
                  <c:v>5968.6175047999986</c:v>
                </c:pt>
                <c:pt idx="111">
                  <c:v>5960.2624999</c:v>
                </c:pt>
                <c:pt idx="112">
                  <c:v>5949.0449950499997</c:v>
                </c:pt>
                <c:pt idx="113">
                  <c:v>5938.0425048000006</c:v>
                </c:pt>
                <c:pt idx="114">
                  <c:v>5923.6150146</c:v>
                </c:pt>
                <c:pt idx="115">
                  <c:v>5910.6725096999999</c:v>
                </c:pt>
                <c:pt idx="116">
                  <c:v>5893.5874999500002</c:v>
                </c:pt>
                <c:pt idx="117">
                  <c:v>5879.6275145999998</c:v>
                </c:pt>
                <c:pt idx="118">
                  <c:v>5866.250024349999</c:v>
                </c:pt>
                <c:pt idx="119">
                  <c:v>5854.3900389999999</c:v>
                </c:pt>
                <c:pt idx="120">
                  <c:v>5842.4150389999995</c:v>
                </c:pt>
                <c:pt idx="121">
                  <c:v>5831.4600584999989</c:v>
                </c:pt>
                <c:pt idx="122">
                  <c:v>5822.2700682499999</c:v>
                </c:pt>
                <c:pt idx="123">
                  <c:v>5824.4950682500003</c:v>
                </c:pt>
                <c:pt idx="124">
                  <c:v>5824.0750731499993</c:v>
                </c:pt>
                <c:pt idx="125">
                  <c:v>5819.9875731499988</c:v>
                </c:pt>
                <c:pt idx="126">
                  <c:v>5820.5875731499991</c:v>
                </c:pt>
                <c:pt idx="127">
                  <c:v>5819.8475829499985</c:v>
                </c:pt>
                <c:pt idx="128">
                  <c:v>5816.7000731999988</c:v>
                </c:pt>
                <c:pt idx="129">
                  <c:v>5807.0125731999988</c:v>
                </c:pt>
                <c:pt idx="130">
                  <c:v>5794.5800780499985</c:v>
                </c:pt>
                <c:pt idx="131">
                  <c:v>5784.9050780499983</c:v>
                </c:pt>
                <c:pt idx="132">
                  <c:v>5774.9575926999987</c:v>
                </c:pt>
                <c:pt idx="133">
                  <c:v>5763.9125975999996</c:v>
                </c:pt>
                <c:pt idx="134">
                  <c:v>5757.9250975999994</c:v>
                </c:pt>
                <c:pt idx="135">
                  <c:v>5750.1601073999991</c:v>
                </c:pt>
                <c:pt idx="136">
                  <c:v>5749.6351073999995</c:v>
                </c:pt>
                <c:pt idx="137">
                  <c:v>5748.8700927500004</c:v>
                </c:pt>
                <c:pt idx="138">
                  <c:v>5750.290087899999</c:v>
                </c:pt>
                <c:pt idx="139">
                  <c:v>5747.9500732499991</c:v>
                </c:pt>
                <c:pt idx="140">
                  <c:v>5740.7025635</c:v>
                </c:pt>
                <c:pt idx="141">
                  <c:v>5732.3800537500001</c:v>
                </c:pt>
                <c:pt idx="142">
                  <c:v>5723.5425537499996</c:v>
                </c:pt>
                <c:pt idx="143">
                  <c:v>5701.1800537500003</c:v>
                </c:pt>
                <c:pt idx="144">
                  <c:v>5683.4100586000004</c:v>
                </c:pt>
                <c:pt idx="145">
                  <c:v>5670.5500488500002</c:v>
                </c:pt>
                <c:pt idx="146">
                  <c:v>5651.5300293500004</c:v>
                </c:pt>
                <c:pt idx="147">
                  <c:v>5636.3200195500003</c:v>
                </c:pt>
                <c:pt idx="148">
                  <c:v>5629.0050293000004</c:v>
                </c:pt>
                <c:pt idx="149">
                  <c:v>5626.1425293000002</c:v>
                </c:pt>
                <c:pt idx="150">
                  <c:v>5630.5775390999997</c:v>
                </c:pt>
                <c:pt idx="151">
                  <c:v>5636.7950439999995</c:v>
                </c:pt>
                <c:pt idx="152">
                  <c:v>5645.9475341999996</c:v>
                </c:pt>
                <c:pt idx="153">
                  <c:v>5656.1000244000006</c:v>
                </c:pt>
                <c:pt idx="154">
                  <c:v>5665.8650146</c:v>
                </c:pt>
                <c:pt idx="155">
                  <c:v>5679.59999995</c:v>
                </c:pt>
                <c:pt idx="156">
                  <c:v>5689.0450194499999</c:v>
                </c:pt>
                <c:pt idx="157">
                  <c:v>5699.0300292499996</c:v>
                </c:pt>
                <c:pt idx="158">
                  <c:v>5708.1350340999998</c:v>
                </c:pt>
                <c:pt idx="159">
                  <c:v>5721.0000487500001</c:v>
                </c:pt>
                <c:pt idx="160">
                  <c:v>5742.2300536499997</c:v>
                </c:pt>
                <c:pt idx="161">
                  <c:v>5761.7675536499992</c:v>
                </c:pt>
                <c:pt idx="162">
                  <c:v>5783.1725341499996</c:v>
                </c:pt>
                <c:pt idx="163">
                  <c:v>5810.5950194999987</c:v>
                </c:pt>
                <c:pt idx="164">
                  <c:v>5836.125</c:v>
                </c:pt>
                <c:pt idx="165">
                  <c:v>5858.9324950999999</c:v>
                </c:pt>
                <c:pt idx="166">
                  <c:v>5887.2425048499999</c:v>
                </c:pt>
                <c:pt idx="167">
                  <c:v>5907.8450195000005</c:v>
                </c:pt>
                <c:pt idx="168">
                  <c:v>5923.167504850001</c:v>
                </c:pt>
                <c:pt idx="169">
                  <c:v>5946.0699951000006</c:v>
                </c:pt>
                <c:pt idx="170">
                  <c:v>5965.4099853000007</c:v>
                </c:pt>
                <c:pt idx="171">
                  <c:v>5985.6199706500011</c:v>
                </c:pt>
                <c:pt idx="172">
                  <c:v>6001.7449706500011</c:v>
                </c:pt>
                <c:pt idx="173">
                  <c:v>6015.6049804500017</c:v>
                </c:pt>
                <c:pt idx="174">
                  <c:v>6028.4849853500009</c:v>
                </c:pt>
                <c:pt idx="175">
                  <c:v>6031.0224853500004</c:v>
                </c:pt>
                <c:pt idx="176">
                  <c:v>6036.6274658500015</c:v>
                </c:pt>
                <c:pt idx="177">
                  <c:v>6045.5799560500009</c:v>
                </c:pt>
                <c:pt idx="178">
                  <c:v>6054.6324463000001</c:v>
                </c:pt>
                <c:pt idx="179">
                  <c:v>6063.3374267999998</c:v>
                </c:pt>
                <c:pt idx="180">
                  <c:v>6069.5724121500007</c:v>
                </c:pt>
                <c:pt idx="181">
                  <c:v>6071.6699219000002</c:v>
                </c:pt>
                <c:pt idx="182">
                  <c:v>6070.0824219000006</c:v>
                </c:pt>
                <c:pt idx="183">
                  <c:v>6063.8774414000009</c:v>
                </c:pt>
                <c:pt idx="184">
                  <c:v>6056.6049560500005</c:v>
                </c:pt>
                <c:pt idx="185">
                  <c:v>6050.1674560500005</c:v>
                </c:pt>
                <c:pt idx="186">
                  <c:v>6039.4799560500005</c:v>
                </c:pt>
                <c:pt idx="187">
                  <c:v>6034.3574463000004</c:v>
                </c:pt>
                <c:pt idx="188">
                  <c:v>6024.02744145</c:v>
                </c:pt>
                <c:pt idx="189">
                  <c:v>6004.6999512000002</c:v>
                </c:pt>
                <c:pt idx="190">
                  <c:v>5981.1599609999994</c:v>
                </c:pt>
                <c:pt idx="191">
                  <c:v>5962.2149658500002</c:v>
                </c:pt>
                <c:pt idx="192">
                  <c:v>5946.8724610000008</c:v>
                </c:pt>
                <c:pt idx="193">
                  <c:v>5931.8474609999994</c:v>
                </c:pt>
                <c:pt idx="194">
                  <c:v>5918.2349610000001</c:v>
                </c:pt>
                <c:pt idx="195">
                  <c:v>5902.6774658499999</c:v>
                </c:pt>
                <c:pt idx="196">
                  <c:v>5886.8824707000003</c:v>
                </c:pt>
                <c:pt idx="197">
                  <c:v>5862.2374755999999</c:v>
                </c:pt>
                <c:pt idx="198">
                  <c:v>5837.1299804999999</c:v>
                </c:pt>
                <c:pt idx="199">
                  <c:v>5811.35</c:v>
                </c:pt>
                <c:pt idx="200">
                  <c:v>5789.26501465</c:v>
                </c:pt>
                <c:pt idx="201">
                  <c:v>5782.07751465</c:v>
                </c:pt>
                <c:pt idx="202">
                  <c:v>5780.0550292999997</c:v>
                </c:pt>
                <c:pt idx="203">
                  <c:v>5776.9600097999992</c:v>
                </c:pt>
                <c:pt idx="204">
                  <c:v>5769.3124999999991</c:v>
                </c:pt>
                <c:pt idx="205">
                  <c:v>5765.0900146499989</c:v>
                </c:pt>
                <c:pt idx="206">
                  <c:v>5764.4350097500001</c:v>
                </c:pt>
                <c:pt idx="207">
                  <c:v>5761.1125000000002</c:v>
                </c:pt>
                <c:pt idx="208">
                  <c:v>5764.6225097500001</c:v>
                </c:pt>
                <c:pt idx="209">
                  <c:v>5767.4475097499999</c:v>
                </c:pt>
                <c:pt idx="210">
                  <c:v>5779.2475097500001</c:v>
                </c:pt>
                <c:pt idx="211">
                  <c:v>5789.2775146500007</c:v>
                </c:pt>
                <c:pt idx="212">
                  <c:v>5798.3150146500002</c:v>
                </c:pt>
                <c:pt idx="213">
                  <c:v>5805.3975097500006</c:v>
                </c:pt>
                <c:pt idx="214">
                  <c:v>5812.95</c:v>
                </c:pt>
                <c:pt idx="215">
                  <c:v>5832.0574951500002</c:v>
                </c:pt>
                <c:pt idx="216">
                  <c:v>5850.1350098000003</c:v>
                </c:pt>
                <c:pt idx="217">
                  <c:v>5872.21250005</c:v>
                </c:pt>
                <c:pt idx="218">
                  <c:v>5895.6474853999998</c:v>
                </c:pt>
                <c:pt idx="219">
                  <c:v>5915.7374756500012</c:v>
                </c:pt>
                <c:pt idx="220">
                  <c:v>5926.99497075</c:v>
                </c:pt>
                <c:pt idx="221">
                  <c:v>5929.1949707500007</c:v>
                </c:pt>
                <c:pt idx="222">
                  <c:v>5925.8349609500001</c:v>
                </c:pt>
                <c:pt idx="223">
                  <c:v>5920.709960950001</c:v>
                </c:pt>
                <c:pt idx="224">
                  <c:v>5919.2649658500013</c:v>
                </c:pt>
                <c:pt idx="225">
                  <c:v>5913.8099610000008</c:v>
                </c:pt>
                <c:pt idx="226">
                  <c:v>5904.3099610000008</c:v>
                </c:pt>
                <c:pt idx="227">
                  <c:v>5898.0024658500006</c:v>
                </c:pt>
                <c:pt idx="228">
                  <c:v>5882.164965850001</c:v>
                </c:pt>
                <c:pt idx="229">
                  <c:v>5867.2849610000003</c:v>
                </c:pt>
                <c:pt idx="230">
                  <c:v>5848.8124512000013</c:v>
                </c:pt>
                <c:pt idx="231">
                  <c:v>5826.6449463000008</c:v>
                </c:pt>
                <c:pt idx="232">
                  <c:v>5805.7249511500004</c:v>
                </c:pt>
                <c:pt idx="233">
                  <c:v>5792.927441400001</c:v>
                </c:pt>
                <c:pt idx="234">
                  <c:v>5781.3774414000009</c:v>
                </c:pt>
                <c:pt idx="235">
                  <c:v>5766.5899414000005</c:v>
                </c:pt>
                <c:pt idx="236">
                  <c:v>5740.5224365500007</c:v>
                </c:pt>
                <c:pt idx="237">
                  <c:v>5709.6699463000004</c:v>
                </c:pt>
                <c:pt idx="238">
                  <c:v>5675.8524658000006</c:v>
                </c:pt>
                <c:pt idx="239">
                  <c:v>5641.45495605</c:v>
                </c:pt>
                <c:pt idx="240">
                  <c:v>5616.5024657999993</c:v>
                </c:pt>
                <c:pt idx="241">
                  <c:v>5595.7799560499998</c:v>
                </c:pt>
                <c:pt idx="242">
                  <c:v>5578.0224609499992</c:v>
                </c:pt>
                <c:pt idx="243">
                  <c:v>5554.6424804499993</c:v>
                </c:pt>
                <c:pt idx="244">
                  <c:v>5531.7924804499999</c:v>
                </c:pt>
                <c:pt idx="245">
                  <c:v>5515.8524658000006</c:v>
                </c:pt>
                <c:pt idx="246">
                  <c:v>5505.5474609500006</c:v>
                </c:pt>
                <c:pt idx="247">
                  <c:v>5498.8149658500006</c:v>
                </c:pt>
                <c:pt idx="248">
                  <c:v>5488.7749756000003</c:v>
                </c:pt>
                <c:pt idx="249">
                  <c:v>5485.2249756000001</c:v>
                </c:pt>
                <c:pt idx="250">
                  <c:v>5486.5899902499996</c:v>
                </c:pt>
                <c:pt idx="251">
                  <c:v>5492.3274902499998</c:v>
                </c:pt>
                <c:pt idx="252">
                  <c:v>5495.7274902500003</c:v>
                </c:pt>
                <c:pt idx="253">
                  <c:v>5505.6</c:v>
                </c:pt>
                <c:pt idx="254">
                  <c:v>5514.1425048500005</c:v>
                </c:pt>
                <c:pt idx="255">
                  <c:v>5519.5625243500008</c:v>
                </c:pt>
                <c:pt idx="256">
                  <c:v>5536.7000243500006</c:v>
                </c:pt>
                <c:pt idx="257">
                  <c:v>5557.9900146000009</c:v>
                </c:pt>
                <c:pt idx="258">
                  <c:v>5580.4275146</c:v>
                </c:pt>
                <c:pt idx="259">
                  <c:v>5610.2725340999996</c:v>
                </c:pt>
                <c:pt idx="260">
                  <c:v>5645.6275145999998</c:v>
                </c:pt>
                <c:pt idx="261">
                  <c:v>5672.6450194999989</c:v>
                </c:pt>
                <c:pt idx="262">
                  <c:v>5693.3075194999992</c:v>
                </c:pt>
                <c:pt idx="263">
                  <c:v>5723.5575194999992</c:v>
                </c:pt>
                <c:pt idx="264">
                  <c:v>5753.0000243999984</c:v>
                </c:pt>
                <c:pt idx="265">
                  <c:v>5776.6600341499989</c:v>
                </c:pt>
                <c:pt idx="266">
                  <c:v>5794.7300536499988</c:v>
                </c:pt>
                <c:pt idx="267">
                  <c:v>5803.9575438999991</c:v>
                </c:pt>
                <c:pt idx="268">
                  <c:v>5825.8875243999992</c:v>
                </c:pt>
                <c:pt idx="269">
                  <c:v>5848.9675292499996</c:v>
                </c:pt>
                <c:pt idx="270">
                  <c:v>5864.685009750001</c:v>
                </c:pt>
                <c:pt idx="271">
                  <c:v>5875.9725097500004</c:v>
                </c:pt>
                <c:pt idx="272">
                  <c:v>5888.372509750001</c:v>
                </c:pt>
                <c:pt idx="273">
                  <c:v>5893.9075195000014</c:v>
                </c:pt>
                <c:pt idx="274">
                  <c:v>5899.2975341500005</c:v>
                </c:pt>
                <c:pt idx="275">
                  <c:v>5911.5725341500001</c:v>
                </c:pt>
                <c:pt idx="276">
                  <c:v>5924.6775389999993</c:v>
                </c:pt>
                <c:pt idx="277">
                  <c:v>5937.1025390000004</c:v>
                </c:pt>
                <c:pt idx="278">
                  <c:v>5946.8850341500001</c:v>
                </c:pt>
                <c:pt idx="279">
                  <c:v>5961.3800292999995</c:v>
                </c:pt>
                <c:pt idx="280">
                  <c:v>5965.8500487999991</c:v>
                </c:pt>
                <c:pt idx="281">
                  <c:v>5975.3850341499992</c:v>
                </c:pt>
                <c:pt idx="282">
                  <c:v>5989.8150390499995</c:v>
                </c:pt>
                <c:pt idx="283">
                  <c:v>6003.4100341999983</c:v>
                </c:pt>
                <c:pt idx="284">
                  <c:v>6016.962524399999</c:v>
                </c:pt>
                <c:pt idx="285">
                  <c:v>6027.9050292999982</c:v>
                </c:pt>
                <c:pt idx="286">
                  <c:v>6047.2900146499987</c:v>
                </c:pt>
                <c:pt idx="287">
                  <c:v>6073.1100341499996</c:v>
                </c:pt>
                <c:pt idx="288">
                  <c:v>6099.0650390000001</c:v>
                </c:pt>
                <c:pt idx="289">
                  <c:v>6118.9400390000001</c:v>
                </c:pt>
                <c:pt idx="290">
                  <c:v>6136.2325438500002</c:v>
                </c:pt>
                <c:pt idx="291">
                  <c:v>6151.6825438500009</c:v>
                </c:pt>
                <c:pt idx="292">
                  <c:v>6164.625048750001</c:v>
                </c:pt>
                <c:pt idx="293">
                  <c:v>6171.2900390000013</c:v>
                </c:pt>
                <c:pt idx="294">
                  <c:v>6174.182519500001</c:v>
                </c:pt>
                <c:pt idx="295">
                  <c:v>6170.2750000000005</c:v>
                </c:pt>
                <c:pt idx="296">
                  <c:v>6164.1199951500002</c:v>
                </c:pt>
                <c:pt idx="297">
                  <c:v>6162.4750000000004</c:v>
                </c:pt>
                <c:pt idx="298">
                  <c:v>6169.6324951000006</c:v>
                </c:pt>
                <c:pt idx="299">
                  <c:v>6170.3324950999995</c:v>
                </c:pt>
                <c:pt idx="300">
                  <c:v>6166.2299804499999</c:v>
                </c:pt>
                <c:pt idx="301">
                  <c:v>6156.0424804499999</c:v>
                </c:pt>
                <c:pt idx="302">
                  <c:v>6146.8974853</c:v>
                </c:pt>
                <c:pt idx="303">
                  <c:v>6144.4474853000002</c:v>
                </c:pt>
                <c:pt idx="304">
                  <c:v>6140.1574950999993</c:v>
                </c:pt>
                <c:pt idx="305">
                  <c:v>6137.9574950999995</c:v>
                </c:pt>
                <c:pt idx="306">
                  <c:v>6131.5050049000001</c:v>
                </c:pt>
                <c:pt idx="307">
                  <c:v>6127.7250000499989</c:v>
                </c:pt>
                <c:pt idx="308">
                  <c:v>6123.6600098499994</c:v>
                </c:pt>
                <c:pt idx="309">
                  <c:v>6118.392504999998</c:v>
                </c:pt>
                <c:pt idx="310">
                  <c:v>6113.782519649998</c:v>
                </c:pt>
                <c:pt idx="311">
                  <c:v>6115.0800294499986</c:v>
                </c:pt>
                <c:pt idx="312">
                  <c:v>6118.7125245499983</c:v>
                </c:pt>
                <c:pt idx="313">
                  <c:v>6129.8700196499985</c:v>
                </c:pt>
                <c:pt idx="314">
                  <c:v>6142.5725342999995</c:v>
                </c:pt>
                <c:pt idx="315">
                  <c:v>6157.0650391500003</c:v>
                </c:pt>
                <c:pt idx="316">
                  <c:v>6169.4375245000001</c:v>
                </c:pt>
                <c:pt idx="317">
                  <c:v>6175.0500245000012</c:v>
                </c:pt>
                <c:pt idx="318">
                  <c:v>6173.3350342500007</c:v>
                </c:pt>
                <c:pt idx="319">
                  <c:v>6170.1200196000009</c:v>
                </c:pt>
                <c:pt idx="320">
                  <c:v>6174.8325196000014</c:v>
                </c:pt>
                <c:pt idx="321">
                  <c:v>6183.2125244500012</c:v>
                </c:pt>
                <c:pt idx="322">
                  <c:v>6197.1525147000011</c:v>
                </c:pt>
                <c:pt idx="323">
                  <c:v>6205.6100098000006</c:v>
                </c:pt>
                <c:pt idx="324">
                  <c:v>6216.0750000000007</c:v>
                </c:pt>
                <c:pt idx="325">
                  <c:v>6227.1649902000008</c:v>
                </c:pt>
                <c:pt idx="326">
                  <c:v>6238.262475550001</c:v>
                </c:pt>
                <c:pt idx="327">
                  <c:v>6244.012475550001</c:v>
                </c:pt>
                <c:pt idx="328">
                  <c:v>6248.31997065</c:v>
                </c:pt>
                <c:pt idx="329">
                  <c:v>6249.284960850001</c:v>
                </c:pt>
                <c:pt idx="330">
                  <c:v>6251.7949462000006</c:v>
                </c:pt>
                <c:pt idx="331">
                  <c:v>6249.3124510500002</c:v>
                </c:pt>
                <c:pt idx="332">
                  <c:v>6244.4299559500014</c:v>
                </c:pt>
                <c:pt idx="333">
                  <c:v>6234.9649657499995</c:v>
                </c:pt>
                <c:pt idx="334">
                  <c:v>6226.73996575</c:v>
                </c:pt>
                <c:pt idx="335">
                  <c:v>6219.9174803999995</c:v>
                </c:pt>
                <c:pt idx="336">
                  <c:v>6221.702490149999</c:v>
                </c:pt>
                <c:pt idx="337">
                  <c:v>6225.3749999499996</c:v>
                </c:pt>
                <c:pt idx="338">
                  <c:v>6233.6849853000003</c:v>
                </c:pt>
                <c:pt idx="339">
                  <c:v>6242.6774901500003</c:v>
                </c:pt>
                <c:pt idx="340">
                  <c:v>6244.9024901499997</c:v>
                </c:pt>
                <c:pt idx="341">
                  <c:v>6251.7675047999992</c:v>
                </c:pt>
                <c:pt idx="342">
                  <c:v>6253.7449950499995</c:v>
                </c:pt>
                <c:pt idx="343">
                  <c:v>6256.4675047999999</c:v>
                </c:pt>
                <c:pt idx="344">
                  <c:v>6260.3300048000001</c:v>
                </c:pt>
                <c:pt idx="345">
                  <c:v>6259.722509700001</c:v>
                </c:pt>
                <c:pt idx="346">
                  <c:v>6250.8250243500006</c:v>
                </c:pt>
                <c:pt idx="347">
                  <c:v>6242.5825194500012</c:v>
                </c:pt>
                <c:pt idx="348">
                  <c:v>6233.3950194500003</c:v>
                </c:pt>
                <c:pt idx="349">
                  <c:v>6226.0225340999996</c:v>
                </c:pt>
                <c:pt idx="350">
                  <c:v>6219.9400389999992</c:v>
                </c:pt>
                <c:pt idx="351">
                  <c:v>6210.4575194999989</c:v>
                </c:pt>
                <c:pt idx="352">
                  <c:v>6202.3900145999996</c:v>
                </c:pt>
                <c:pt idx="353">
                  <c:v>6194.7800047999999</c:v>
                </c:pt>
                <c:pt idx="354">
                  <c:v>6188.1774901500003</c:v>
                </c:pt>
                <c:pt idx="355">
                  <c:v>6182.7649901499999</c:v>
                </c:pt>
                <c:pt idx="356">
                  <c:v>6171.7999999000003</c:v>
                </c:pt>
                <c:pt idx="357">
                  <c:v>6162.8425047500004</c:v>
                </c:pt>
                <c:pt idx="358">
                  <c:v>6150.9975096500002</c:v>
                </c:pt>
                <c:pt idx="359">
                  <c:v>6135.1075194499999</c:v>
                </c:pt>
                <c:pt idx="360">
                  <c:v>6124.44252925</c:v>
                </c:pt>
                <c:pt idx="361">
                  <c:v>6112.9100097499995</c:v>
                </c:pt>
                <c:pt idx="362">
                  <c:v>6103.5750243999992</c:v>
                </c:pt>
                <c:pt idx="363">
                  <c:v>6094.2650146499991</c:v>
                </c:pt>
                <c:pt idx="364">
                  <c:v>6081.5550292999997</c:v>
                </c:pt>
                <c:pt idx="365">
                  <c:v>6075.9900390499988</c:v>
                </c:pt>
                <c:pt idx="366">
                  <c:v>6078.5025390499986</c:v>
                </c:pt>
                <c:pt idx="367">
                  <c:v>6082.1925292999995</c:v>
                </c:pt>
                <c:pt idx="368">
                  <c:v>6088.1200195499996</c:v>
                </c:pt>
                <c:pt idx="369">
                  <c:v>6098.2825195499991</c:v>
                </c:pt>
                <c:pt idx="370">
                  <c:v>6104.8800292999995</c:v>
                </c:pt>
                <c:pt idx="371">
                  <c:v>6119.6875487999996</c:v>
                </c:pt>
                <c:pt idx="372">
                  <c:v>6136.0750487999994</c:v>
                </c:pt>
                <c:pt idx="373">
                  <c:v>6155.0125488000003</c:v>
                </c:pt>
                <c:pt idx="374">
                  <c:v>6179.5300536500008</c:v>
                </c:pt>
                <c:pt idx="375">
                  <c:v>6203.2325439000006</c:v>
                </c:pt>
                <c:pt idx="376">
                  <c:v>6226.1550292500006</c:v>
                </c:pt>
                <c:pt idx="377">
                  <c:v>6248.8650146000009</c:v>
                </c:pt>
                <c:pt idx="378">
                  <c:v>6269.3200195000009</c:v>
                </c:pt>
                <c:pt idx="379">
                  <c:v>6294.4750243500011</c:v>
                </c:pt>
                <c:pt idx="380">
                  <c:v>6317.8900145500011</c:v>
                </c:pt>
                <c:pt idx="381">
                  <c:v>6340.4275145500014</c:v>
                </c:pt>
                <c:pt idx="382">
                  <c:v>6358.2275145500007</c:v>
                </c:pt>
                <c:pt idx="383">
                  <c:v>6375.2500242999995</c:v>
                </c:pt>
                <c:pt idx="384">
                  <c:v>6399.8525145499998</c:v>
                </c:pt>
                <c:pt idx="385">
                  <c:v>6421.5675047999994</c:v>
                </c:pt>
                <c:pt idx="386">
                  <c:v>6442.3324949999997</c:v>
                </c:pt>
                <c:pt idx="387">
                  <c:v>6464.4175047500003</c:v>
                </c:pt>
                <c:pt idx="388">
                  <c:v>6487.2725096000004</c:v>
                </c:pt>
                <c:pt idx="389">
                  <c:v>6508.6350096000006</c:v>
                </c:pt>
                <c:pt idx="390">
                  <c:v>6533.6149900999999</c:v>
                </c:pt>
                <c:pt idx="391">
                  <c:v>6556.3449706000001</c:v>
                </c:pt>
                <c:pt idx="392">
                  <c:v>6576.7174804000006</c:v>
                </c:pt>
                <c:pt idx="393">
                  <c:v>6591.3774902000005</c:v>
                </c:pt>
                <c:pt idx="394">
                  <c:v>6599.79748535</c:v>
                </c:pt>
                <c:pt idx="395">
                  <c:v>6612.7449950999999</c:v>
                </c:pt>
                <c:pt idx="396">
                  <c:v>6626.9699950999984</c:v>
                </c:pt>
                <c:pt idx="397">
                  <c:v>6639.939990249999</c:v>
                </c:pt>
                <c:pt idx="398">
                  <c:v>6651.939990249999</c:v>
                </c:pt>
                <c:pt idx="399">
                  <c:v>6660.49497075</c:v>
                </c:pt>
                <c:pt idx="400">
                  <c:v>6673.6324707499998</c:v>
                </c:pt>
                <c:pt idx="401">
                  <c:v>6688.3124755999988</c:v>
                </c:pt>
                <c:pt idx="402">
                  <c:v>6704.9249756000008</c:v>
                </c:pt>
                <c:pt idx="403">
                  <c:v>6722.3049561000007</c:v>
                </c:pt>
                <c:pt idx="404">
                  <c:v>6732.2674561000003</c:v>
                </c:pt>
                <c:pt idx="405">
                  <c:v>6740.842456100002</c:v>
                </c:pt>
                <c:pt idx="406">
                  <c:v>6746.5349610000003</c:v>
                </c:pt>
                <c:pt idx="407">
                  <c:v>6749.2674561000003</c:v>
                </c:pt>
                <c:pt idx="408">
                  <c:v>6749.2124512499995</c:v>
                </c:pt>
                <c:pt idx="409">
                  <c:v>6748.9699464000005</c:v>
                </c:pt>
                <c:pt idx="410">
                  <c:v>6748.6824464000001</c:v>
                </c:pt>
                <c:pt idx="411">
                  <c:v>6743.6824464000001</c:v>
                </c:pt>
                <c:pt idx="412">
                  <c:v>6739.8699464000001</c:v>
                </c:pt>
                <c:pt idx="413">
                  <c:v>6748.0924317500003</c:v>
                </c:pt>
                <c:pt idx="414">
                  <c:v>6764.0524415000009</c:v>
                </c:pt>
                <c:pt idx="415">
                  <c:v>6779.6799317499999</c:v>
                </c:pt>
                <c:pt idx="416">
                  <c:v>6795.2974366500011</c:v>
                </c:pt>
                <c:pt idx="417">
                  <c:v>6812.6399415000005</c:v>
                </c:pt>
                <c:pt idx="418">
                  <c:v>6836.1349366000013</c:v>
                </c:pt>
                <c:pt idx="419">
                  <c:v>6865.5474365999999</c:v>
                </c:pt>
                <c:pt idx="420">
                  <c:v>6890.3524415000011</c:v>
                </c:pt>
                <c:pt idx="421">
                  <c:v>6912.1149415000009</c:v>
                </c:pt>
                <c:pt idx="422">
                  <c:v>6935.1674317000015</c:v>
                </c:pt>
                <c:pt idx="423">
                  <c:v>6961.4824463499999</c:v>
                </c:pt>
                <c:pt idx="424">
                  <c:v>6990.2974366000008</c:v>
                </c:pt>
                <c:pt idx="425">
                  <c:v>7018.1349366000013</c:v>
                </c:pt>
                <c:pt idx="426">
                  <c:v>7048.8549317000015</c:v>
                </c:pt>
                <c:pt idx="427">
                  <c:v>7075.8174317000012</c:v>
                </c:pt>
                <c:pt idx="428">
                  <c:v>7102.5749512000011</c:v>
                </c:pt>
                <c:pt idx="429">
                  <c:v>7135.7324463000014</c:v>
                </c:pt>
                <c:pt idx="430">
                  <c:v>7170.7599609500003</c:v>
                </c:pt>
                <c:pt idx="431">
                  <c:v>7208.2449707000005</c:v>
                </c:pt>
                <c:pt idx="432">
                  <c:v>7248.9574707000011</c:v>
                </c:pt>
                <c:pt idx="433">
                  <c:v>7285.1874755500003</c:v>
                </c:pt>
                <c:pt idx="434">
                  <c:v>7317.2049804500002</c:v>
                </c:pt>
                <c:pt idx="435">
                  <c:v>7344.5874755499999</c:v>
                </c:pt>
                <c:pt idx="436">
                  <c:v>7370.4924804499997</c:v>
                </c:pt>
                <c:pt idx="437">
                  <c:v>7396.8299804500002</c:v>
                </c:pt>
                <c:pt idx="438">
                  <c:v>7413.7849853499993</c:v>
                </c:pt>
                <c:pt idx="439">
                  <c:v>7427.2849853499984</c:v>
                </c:pt>
                <c:pt idx="440">
                  <c:v>7445.0949950999984</c:v>
                </c:pt>
                <c:pt idx="441">
                  <c:v>7460.3600097500002</c:v>
                </c:pt>
                <c:pt idx="442">
                  <c:v>7473.575024400001</c:v>
                </c:pt>
                <c:pt idx="443">
                  <c:v>7480.7925292500022</c:v>
                </c:pt>
                <c:pt idx="444">
                  <c:v>7487.5075439000011</c:v>
                </c:pt>
                <c:pt idx="445">
                  <c:v>7500.6175536499995</c:v>
                </c:pt>
                <c:pt idx="446">
                  <c:v>7512.59755855</c:v>
                </c:pt>
                <c:pt idx="447">
                  <c:v>7525.4750732000002</c:v>
                </c:pt>
                <c:pt idx="448">
                  <c:v>7539.4175536999992</c:v>
                </c:pt>
                <c:pt idx="449">
                  <c:v>7551.8600585999984</c:v>
                </c:pt>
                <c:pt idx="450">
                  <c:v>7562.8025634499991</c:v>
                </c:pt>
                <c:pt idx="451">
                  <c:v>7578.9475585500013</c:v>
                </c:pt>
                <c:pt idx="452">
                  <c:v>7590.9825438999997</c:v>
                </c:pt>
                <c:pt idx="453">
                  <c:v>7599.3925536999986</c:v>
                </c:pt>
                <c:pt idx="454">
                  <c:v>7606.0200438999991</c:v>
                </c:pt>
                <c:pt idx="455">
                  <c:v>7604.3600585499998</c:v>
                </c:pt>
                <c:pt idx="456">
                  <c:v>7602.2675536500001</c:v>
                </c:pt>
                <c:pt idx="457">
                  <c:v>7598.16005855</c:v>
                </c:pt>
                <c:pt idx="458">
                  <c:v>7594.03505855</c:v>
                </c:pt>
                <c:pt idx="459">
                  <c:v>7590.0650633999994</c:v>
                </c:pt>
                <c:pt idx="460">
                  <c:v>7584.8125487500001</c:v>
                </c:pt>
                <c:pt idx="461">
                  <c:v>7588.1225341000008</c:v>
                </c:pt>
                <c:pt idx="462">
                  <c:v>7593.110034100001</c:v>
                </c:pt>
                <c:pt idx="463">
                  <c:v>7600.7325194500008</c:v>
                </c:pt>
                <c:pt idx="464">
                  <c:v>7610.2750243000019</c:v>
                </c:pt>
                <c:pt idx="465">
                  <c:v>7619.657519450001</c:v>
                </c:pt>
                <c:pt idx="466">
                  <c:v>7630.9825194500008</c:v>
                </c:pt>
                <c:pt idx="467">
                  <c:v>7647.8525146000002</c:v>
                </c:pt>
                <c:pt idx="468">
                  <c:v>7661.9350341000008</c:v>
                </c:pt>
                <c:pt idx="469">
                  <c:v>7668.8025389500017</c:v>
                </c:pt>
                <c:pt idx="470">
                  <c:v>7676.637524300002</c:v>
                </c:pt>
                <c:pt idx="471">
                  <c:v>7676.4450194499996</c:v>
                </c:pt>
                <c:pt idx="472">
                  <c:v>7670.8350340999987</c:v>
                </c:pt>
                <c:pt idx="473">
                  <c:v>7667.4375242999986</c:v>
                </c:pt>
                <c:pt idx="474">
                  <c:v>7665.4075194499992</c:v>
                </c:pt>
                <c:pt idx="475">
                  <c:v>7667.8499999499982</c:v>
                </c:pt>
                <c:pt idx="476">
                  <c:v>7671.0624999499978</c:v>
                </c:pt>
                <c:pt idx="477">
                  <c:v>7671.102490199999</c:v>
                </c:pt>
                <c:pt idx="478">
                  <c:v>7679.4199950500015</c:v>
                </c:pt>
                <c:pt idx="479">
                  <c:v>7693.0649902000005</c:v>
                </c:pt>
                <c:pt idx="480">
                  <c:v>7703.7099853499994</c:v>
                </c:pt>
                <c:pt idx="481">
                  <c:v>7712.0749999999998</c:v>
                </c:pt>
                <c:pt idx="482">
                  <c:v>7723.7649902500007</c:v>
                </c:pt>
                <c:pt idx="483">
                  <c:v>7735.444995150001</c:v>
                </c:pt>
                <c:pt idx="484">
                  <c:v>7744.999975650001</c:v>
                </c:pt>
                <c:pt idx="485">
                  <c:v>7751.1624756499996</c:v>
                </c:pt>
                <c:pt idx="486">
                  <c:v>7757.0349853999996</c:v>
                </c:pt>
                <c:pt idx="487">
                  <c:v>7760.8199707499998</c:v>
                </c:pt>
                <c:pt idx="488">
                  <c:v>7766.5349610000003</c:v>
                </c:pt>
                <c:pt idx="489">
                  <c:v>7775.9024414999994</c:v>
                </c:pt>
                <c:pt idx="490">
                  <c:v>7784.0499512999986</c:v>
                </c:pt>
                <c:pt idx="491">
                  <c:v>7799.3699707999986</c:v>
                </c:pt>
                <c:pt idx="492">
                  <c:v>7823.3924561499998</c:v>
                </c:pt>
                <c:pt idx="493">
                  <c:v>7844.9399659499995</c:v>
                </c:pt>
                <c:pt idx="494">
                  <c:v>7862.40998545</c:v>
                </c:pt>
                <c:pt idx="495">
                  <c:v>7883.1500000999995</c:v>
                </c:pt>
                <c:pt idx="496">
                  <c:v>7909.3824952000014</c:v>
                </c:pt>
                <c:pt idx="497">
                  <c:v>7938.6025147000009</c:v>
                </c:pt>
                <c:pt idx="498">
                  <c:v>7962.0100098499997</c:v>
                </c:pt>
                <c:pt idx="499">
                  <c:v>7979.9425293500008</c:v>
                </c:pt>
                <c:pt idx="500">
                  <c:v>7998.2400391000001</c:v>
                </c:pt>
                <c:pt idx="501">
                  <c:v>8010.7550293499999</c:v>
                </c:pt>
                <c:pt idx="502">
                  <c:v>8013.6875244499997</c:v>
                </c:pt>
                <c:pt idx="503">
                  <c:v>8017.5875244499985</c:v>
                </c:pt>
                <c:pt idx="504">
                  <c:v>8029.5600342000007</c:v>
                </c:pt>
                <c:pt idx="505">
                  <c:v>8041.0775390500003</c:v>
                </c:pt>
                <c:pt idx="506">
                  <c:v>8052.7325195499998</c:v>
                </c:pt>
                <c:pt idx="507">
                  <c:v>8058.2950195499998</c:v>
                </c:pt>
                <c:pt idx="508">
                  <c:v>8063.1775146499986</c:v>
                </c:pt>
                <c:pt idx="509">
                  <c:v>8061.9675292999991</c:v>
                </c:pt>
                <c:pt idx="510">
                  <c:v>8062.6925292999995</c:v>
                </c:pt>
                <c:pt idx="511">
                  <c:v>8059.2525146499993</c:v>
                </c:pt>
                <c:pt idx="512">
                  <c:v>8053.3400146500007</c:v>
                </c:pt>
                <c:pt idx="513">
                  <c:v>8044.8874999999998</c:v>
                </c:pt>
                <c:pt idx="514">
                  <c:v>8032.7099853499985</c:v>
                </c:pt>
                <c:pt idx="515">
                  <c:v>8020.5024902000005</c:v>
                </c:pt>
                <c:pt idx="516">
                  <c:v>8009.8349853500013</c:v>
                </c:pt>
                <c:pt idx="517">
                  <c:v>7995.1849853500007</c:v>
                </c:pt>
                <c:pt idx="518">
                  <c:v>7984.6924804500013</c:v>
                </c:pt>
                <c:pt idx="519">
                  <c:v>7973.6074707000007</c:v>
                </c:pt>
                <c:pt idx="520">
                  <c:v>7955.7424804500015</c:v>
                </c:pt>
                <c:pt idx="521">
                  <c:v>7942.6274902000023</c:v>
                </c:pt>
                <c:pt idx="522">
                  <c:v>7939.9524902000021</c:v>
                </c:pt>
                <c:pt idx="523">
                  <c:v>7937.5649902000023</c:v>
                </c:pt>
                <c:pt idx="524">
                  <c:v>7931.6224853000003</c:v>
                </c:pt>
                <c:pt idx="525">
                  <c:v>7926.2774657999998</c:v>
                </c:pt>
                <c:pt idx="526">
                  <c:v>7918.5474853000005</c:v>
                </c:pt>
                <c:pt idx="527">
                  <c:v>7919.0499999499998</c:v>
                </c:pt>
                <c:pt idx="528">
                  <c:v>7923.4525146000015</c:v>
                </c:pt>
                <c:pt idx="529">
                  <c:v>7936.3200194500005</c:v>
                </c:pt>
                <c:pt idx="530">
                  <c:v>7953.9875243000015</c:v>
                </c:pt>
                <c:pt idx="531">
                  <c:v>7972.250048750002</c:v>
                </c:pt>
                <c:pt idx="532">
                  <c:v>7990.9250487500003</c:v>
                </c:pt>
                <c:pt idx="533">
                  <c:v>8010.4975584999993</c:v>
                </c:pt>
                <c:pt idx="534">
                  <c:v>8035.0900633999972</c:v>
                </c:pt>
                <c:pt idx="535">
                  <c:v>8061.0875731999986</c:v>
                </c:pt>
                <c:pt idx="536">
                  <c:v>8082.2250731999984</c:v>
                </c:pt>
                <c:pt idx="537">
                  <c:v>8107.1200438999995</c:v>
                </c:pt>
                <c:pt idx="538">
                  <c:v>8132.4025634499994</c:v>
                </c:pt>
                <c:pt idx="539">
                  <c:v>8160.7400634499991</c:v>
                </c:pt>
                <c:pt idx="540">
                  <c:v>8194.6250732500012</c:v>
                </c:pt>
                <c:pt idx="541">
                  <c:v>8224.7550537499992</c:v>
                </c:pt>
                <c:pt idx="542">
                  <c:v>8250.8800781999998</c:v>
                </c:pt>
                <c:pt idx="543">
                  <c:v>8278.3600586499997</c:v>
                </c:pt>
                <c:pt idx="544">
                  <c:v>8305.0725830999982</c:v>
                </c:pt>
                <c:pt idx="545">
                  <c:v>8327.5000733000015</c:v>
                </c:pt>
                <c:pt idx="546">
                  <c:v>8351.7025635499995</c:v>
                </c:pt>
                <c:pt idx="547">
                  <c:v>8375.0325684000018</c:v>
                </c:pt>
                <c:pt idx="548">
                  <c:v>8399.9225586499997</c:v>
                </c:pt>
                <c:pt idx="549">
                  <c:v>8419.2575684500007</c:v>
                </c:pt>
                <c:pt idx="550">
                  <c:v>8429.3825684500007</c:v>
                </c:pt>
                <c:pt idx="551">
                  <c:v>8440.0575684500018</c:v>
                </c:pt>
                <c:pt idx="552">
                  <c:v>8451.3625977500014</c:v>
                </c:pt>
                <c:pt idx="553">
                  <c:v>8461.4275880000005</c:v>
                </c:pt>
                <c:pt idx="554">
                  <c:v>8466.1275879999994</c:v>
                </c:pt>
                <c:pt idx="555">
                  <c:v>8465.0300782000013</c:v>
                </c:pt>
                <c:pt idx="556">
                  <c:v>8463.6476074999991</c:v>
                </c:pt>
                <c:pt idx="557">
                  <c:v>8460.4001466000009</c:v>
                </c:pt>
                <c:pt idx="558">
                  <c:v>8452.1101075000006</c:v>
                </c:pt>
                <c:pt idx="559">
                  <c:v>8441.5525879500001</c:v>
                </c:pt>
                <c:pt idx="560">
                  <c:v>8423.6375732999986</c:v>
                </c:pt>
                <c:pt idx="561">
                  <c:v>8406.0125732999986</c:v>
                </c:pt>
                <c:pt idx="562">
                  <c:v>8393.8825439999982</c:v>
                </c:pt>
                <c:pt idx="563">
                  <c:v>8381.2750732999993</c:v>
                </c:pt>
                <c:pt idx="564">
                  <c:v>8370.9675537499988</c:v>
                </c:pt>
                <c:pt idx="565">
                  <c:v>8361.1625733000001</c:v>
                </c:pt>
                <c:pt idx="566">
                  <c:v>8346.0800782000006</c:v>
                </c:pt>
                <c:pt idx="567">
                  <c:v>8331.4050782000013</c:v>
                </c:pt>
                <c:pt idx="568">
                  <c:v>8314.30756845</c:v>
                </c:pt>
                <c:pt idx="569">
                  <c:v>8298.9250488999987</c:v>
                </c:pt>
                <c:pt idx="570">
                  <c:v>8286.8250489000002</c:v>
                </c:pt>
                <c:pt idx="571">
                  <c:v>8279.7150390999996</c:v>
                </c:pt>
                <c:pt idx="572">
                  <c:v>8270.4150391000003</c:v>
                </c:pt>
                <c:pt idx="573">
                  <c:v>8249.8675537500003</c:v>
                </c:pt>
                <c:pt idx="574">
                  <c:v>8233.0600586500004</c:v>
                </c:pt>
                <c:pt idx="575">
                  <c:v>8227.7550293499989</c:v>
                </c:pt>
                <c:pt idx="576">
                  <c:v>8224.1975098000003</c:v>
                </c:pt>
                <c:pt idx="577">
                  <c:v>8225.7024902499998</c:v>
                </c:pt>
                <c:pt idx="578">
                  <c:v>8229.4675293500004</c:v>
                </c:pt>
                <c:pt idx="579">
                  <c:v>8232.3650391499996</c:v>
                </c:pt>
                <c:pt idx="580">
                  <c:v>8253.6925537999996</c:v>
                </c:pt>
                <c:pt idx="581">
                  <c:v>8277.8925537999985</c:v>
                </c:pt>
                <c:pt idx="582">
                  <c:v>8297.4625732999993</c:v>
                </c:pt>
                <c:pt idx="583">
                  <c:v>8320.9825440000004</c:v>
                </c:pt>
                <c:pt idx="584">
                  <c:v>8341.2575439999982</c:v>
                </c:pt>
                <c:pt idx="585">
                  <c:v>8365.9775635500009</c:v>
                </c:pt>
                <c:pt idx="586">
                  <c:v>8399.052539100001</c:v>
                </c:pt>
                <c:pt idx="587">
                  <c:v>8434.5425293500011</c:v>
                </c:pt>
                <c:pt idx="588">
                  <c:v>8467.9425293499989</c:v>
                </c:pt>
                <c:pt idx="589">
                  <c:v>8503.1475097999992</c:v>
                </c:pt>
                <c:pt idx="590">
                  <c:v>8529.4575196000005</c:v>
                </c:pt>
                <c:pt idx="591">
                  <c:v>8549.5550293999986</c:v>
                </c:pt>
                <c:pt idx="592">
                  <c:v>8568.4625000999986</c:v>
                </c:pt>
                <c:pt idx="593">
                  <c:v>8598.2800049500001</c:v>
                </c:pt>
                <c:pt idx="594">
                  <c:v>8628.7600098000003</c:v>
                </c:pt>
                <c:pt idx="595">
                  <c:v>8650.0825195999987</c:v>
                </c:pt>
                <c:pt idx="596">
                  <c:v>8662.1750000499997</c:v>
                </c:pt>
                <c:pt idx="597">
                  <c:v>8674.3024903000005</c:v>
                </c:pt>
                <c:pt idx="598">
                  <c:v>8690.7024903000001</c:v>
                </c:pt>
                <c:pt idx="599">
                  <c:v>8712.402490299999</c:v>
                </c:pt>
                <c:pt idx="600">
                  <c:v>8727.9699707499985</c:v>
                </c:pt>
                <c:pt idx="601">
                  <c:v>8742.7474609499986</c:v>
                </c:pt>
                <c:pt idx="602">
                  <c:v>8758.6674316499993</c:v>
                </c:pt>
                <c:pt idx="603">
                  <c:v>8768.6524414499982</c:v>
                </c:pt>
                <c:pt idx="604">
                  <c:v>8773.8574218999984</c:v>
                </c:pt>
                <c:pt idx="605">
                  <c:v>8773.5349120999999</c:v>
                </c:pt>
                <c:pt idx="606">
                  <c:v>8769.8599121000007</c:v>
                </c:pt>
                <c:pt idx="607">
                  <c:v>8762.6974120999985</c:v>
                </c:pt>
                <c:pt idx="608">
                  <c:v>8751.1749022999993</c:v>
                </c:pt>
                <c:pt idx="609">
                  <c:v>8745.7874023000004</c:v>
                </c:pt>
                <c:pt idx="610">
                  <c:v>8753.1798827499988</c:v>
                </c:pt>
                <c:pt idx="611">
                  <c:v>8763.1223632000001</c:v>
                </c:pt>
                <c:pt idx="612">
                  <c:v>8771.4273924999998</c:v>
                </c:pt>
                <c:pt idx="613">
                  <c:v>8782.1298827499995</c:v>
                </c:pt>
                <c:pt idx="614">
                  <c:v>8784.3823730000004</c:v>
                </c:pt>
                <c:pt idx="615">
                  <c:v>8786.9323729999996</c:v>
                </c:pt>
                <c:pt idx="616">
                  <c:v>8795.6124022999993</c:v>
                </c:pt>
                <c:pt idx="617">
                  <c:v>8806.1349120499981</c:v>
                </c:pt>
                <c:pt idx="618">
                  <c:v>8807.1523925000001</c:v>
                </c:pt>
                <c:pt idx="619">
                  <c:v>8803.2324218000012</c:v>
                </c:pt>
                <c:pt idx="620">
                  <c:v>8799.122412050001</c:v>
                </c:pt>
                <c:pt idx="621">
                  <c:v>8792.9499511499998</c:v>
                </c:pt>
                <c:pt idx="622">
                  <c:v>8781.2274902499994</c:v>
                </c:pt>
                <c:pt idx="623">
                  <c:v>8765.0075195499994</c:v>
                </c:pt>
                <c:pt idx="624">
                  <c:v>8750.8725586500004</c:v>
                </c:pt>
                <c:pt idx="625">
                  <c:v>8740.2725586500019</c:v>
                </c:pt>
                <c:pt idx="626">
                  <c:v>8728.7075684499996</c:v>
                </c:pt>
                <c:pt idx="627">
                  <c:v>8707.4525880000001</c:v>
                </c:pt>
                <c:pt idx="628">
                  <c:v>8690.3301271</c:v>
                </c:pt>
                <c:pt idx="629">
                  <c:v>8672.7151369000003</c:v>
                </c:pt>
                <c:pt idx="630">
                  <c:v>8649.4276368999999</c:v>
                </c:pt>
                <c:pt idx="631">
                  <c:v>8628.9276368999999</c:v>
                </c:pt>
                <c:pt idx="632">
                  <c:v>8615.7901368999992</c:v>
                </c:pt>
                <c:pt idx="633">
                  <c:v>8601.91762715</c:v>
                </c:pt>
                <c:pt idx="634">
                  <c:v>8599.8001467000013</c:v>
                </c:pt>
                <c:pt idx="635">
                  <c:v>8603.1126466999995</c:v>
                </c:pt>
                <c:pt idx="636">
                  <c:v>8607.1326173999987</c:v>
                </c:pt>
                <c:pt idx="637">
                  <c:v>8610.0326174000002</c:v>
                </c:pt>
                <c:pt idx="638">
                  <c:v>8612.98012715</c:v>
                </c:pt>
                <c:pt idx="639">
                  <c:v>8611.6226076000003</c:v>
                </c:pt>
                <c:pt idx="640">
                  <c:v>8597.8625978000018</c:v>
                </c:pt>
                <c:pt idx="641">
                  <c:v>8582.455078250001</c:v>
                </c:pt>
                <c:pt idx="642">
                  <c:v>8572.2075684500014</c:v>
                </c:pt>
                <c:pt idx="643">
                  <c:v>8563.577539150001</c:v>
                </c:pt>
                <c:pt idx="644">
                  <c:v>8551.2950196000002</c:v>
                </c:pt>
                <c:pt idx="645">
                  <c:v>8534.8375000999986</c:v>
                </c:pt>
                <c:pt idx="646">
                  <c:v>8522.5774902999983</c:v>
                </c:pt>
                <c:pt idx="647">
                  <c:v>8517.4574707499978</c:v>
                </c:pt>
                <c:pt idx="648">
                  <c:v>8509.4624511999991</c:v>
                </c:pt>
                <c:pt idx="649">
                  <c:v>8501.4449706999985</c:v>
                </c:pt>
                <c:pt idx="650">
                  <c:v>8493.1349609499994</c:v>
                </c:pt>
                <c:pt idx="651">
                  <c:v>8468.6724609499997</c:v>
                </c:pt>
                <c:pt idx="652">
                  <c:v>8438.5424316499993</c:v>
                </c:pt>
                <c:pt idx="653">
                  <c:v>8415.1024413999985</c:v>
                </c:pt>
                <c:pt idx="654">
                  <c:v>8395.6449218499984</c:v>
                </c:pt>
                <c:pt idx="655">
                  <c:v>8363.0774413500003</c:v>
                </c:pt>
                <c:pt idx="656">
                  <c:v>8335.8324706500007</c:v>
                </c:pt>
                <c:pt idx="657">
                  <c:v>8305.3424804000024</c:v>
                </c:pt>
                <c:pt idx="658">
                  <c:v>8283.1249511000024</c:v>
                </c:pt>
                <c:pt idx="659">
                  <c:v>8271.5074706500018</c:v>
                </c:pt>
                <c:pt idx="660">
                  <c:v>8267.3850097499999</c:v>
                </c:pt>
                <c:pt idx="661">
                  <c:v>8269.6600097500013</c:v>
                </c:pt>
                <c:pt idx="662">
                  <c:v>8269.2250000000004</c:v>
                </c:pt>
                <c:pt idx="663">
                  <c:v>8272.257519499999</c:v>
                </c:pt>
                <c:pt idx="664">
                  <c:v>8275.507519499999</c:v>
                </c:pt>
                <c:pt idx="665">
                  <c:v>8281.785009700001</c:v>
                </c:pt>
                <c:pt idx="666">
                  <c:v>8284.2350096999999</c:v>
                </c:pt>
                <c:pt idx="667">
                  <c:v>8288.1975096999995</c:v>
                </c:pt>
                <c:pt idx="668">
                  <c:v>8300.8050292499993</c:v>
                </c:pt>
                <c:pt idx="669">
                  <c:v>8305.8775390499995</c:v>
                </c:pt>
                <c:pt idx="670">
                  <c:v>8301.4600585500011</c:v>
                </c:pt>
                <c:pt idx="671">
                  <c:v>8303.3650634499991</c:v>
                </c:pt>
                <c:pt idx="672">
                  <c:v>8307.032568300001</c:v>
                </c:pt>
                <c:pt idx="673">
                  <c:v>8303.1925780500005</c:v>
                </c:pt>
                <c:pt idx="674">
                  <c:v>8289.1375731500011</c:v>
                </c:pt>
                <c:pt idx="675">
                  <c:v>8283.9100585000015</c:v>
                </c:pt>
                <c:pt idx="676">
                  <c:v>8278.3600585000004</c:v>
                </c:pt>
                <c:pt idx="677">
                  <c:v>8265.4175536500006</c:v>
                </c:pt>
                <c:pt idx="678">
                  <c:v>8251.4450682999995</c:v>
                </c:pt>
                <c:pt idx="679">
                  <c:v>8233.4575438499996</c:v>
                </c:pt>
                <c:pt idx="680">
                  <c:v>8217.5400145499989</c:v>
                </c:pt>
                <c:pt idx="681">
                  <c:v>8200.9550047999983</c:v>
                </c:pt>
                <c:pt idx="682">
                  <c:v>8188.6350096999986</c:v>
                </c:pt>
                <c:pt idx="683">
                  <c:v>8176.9350097000006</c:v>
                </c:pt>
                <c:pt idx="684">
                  <c:v>8176.0774901499999</c:v>
                </c:pt>
                <c:pt idx="685">
                  <c:v>8178.1874999500014</c:v>
                </c:pt>
                <c:pt idx="686">
                  <c:v>8179.4999999499996</c:v>
                </c:pt>
                <c:pt idx="687">
                  <c:v>8183.4499999499994</c:v>
                </c:pt>
                <c:pt idx="688">
                  <c:v>8180.8224608499995</c:v>
                </c:pt>
                <c:pt idx="689">
                  <c:v>8175.0724608500004</c:v>
                </c:pt>
                <c:pt idx="690">
                  <c:v>8181.6749510999998</c:v>
                </c:pt>
                <c:pt idx="691">
                  <c:v>8197.5724364500002</c:v>
                </c:pt>
                <c:pt idx="692">
                  <c:v>8213.2849608999986</c:v>
                </c:pt>
                <c:pt idx="693">
                  <c:v>8231.7949706999989</c:v>
                </c:pt>
                <c:pt idx="694">
                  <c:v>8255.6949951499992</c:v>
                </c:pt>
                <c:pt idx="695">
                  <c:v>8280.1149903000005</c:v>
                </c:pt>
                <c:pt idx="696">
                  <c:v>8292.0449707999978</c:v>
                </c:pt>
                <c:pt idx="697">
                  <c:v>8310.2049561499989</c:v>
                </c:pt>
                <c:pt idx="698">
                  <c:v>8329.0874512999981</c:v>
                </c:pt>
                <c:pt idx="699">
                  <c:v>8351.3749757499991</c:v>
                </c:pt>
                <c:pt idx="700">
                  <c:v>8371.7149659499992</c:v>
                </c:pt>
                <c:pt idx="701">
                  <c:v>8393.3274659499984</c:v>
                </c:pt>
                <c:pt idx="702">
                  <c:v>8414.9999513000002</c:v>
                </c:pt>
                <c:pt idx="703">
                  <c:v>8434.2449219999999</c:v>
                </c:pt>
                <c:pt idx="704">
                  <c:v>8446.762451300001</c:v>
                </c:pt>
                <c:pt idx="705">
                  <c:v>8454.1574708000007</c:v>
                </c:pt>
                <c:pt idx="706">
                  <c:v>8467.789990350002</c:v>
                </c:pt>
                <c:pt idx="707">
                  <c:v>8477.3799806000025</c:v>
                </c:pt>
                <c:pt idx="708">
                  <c:v>8484.4024903999998</c:v>
                </c:pt>
                <c:pt idx="709">
                  <c:v>8486.5324708499993</c:v>
                </c:pt>
                <c:pt idx="710">
                  <c:v>8484.9574708499986</c:v>
                </c:pt>
                <c:pt idx="711">
                  <c:v>8481.0574708499989</c:v>
                </c:pt>
                <c:pt idx="712">
                  <c:v>8479.9024415499989</c:v>
                </c:pt>
                <c:pt idx="713">
                  <c:v>8482.2999024499986</c:v>
                </c:pt>
                <c:pt idx="714">
                  <c:v>8483.3448731499993</c:v>
                </c:pt>
                <c:pt idx="715">
                  <c:v>8483.6499024499972</c:v>
                </c:pt>
                <c:pt idx="716">
                  <c:v>8493.8949219500009</c:v>
                </c:pt>
                <c:pt idx="717">
                  <c:v>8506.8999512500013</c:v>
                </c:pt>
                <c:pt idx="718">
                  <c:v>8517.1024414500007</c:v>
                </c:pt>
                <c:pt idx="719">
                  <c:v>8520.39990235</c:v>
                </c:pt>
                <c:pt idx="720">
                  <c:v>8520.8124023500004</c:v>
                </c:pt>
                <c:pt idx="721">
                  <c:v>8512.0949218499991</c:v>
                </c:pt>
                <c:pt idx="722">
                  <c:v>8499.4849120500003</c:v>
                </c:pt>
                <c:pt idx="723">
                  <c:v>8494.9199218499998</c:v>
                </c:pt>
                <c:pt idx="724">
                  <c:v>8488.6124023499997</c:v>
                </c:pt>
                <c:pt idx="725">
                  <c:v>8485.4673828499981</c:v>
                </c:pt>
                <c:pt idx="726">
                  <c:v>8478.5499023999982</c:v>
                </c:pt>
                <c:pt idx="727">
                  <c:v>8467.6974121499989</c:v>
                </c:pt>
                <c:pt idx="728">
                  <c:v>8456.6174316500001</c:v>
                </c:pt>
                <c:pt idx="729">
                  <c:v>8429.0174316500015</c:v>
                </c:pt>
                <c:pt idx="730">
                  <c:v>8406.2024414000007</c:v>
                </c:pt>
                <c:pt idx="731">
                  <c:v>8377.0424560499996</c:v>
                </c:pt>
                <c:pt idx="732">
                  <c:v>8353.3999755500008</c:v>
                </c:pt>
                <c:pt idx="733">
                  <c:v>8326.8550048500001</c:v>
                </c:pt>
                <c:pt idx="734">
                  <c:v>8298.2675048500005</c:v>
                </c:pt>
                <c:pt idx="735">
                  <c:v>8261.7149902000001</c:v>
                </c:pt>
                <c:pt idx="736">
                  <c:v>8219.1674804499999</c:v>
                </c:pt>
                <c:pt idx="737">
                  <c:v>8180.8849608999999</c:v>
                </c:pt>
                <c:pt idx="738">
                  <c:v>8135.4074706999991</c:v>
                </c:pt>
                <c:pt idx="739">
                  <c:v>8087.067480499999</c:v>
                </c:pt>
                <c:pt idx="740">
                  <c:v>8048.3625000499978</c:v>
                </c:pt>
                <c:pt idx="741">
                  <c:v>8021.8199951999977</c:v>
                </c:pt>
                <c:pt idx="742">
                  <c:v>7993.4325196499976</c:v>
                </c:pt>
                <c:pt idx="743">
                  <c:v>7956.970019649998</c:v>
                </c:pt>
                <c:pt idx="744">
                  <c:v>7926.717529399999</c:v>
                </c:pt>
                <c:pt idx="745">
                  <c:v>7894.8450440499992</c:v>
                </c:pt>
                <c:pt idx="746">
                  <c:v>7865.0450195999993</c:v>
                </c:pt>
                <c:pt idx="747">
                  <c:v>7845.5025146999997</c:v>
                </c:pt>
                <c:pt idx="748">
                  <c:v>7829.360009850001</c:v>
                </c:pt>
                <c:pt idx="749">
                  <c:v>7829.5100098499997</c:v>
                </c:pt>
                <c:pt idx="750">
                  <c:v>7827.7725098499996</c:v>
                </c:pt>
                <c:pt idx="751">
                  <c:v>7831.6050049500018</c:v>
                </c:pt>
                <c:pt idx="752">
                  <c:v>7823.9425049500014</c:v>
                </c:pt>
                <c:pt idx="753">
                  <c:v>7816.0099854500004</c:v>
                </c:pt>
                <c:pt idx="754">
                  <c:v>7814.8899903000001</c:v>
                </c:pt>
                <c:pt idx="755">
                  <c:v>7823.1424805000006</c:v>
                </c:pt>
                <c:pt idx="756">
                  <c:v>7843.2574707499998</c:v>
                </c:pt>
                <c:pt idx="757">
                  <c:v>7859.7524658499997</c:v>
                </c:pt>
                <c:pt idx="758">
                  <c:v>7885.8699706999996</c:v>
                </c:pt>
                <c:pt idx="759">
                  <c:v>7914.3974853499994</c:v>
                </c:pt>
                <c:pt idx="760">
                  <c:v>7939.4699951000021</c:v>
                </c:pt>
                <c:pt idx="761">
                  <c:v>7955.7199951000002</c:v>
                </c:pt>
                <c:pt idx="762">
                  <c:v>7972.8999999500029</c:v>
                </c:pt>
                <c:pt idx="763">
                  <c:v>7988.8300048000019</c:v>
                </c:pt>
                <c:pt idx="764">
                  <c:v>8004.1925048000021</c:v>
                </c:pt>
                <c:pt idx="765">
                  <c:v>8024.6450194500012</c:v>
                </c:pt>
                <c:pt idx="766">
                  <c:v>8043.4400145999989</c:v>
                </c:pt>
                <c:pt idx="767">
                  <c:v>8057.4275390499988</c:v>
                </c:pt>
                <c:pt idx="768">
                  <c:v>8071.1575438999989</c:v>
                </c:pt>
                <c:pt idx="769">
                  <c:v>8095.330053650001</c:v>
                </c:pt>
                <c:pt idx="770">
                  <c:v>8116.0600341500003</c:v>
                </c:pt>
                <c:pt idx="771">
                  <c:v>8134.2800537000003</c:v>
                </c:pt>
                <c:pt idx="772">
                  <c:v>8153.0550536999999</c:v>
                </c:pt>
                <c:pt idx="773">
                  <c:v>8166.4775634500011</c:v>
                </c:pt>
                <c:pt idx="774">
                  <c:v>8172.3225585999999</c:v>
                </c:pt>
                <c:pt idx="775">
                  <c:v>8177.3175537499992</c:v>
                </c:pt>
                <c:pt idx="776">
                  <c:v>8174.3875732500001</c:v>
                </c:pt>
                <c:pt idx="777">
                  <c:v>8168.7525878999995</c:v>
                </c:pt>
                <c:pt idx="778">
                  <c:v>8157.6551025500012</c:v>
                </c:pt>
                <c:pt idx="779">
                  <c:v>8148.902587900001</c:v>
                </c:pt>
                <c:pt idx="780">
                  <c:v>8135.1775879000006</c:v>
                </c:pt>
                <c:pt idx="781">
                  <c:v>8117.165087899999</c:v>
                </c:pt>
                <c:pt idx="782">
                  <c:v>8101.8300781500002</c:v>
                </c:pt>
                <c:pt idx="783">
                  <c:v>8084.54758305</c:v>
                </c:pt>
                <c:pt idx="784">
                  <c:v>8065.9025879499995</c:v>
                </c:pt>
                <c:pt idx="785">
                  <c:v>8045.8725586499986</c:v>
                </c:pt>
                <c:pt idx="786">
                  <c:v>8018.7100586499973</c:v>
                </c:pt>
                <c:pt idx="787">
                  <c:v>7997.7650390999988</c:v>
                </c:pt>
                <c:pt idx="788">
                  <c:v>7978.007519599998</c:v>
                </c:pt>
                <c:pt idx="789">
                  <c:v>7955.6975098499988</c:v>
                </c:pt>
                <c:pt idx="790">
                  <c:v>7934.2500244999974</c:v>
                </c:pt>
                <c:pt idx="791">
                  <c:v>7916.7949951999981</c:v>
                </c:pt>
                <c:pt idx="792">
                  <c:v>7905.3699951999997</c:v>
                </c:pt>
                <c:pt idx="793">
                  <c:v>7896.5449952000008</c:v>
                </c:pt>
                <c:pt idx="794">
                  <c:v>7891.0000000500004</c:v>
                </c:pt>
                <c:pt idx="795">
                  <c:v>7885.0275147000011</c:v>
                </c:pt>
                <c:pt idx="796">
                  <c:v>7875.2000000500002</c:v>
                </c:pt>
                <c:pt idx="797">
                  <c:v>7862.2849853999996</c:v>
                </c:pt>
                <c:pt idx="798">
                  <c:v>7852.7824707500013</c:v>
                </c:pt>
                <c:pt idx="799">
                  <c:v>7840.1524902500005</c:v>
                </c:pt>
                <c:pt idx="800">
                  <c:v>7825.0174805000015</c:v>
                </c:pt>
                <c:pt idx="801">
                  <c:v>7820.0149658499995</c:v>
                </c:pt>
                <c:pt idx="802">
                  <c:v>7809.2874756000001</c:v>
                </c:pt>
                <c:pt idx="803">
                  <c:v>7803.6774658499999</c:v>
                </c:pt>
                <c:pt idx="804">
                  <c:v>7798.39245605</c:v>
                </c:pt>
                <c:pt idx="805">
                  <c:v>7794.059960900001</c:v>
                </c:pt>
                <c:pt idx="806">
                  <c:v>7799.6874755500003</c:v>
                </c:pt>
                <c:pt idx="807">
                  <c:v>7795.6474853000009</c:v>
                </c:pt>
                <c:pt idx="808">
                  <c:v>7794.5425048000006</c:v>
                </c:pt>
                <c:pt idx="809">
                  <c:v>7791.3850097000013</c:v>
                </c:pt>
                <c:pt idx="810">
                  <c:v>7793.1025145500007</c:v>
                </c:pt>
                <c:pt idx="811">
                  <c:v>7791.96501455</c:v>
                </c:pt>
                <c:pt idx="812">
                  <c:v>7791.0874999000007</c:v>
                </c:pt>
                <c:pt idx="813">
                  <c:v>7790.7725096499998</c:v>
                </c:pt>
                <c:pt idx="814">
                  <c:v>7787.84001455</c:v>
                </c:pt>
                <c:pt idx="815">
                  <c:v>7788.59001455</c:v>
                </c:pt>
                <c:pt idx="816">
                  <c:v>7784.9475096999986</c:v>
                </c:pt>
                <c:pt idx="817">
                  <c:v>7785.0850096999984</c:v>
                </c:pt>
                <c:pt idx="818">
                  <c:v>7783.8650146</c:v>
                </c:pt>
                <c:pt idx="819">
                  <c:v>7777.1949950999988</c:v>
                </c:pt>
                <c:pt idx="820">
                  <c:v>7776.6374999999989</c:v>
                </c:pt>
                <c:pt idx="821">
                  <c:v>7770.6650146499987</c:v>
                </c:pt>
                <c:pt idx="822">
                  <c:v>7765.6574951499988</c:v>
                </c:pt>
                <c:pt idx="823">
                  <c:v>7761.2749999999996</c:v>
                </c:pt>
                <c:pt idx="824">
                  <c:v>7753.0699951499992</c:v>
                </c:pt>
                <c:pt idx="825">
                  <c:v>7737.414990299998</c:v>
                </c:pt>
                <c:pt idx="826">
                  <c:v>7712.7474853999984</c:v>
                </c:pt>
                <c:pt idx="827">
                  <c:v>7696.404980549999</c:v>
                </c:pt>
                <c:pt idx="828">
                  <c:v>7670.147461049999</c:v>
                </c:pt>
                <c:pt idx="829">
                  <c:v>7644.6824463999992</c:v>
                </c:pt>
                <c:pt idx="830">
                  <c:v>7622.507446399999</c:v>
                </c:pt>
                <c:pt idx="831">
                  <c:v>7601.2624512500015</c:v>
                </c:pt>
                <c:pt idx="832">
                  <c:v>7576.8924561500007</c:v>
                </c:pt>
                <c:pt idx="833">
                  <c:v>7551.6774415000009</c:v>
                </c:pt>
                <c:pt idx="834">
                  <c:v>7535.0424317500001</c:v>
                </c:pt>
                <c:pt idx="835">
                  <c:v>7515.5224365999993</c:v>
                </c:pt>
                <c:pt idx="836">
                  <c:v>7498.7349365999999</c:v>
                </c:pt>
                <c:pt idx="837">
                  <c:v>7477.5924317500003</c:v>
                </c:pt>
                <c:pt idx="838">
                  <c:v>7460.7424317499999</c:v>
                </c:pt>
                <c:pt idx="839">
                  <c:v>7456.7824464000005</c:v>
                </c:pt>
                <c:pt idx="840">
                  <c:v>7446.0774415000005</c:v>
                </c:pt>
                <c:pt idx="841">
                  <c:v>7432.7949463500017</c:v>
                </c:pt>
                <c:pt idx="842">
                  <c:v>7418.0649658500015</c:v>
                </c:pt>
                <c:pt idx="843">
                  <c:v>7388.7624756500009</c:v>
                </c:pt>
                <c:pt idx="844">
                  <c:v>7360.9699951500006</c:v>
                </c:pt>
                <c:pt idx="845">
                  <c:v>7347.2275146500006</c:v>
                </c:pt>
                <c:pt idx="846">
                  <c:v>7332.0900146500007</c:v>
                </c:pt>
                <c:pt idx="847">
                  <c:v>7315.7575194999999</c:v>
                </c:pt>
                <c:pt idx="848">
                  <c:v>7309.8800292499991</c:v>
                </c:pt>
                <c:pt idx="849">
                  <c:v>7306.5775389999999</c:v>
                </c:pt>
                <c:pt idx="850">
                  <c:v>7297.1825195000001</c:v>
                </c:pt>
                <c:pt idx="851">
                  <c:v>7280.8525146499978</c:v>
                </c:pt>
                <c:pt idx="852">
                  <c:v>7259.9000243999999</c:v>
                </c:pt>
                <c:pt idx="853">
                  <c:v>7237.1975341999987</c:v>
                </c:pt>
                <c:pt idx="854">
                  <c:v>7210.5075439499997</c:v>
                </c:pt>
                <c:pt idx="855">
                  <c:v>7182.0625244499988</c:v>
                </c:pt>
                <c:pt idx="856">
                  <c:v>7170.4000244499985</c:v>
                </c:pt>
                <c:pt idx="857">
                  <c:v>7170.752539099999</c:v>
                </c:pt>
                <c:pt idx="858">
                  <c:v>7174.3325439999999</c:v>
                </c:pt>
                <c:pt idx="859">
                  <c:v>7174.1450439999999</c:v>
                </c:pt>
                <c:pt idx="860">
                  <c:v>7179.0475342499994</c:v>
                </c:pt>
                <c:pt idx="861">
                  <c:v>7190.7275147499986</c:v>
                </c:pt>
                <c:pt idx="862">
                  <c:v>7204.2500000999989</c:v>
                </c:pt>
                <c:pt idx="863">
                  <c:v>7230.9425049500005</c:v>
                </c:pt>
                <c:pt idx="864">
                  <c:v>7258.8324952000012</c:v>
                </c:pt>
                <c:pt idx="865">
                  <c:v>7273.7149903500003</c:v>
                </c:pt>
                <c:pt idx="866">
                  <c:v>7296.23999035</c:v>
                </c:pt>
                <c:pt idx="867">
                  <c:v>7316.4449708499988</c:v>
                </c:pt>
                <c:pt idx="868">
                  <c:v>7337.0749757499989</c:v>
                </c:pt>
                <c:pt idx="869">
                  <c:v>7361.74997575</c:v>
                </c:pt>
                <c:pt idx="870">
                  <c:v>7385.7674806000014</c:v>
                </c:pt>
                <c:pt idx="871">
                  <c:v>7416.11499035</c:v>
                </c:pt>
                <c:pt idx="872">
                  <c:v>7445.9349854999991</c:v>
                </c:pt>
                <c:pt idx="873">
                  <c:v>7477.2549805999997</c:v>
                </c:pt>
                <c:pt idx="874">
                  <c:v>7512.5274903500003</c:v>
                </c:pt>
                <c:pt idx="875">
                  <c:v>7550.0949951999992</c:v>
                </c:pt>
                <c:pt idx="876">
                  <c:v>7574.6324951999995</c:v>
                </c:pt>
                <c:pt idx="877">
                  <c:v>7594.1299805499993</c:v>
                </c:pt>
                <c:pt idx="878">
                  <c:v>7600.5099854</c:v>
                </c:pt>
                <c:pt idx="879">
                  <c:v>7606.9599853999998</c:v>
                </c:pt>
                <c:pt idx="880">
                  <c:v>7610.0175049000009</c:v>
                </c:pt>
                <c:pt idx="881">
                  <c:v>7611.1875244000012</c:v>
                </c:pt>
                <c:pt idx="882">
                  <c:v>7620.450024400001</c:v>
                </c:pt>
                <c:pt idx="883">
                  <c:v>7630.387524400001</c:v>
                </c:pt>
                <c:pt idx="884">
                  <c:v>7645.9725341499998</c:v>
                </c:pt>
                <c:pt idx="885">
                  <c:v>7668.6775390000012</c:v>
                </c:pt>
                <c:pt idx="886">
                  <c:v>7689.4775390000013</c:v>
                </c:pt>
                <c:pt idx="887">
                  <c:v>7709.4525389999999</c:v>
                </c:pt>
                <c:pt idx="888">
                  <c:v>7724.2000243499979</c:v>
                </c:pt>
                <c:pt idx="889">
                  <c:v>7731.7400145999982</c:v>
                </c:pt>
                <c:pt idx="890">
                  <c:v>7744.1275145999989</c:v>
                </c:pt>
                <c:pt idx="891">
                  <c:v>7757.2975096999999</c:v>
                </c:pt>
                <c:pt idx="892">
                  <c:v>7768.9050048000008</c:v>
                </c:pt>
                <c:pt idx="893">
                  <c:v>7781.5449950499997</c:v>
                </c:pt>
                <c:pt idx="894">
                  <c:v>7785.0799803999998</c:v>
                </c:pt>
                <c:pt idx="895">
                  <c:v>7785.5099852999992</c:v>
                </c:pt>
                <c:pt idx="896">
                  <c:v>7785.1849852999994</c:v>
                </c:pt>
                <c:pt idx="897">
                  <c:v>7784.01999505</c:v>
                </c:pt>
                <c:pt idx="898">
                  <c:v>7790.5324950500017</c:v>
                </c:pt>
                <c:pt idx="899">
                  <c:v>7803.1174804000011</c:v>
                </c:pt>
                <c:pt idx="900">
                  <c:v>7820.184960900001</c:v>
                </c:pt>
                <c:pt idx="901">
                  <c:v>7834.8674560500003</c:v>
                </c:pt>
                <c:pt idx="902">
                  <c:v>7846.3174560500001</c:v>
                </c:pt>
                <c:pt idx="903">
                  <c:v>7851.6149414000001</c:v>
                </c:pt>
                <c:pt idx="904">
                  <c:v>7852.1299316500008</c:v>
                </c:pt>
                <c:pt idx="905">
                  <c:v>7850.9324219</c:v>
                </c:pt>
                <c:pt idx="906">
                  <c:v>7848.7024170000004</c:v>
                </c:pt>
                <c:pt idx="907">
                  <c:v>7842.2699218500002</c:v>
                </c:pt>
                <c:pt idx="908">
                  <c:v>7834.7899413500027</c:v>
                </c:pt>
                <c:pt idx="909">
                  <c:v>7828.589941350001</c:v>
                </c:pt>
                <c:pt idx="910">
                  <c:v>7817.8999511500006</c:v>
                </c:pt>
                <c:pt idx="911">
                  <c:v>7815.6499511500006</c:v>
                </c:pt>
                <c:pt idx="912">
                  <c:v>7826.7699462500004</c:v>
                </c:pt>
                <c:pt idx="913">
                  <c:v>7842.1124511000016</c:v>
                </c:pt>
                <c:pt idx="914">
                  <c:v>7860.7424560000018</c:v>
                </c:pt>
                <c:pt idx="915">
                  <c:v>7881.3974608999997</c:v>
                </c:pt>
                <c:pt idx="916">
                  <c:v>7905.0674804000009</c:v>
                </c:pt>
                <c:pt idx="917">
                  <c:v>7929.2399901500012</c:v>
                </c:pt>
                <c:pt idx="918">
                  <c:v>7953.6074706500021</c:v>
                </c:pt>
                <c:pt idx="919">
                  <c:v>7970.3574706500003</c:v>
                </c:pt>
                <c:pt idx="920">
                  <c:v>7989.2899901500004</c:v>
                </c:pt>
                <c:pt idx="921">
                  <c:v>8010.4999754999999</c:v>
                </c:pt>
                <c:pt idx="922">
                  <c:v>8025.6599608499992</c:v>
                </c:pt>
                <c:pt idx="923">
                  <c:v>8043.4174559999983</c:v>
                </c:pt>
                <c:pt idx="924">
                  <c:v>8055.9099608999986</c:v>
                </c:pt>
                <c:pt idx="925">
                  <c:v>8066.8149657999984</c:v>
                </c:pt>
                <c:pt idx="926">
                  <c:v>8083.6374511499989</c:v>
                </c:pt>
                <c:pt idx="927">
                  <c:v>8101.5049560500001</c:v>
                </c:pt>
                <c:pt idx="928">
                  <c:v>8122.5299560500007</c:v>
                </c:pt>
                <c:pt idx="929">
                  <c:v>8147.9024658000008</c:v>
                </c:pt>
                <c:pt idx="930">
                  <c:v>8171.4549804500002</c:v>
                </c:pt>
                <c:pt idx="931">
                  <c:v>8184.8949951000004</c:v>
                </c:pt>
                <c:pt idx="932">
                  <c:v>8194.935009750001</c:v>
                </c:pt>
                <c:pt idx="933">
                  <c:v>8191.53251955</c:v>
                </c:pt>
                <c:pt idx="934">
                  <c:v>8187.3425293000009</c:v>
                </c:pt>
                <c:pt idx="935">
                  <c:v>8185.7300293000008</c:v>
                </c:pt>
                <c:pt idx="936">
                  <c:v>8186.9325195500005</c:v>
                </c:pt>
                <c:pt idx="937">
                  <c:v>8190.3725098000014</c:v>
                </c:pt>
                <c:pt idx="938">
                  <c:v>8195.75</c:v>
                </c:pt>
                <c:pt idx="939">
                  <c:v>8204.2325194999994</c:v>
                </c:pt>
                <c:pt idx="940">
                  <c:v>8207.7075194999998</c:v>
                </c:pt>
                <c:pt idx="941">
                  <c:v>8210.9500488000012</c:v>
                </c:pt>
                <c:pt idx="942">
                  <c:v>8216.930078100002</c:v>
                </c:pt>
                <c:pt idx="943">
                  <c:v>8231.8226074000013</c:v>
                </c:pt>
                <c:pt idx="944">
                  <c:v>8252.3450927499998</c:v>
                </c:pt>
                <c:pt idx="945">
                  <c:v>8272.8775878499982</c:v>
                </c:pt>
                <c:pt idx="946">
                  <c:v>8290.7976073999998</c:v>
                </c:pt>
                <c:pt idx="947">
                  <c:v>8310.8301269499989</c:v>
                </c:pt>
                <c:pt idx="948">
                  <c:v>8327.75512695</c:v>
                </c:pt>
                <c:pt idx="949">
                  <c:v>8342.2576172000008</c:v>
                </c:pt>
                <c:pt idx="950">
                  <c:v>8359.5550781000002</c:v>
                </c:pt>
                <c:pt idx="951">
                  <c:v>8374.8750487999987</c:v>
                </c:pt>
                <c:pt idx="952">
                  <c:v>8388.4125488000009</c:v>
                </c:pt>
                <c:pt idx="953">
                  <c:v>8415.7650634500005</c:v>
                </c:pt>
                <c:pt idx="954">
                  <c:v>8440.5625732500012</c:v>
                </c:pt>
                <c:pt idx="955">
                  <c:v>8464.9600585999997</c:v>
                </c:pt>
                <c:pt idx="956">
                  <c:v>8488.0750488499998</c:v>
                </c:pt>
                <c:pt idx="957">
                  <c:v>8505.6125488499983</c:v>
                </c:pt>
                <c:pt idx="958">
                  <c:v>8521.0225586499982</c:v>
                </c:pt>
                <c:pt idx="959">
                  <c:v>8533.6325684499989</c:v>
                </c:pt>
                <c:pt idx="960">
                  <c:v>8544.0775391499992</c:v>
                </c:pt>
                <c:pt idx="961">
                  <c:v>8554.7375000499997</c:v>
                </c:pt>
                <c:pt idx="962">
                  <c:v>8572.7350098499992</c:v>
                </c:pt>
                <c:pt idx="963">
                  <c:v>8584.9074707500004</c:v>
                </c:pt>
                <c:pt idx="964">
                  <c:v>8592.7674805000006</c:v>
                </c:pt>
                <c:pt idx="965">
                  <c:v>8595.55747075</c:v>
                </c:pt>
                <c:pt idx="966">
                  <c:v>8596.9149902999998</c:v>
                </c:pt>
                <c:pt idx="967">
                  <c:v>8601.9724609999994</c:v>
                </c:pt>
                <c:pt idx="968">
                  <c:v>8607.7399415</c:v>
                </c:pt>
                <c:pt idx="969">
                  <c:v>8614.9749512499984</c:v>
                </c:pt>
                <c:pt idx="970">
                  <c:v>8620.0274903499994</c:v>
                </c:pt>
                <c:pt idx="971">
                  <c:v>8625.9800294499983</c:v>
                </c:pt>
                <c:pt idx="972">
                  <c:v>8630.5500001500004</c:v>
                </c:pt>
                <c:pt idx="973">
                  <c:v>8631.2824708500011</c:v>
                </c:pt>
                <c:pt idx="974">
                  <c:v>8631.3599610499987</c:v>
                </c:pt>
                <c:pt idx="975">
                  <c:v>8629.1974610500001</c:v>
                </c:pt>
                <c:pt idx="976">
                  <c:v>8626.2549805500003</c:v>
                </c:pt>
                <c:pt idx="977">
                  <c:v>8631.5474610000001</c:v>
                </c:pt>
                <c:pt idx="978">
                  <c:v>8639.0299805000013</c:v>
                </c:pt>
                <c:pt idx="979">
                  <c:v>8646.617480500001</c:v>
                </c:pt>
                <c:pt idx="980">
                  <c:v>8659.857519600002</c:v>
                </c:pt>
                <c:pt idx="981">
                  <c:v>8679.4525391500028</c:v>
                </c:pt>
                <c:pt idx="982">
                  <c:v>8691.1925293500008</c:v>
                </c:pt>
                <c:pt idx="983">
                  <c:v>8703.2500488999995</c:v>
                </c:pt>
                <c:pt idx="984">
                  <c:v>8712.6725586499997</c:v>
                </c:pt>
                <c:pt idx="985">
                  <c:v>8719.6875488500009</c:v>
                </c:pt>
                <c:pt idx="986">
                  <c:v>8726.4100097500013</c:v>
                </c:pt>
                <c:pt idx="987">
                  <c:v>8731.4100097499995</c:v>
                </c:pt>
                <c:pt idx="988">
                  <c:v>8739.1999999500003</c:v>
                </c:pt>
                <c:pt idx="989">
                  <c:v>8745.9575194999998</c:v>
                </c:pt>
                <c:pt idx="990">
                  <c:v>8751.4075195000005</c:v>
                </c:pt>
                <c:pt idx="991">
                  <c:v>8758.8075195000001</c:v>
                </c:pt>
                <c:pt idx="992">
                  <c:v>8770.5500487999998</c:v>
                </c:pt>
                <c:pt idx="993">
                  <c:v>8779.6125487999998</c:v>
                </c:pt>
                <c:pt idx="994">
                  <c:v>8786.1550293</c:v>
                </c:pt>
                <c:pt idx="995">
                  <c:v>8792.8475585999986</c:v>
                </c:pt>
                <c:pt idx="996">
                  <c:v>8799.7325683999989</c:v>
                </c:pt>
                <c:pt idx="997">
                  <c:v>8792.0775879499997</c:v>
                </c:pt>
                <c:pt idx="998">
                  <c:v>8783.3250977499993</c:v>
                </c:pt>
                <c:pt idx="999">
                  <c:v>8781.4975586500004</c:v>
                </c:pt>
                <c:pt idx="1000">
                  <c:v>8779.4725586500008</c:v>
                </c:pt>
                <c:pt idx="1001">
                  <c:v>8769.520068400001</c:v>
                </c:pt>
                <c:pt idx="1002">
                  <c:v>8759.1000489000016</c:v>
                </c:pt>
                <c:pt idx="1003">
                  <c:v>8746.3550293500011</c:v>
                </c:pt>
                <c:pt idx="1004">
                  <c:v>8738.4600098500014</c:v>
                </c:pt>
                <c:pt idx="1005">
                  <c:v>8731.3475098500003</c:v>
                </c:pt>
                <c:pt idx="1006">
                  <c:v>8724.187548949998</c:v>
                </c:pt>
                <c:pt idx="1007">
                  <c:v>8713.0800782499991</c:v>
                </c:pt>
                <c:pt idx="1008">
                  <c:v>8707.9826173500005</c:v>
                </c:pt>
                <c:pt idx="1009">
                  <c:v>8700.517578250001</c:v>
                </c:pt>
                <c:pt idx="1010">
                  <c:v>8696.6925782500002</c:v>
                </c:pt>
                <c:pt idx="1011">
                  <c:v>8692.4875489500009</c:v>
                </c:pt>
                <c:pt idx="1012">
                  <c:v>8684.5625489499998</c:v>
                </c:pt>
                <c:pt idx="1013">
                  <c:v>8677.5500489500009</c:v>
                </c:pt>
                <c:pt idx="1014">
                  <c:v>8672.1600586999994</c:v>
                </c:pt>
                <c:pt idx="1015">
                  <c:v>8667.6025391500007</c:v>
                </c:pt>
                <c:pt idx="1016">
                  <c:v>8662.2450196000009</c:v>
                </c:pt>
                <c:pt idx="1017">
                  <c:v>8663.9950196000009</c:v>
                </c:pt>
                <c:pt idx="1018">
                  <c:v>8659.1375000500011</c:v>
                </c:pt>
                <c:pt idx="1019">
                  <c:v>8646.4800293500011</c:v>
                </c:pt>
                <c:pt idx="1020">
                  <c:v>8629.710009800001</c:v>
                </c:pt>
                <c:pt idx="1021">
                  <c:v>8617.3649903000005</c:v>
                </c:pt>
                <c:pt idx="1022">
                  <c:v>8609.0649902999994</c:v>
                </c:pt>
                <c:pt idx="1023">
                  <c:v>8595.7850098499985</c:v>
                </c:pt>
                <c:pt idx="1024">
                  <c:v>8586.6325195999998</c:v>
                </c:pt>
                <c:pt idx="1025">
                  <c:v>8572.780029399999</c:v>
                </c:pt>
                <c:pt idx="1026">
                  <c:v>8549.0325195999994</c:v>
                </c:pt>
                <c:pt idx="1027">
                  <c:v>8528.5925049500001</c:v>
                </c:pt>
                <c:pt idx="1028">
                  <c:v>8498.694995150001</c:v>
                </c:pt>
                <c:pt idx="1029">
                  <c:v>8469.4450195999998</c:v>
                </c:pt>
                <c:pt idx="1030">
                  <c:v>8430.9300049499998</c:v>
                </c:pt>
                <c:pt idx="1031">
                  <c:v>8396.3925049499994</c:v>
                </c:pt>
                <c:pt idx="1032">
                  <c:v>8362.6099854499989</c:v>
                </c:pt>
                <c:pt idx="1033">
                  <c:v>8326.3199951999977</c:v>
                </c:pt>
                <c:pt idx="1034">
                  <c:v>8301.2724854499975</c:v>
                </c:pt>
                <c:pt idx="1035">
                  <c:v>8276.854980549997</c:v>
                </c:pt>
                <c:pt idx="1036">
                  <c:v>8252.0624756500001</c:v>
                </c:pt>
                <c:pt idx="1037">
                  <c:v>8231.9749756499987</c:v>
                </c:pt>
                <c:pt idx="1038">
                  <c:v>8215.9199951999999</c:v>
                </c:pt>
                <c:pt idx="1039">
                  <c:v>8196.0124756999994</c:v>
                </c:pt>
                <c:pt idx="1040">
                  <c:v>8180.7624757000012</c:v>
                </c:pt>
                <c:pt idx="1041">
                  <c:v>8163.0674805500003</c:v>
                </c:pt>
                <c:pt idx="1042">
                  <c:v>8140.9924805500004</c:v>
                </c:pt>
                <c:pt idx="1043">
                  <c:v>8131.7349610000001</c:v>
                </c:pt>
                <c:pt idx="1044">
                  <c:v>8118.5349610000003</c:v>
                </c:pt>
                <c:pt idx="1045">
                  <c:v>8112.2599610000007</c:v>
                </c:pt>
                <c:pt idx="1046">
                  <c:v>8117.9274415000009</c:v>
                </c:pt>
                <c:pt idx="1047">
                  <c:v>8121.4699463500001</c:v>
                </c:pt>
                <c:pt idx="1048">
                  <c:v>8125.1524414999994</c:v>
                </c:pt>
                <c:pt idx="1049">
                  <c:v>8128.4199463500017</c:v>
                </c:pt>
                <c:pt idx="1050">
                  <c:v>8137.1824463499997</c:v>
                </c:pt>
                <c:pt idx="1051">
                  <c:v>8141.1874512000013</c:v>
                </c:pt>
                <c:pt idx="1052">
                  <c:v>8142.5874511999991</c:v>
                </c:pt>
                <c:pt idx="1053">
                  <c:v>8143.2674560999994</c:v>
                </c:pt>
                <c:pt idx="1054">
                  <c:v>8136.8399658499984</c:v>
                </c:pt>
                <c:pt idx="1055">
                  <c:v>8125.9074707499994</c:v>
                </c:pt>
                <c:pt idx="1056">
                  <c:v>8120.4424805499993</c:v>
                </c:pt>
                <c:pt idx="1057">
                  <c:v>8110.9599854499993</c:v>
                </c:pt>
                <c:pt idx="1058">
                  <c:v>8106.4949707999986</c:v>
                </c:pt>
                <c:pt idx="1059">
                  <c:v>8111.4449707999984</c:v>
                </c:pt>
                <c:pt idx="1060">
                  <c:v>8113.9824707999987</c:v>
                </c:pt>
                <c:pt idx="1061">
                  <c:v>8116.4374756999996</c:v>
                </c:pt>
                <c:pt idx="1062">
                  <c:v>8120.8599854499989</c:v>
                </c:pt>
                <c:pt idx="1063">
                  <c:v>8122.2074952499988</c:v>
                </c:pt>
                <c:pt idx="1064">
                  <c:v>8121.3099854999982</c:v>
                </c:pt>
                <c:pt idx="1065">
                  <c:v>8124.572485499998</c:v>
                </c:pt>
                <c:pt idx="1066">
                  <c:v>8127.9124756999981</c:v>
                </c:pt>
                <c:pt idx="1067">
                  <c:v>8137.8224854999989</c:v>
                </c:pt>
                <c:pt idx="1068">
                  <c:v>8150.5024903499998</c:v>
                </c:pt>
                <c:pt idx="1069">
                  <c:v>8163.5474610500005</c:v>
                </c:pt>
                <c:pt idx="1070">
                  <c:v>8178.9699464000005</c:v>
                </c:pt>
                <c:pt idx="1071">
                  <c:v>8194.7499513000002</c:v>
                </c:pt>
                <c:pt idx="1072">
                  <c:v>8212.5349610499998</c:v>
                </c:pt>
                <c:pt idx="1073">
                  <c:v>8235.3349366000002</c:v>
                </c:pt>
                <c:pt idx="1074">
                  <c:v>8253.514917049999</c:v>
                </c:pt>
                <c:pt idx="1075">
                  <c:v>8277.6774170499993</c:v>
                </c:pt>
                <c:pt idx="1076">
                  <c:v>8299.8249023999997</c:v>
                </c:pt>
                <c:pt idx="1077">
                  <c:v>8328.2198974999992</c:v>
                </c:pt>
                <c:pt idx="1078">
                  <c:v>8355.1023925999998</c:v>
                </c:pt>
                <c:pt idx="1079">
                  <c:v>8377.4499023499993</c:v>
                </c:pt>
                <c:pt idx="1080">
                  <c:v>8396.5398925999998</c:v>
                </c:pt>
                <c:pt idx="1081">
                  <c:v>8422.7474121499999</c:v>
                </c:pt>
                <c:pt idx="1082">
                  <c:v>8449.9349121499999</c:v>
                </c:pt>
                <c:pt idx="1083">
                  <c:v>8473.2924316500012</c:v>
                </c:pt>
                <c:pt idx="1084">
                  <c:v>8501.1549316499986</c:v>
                </c:pt>
                <c:pt idx="1085">
                  <c:v>8527.7674316499997</c:v>
                </c:pt>
                <c:pt idx="1086">
                  <c:v>8551.7899414499989</c:v>
                </c:pt>
                <c:pt idx="1087">
                  <c:v>8571.6774414499996</c:v>
                </c:pt>
                <c:pt idx="1088">
                  <c:v>8590.9949219499977</c:v>
                </c:pt>
                <c:pt idx="1089">
                  <c:v>8611.2299317499983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BollingerBand_Nifty!$E$1</c:f>
              <c:strCache>
                <c:ptCount val="1"/>
                <c:pt idx="0">
                  <c:v>2nd_Std_Up</c:v>
                </c:pt>
              </c:strCache>
            </c:strRef>
          </c:tx>
          <c:marker>
            <c:symbol val="none"/>
          </c:marker>
          <c:cat>
            <c:numRef>
              <c:f>BollingerBand_Nifty!$A$2:$A$1091</c:f>
              <c:numCache>
                <c:formatCode>m/d/yyyy</c:formatCode>
                <c:ptCount val="1090"/>
                <c:pt idx="0">
                  <c:v>41169</c:v>
                </c:pt>
                <c:pt idx="1">
                  <c:v>41170</c:v>
                </c:pt>
                <c:pt idx="2">
                  <c:v>41171</c:v>
                </c:pt>
                <c:pt idx="3">
                  <c:v>41172</c:v>
                </c:pt>
                <c:pt idx="4">
                  <c:v>41173</c:v>
                </c:pt>
                <c:pt idx="5">
                  <c:v>41176</c:v>
                </c:pt>
                <c:pt idx="6">
                  <c:v>41177</c:v>
                </c:pt>
                <c:pt idx="7">
                  <c:v>41178</c:v>
                </c:pt>
                <c:pt idx="8">
                  <c:v>41179</c:v>
                </c:pt>
                <c:pt idx="9">
                  <c:v>41180</c:v>
                </c:pt>
                <c:pt idx="10">
                  <c:v>41183</c:v>
                </c:pt>
                <c:pt idx="11">
                  <c:v>41184</c:v>
                </c:pt>
                <c:pt idx="12">
                  <c:v>41185</c:v>
                </c:pt>
                <c:pt idx="13">
                  <c:v>41186</c:v>
                </c:pt>
                <c:pt idx="14">
                  <c:v>41187</c:v>
                </c:pt>
                <c:pt idx="15">
                  <c:v>41190</c:v>
                </c:pt>
                <c:pt idx="16">
                  <c:v>41191</c:v>
                </c:pt>
                <c:pt idx="17">
                  <c:v>41192</c:v>
                </c:pt>
                <c:pt idx="18">
                  <c:v>41193</c:v>
                </c:pt>
                <c:pt idx="19">
                  <c:v>41194</c:v>
                </c:pt>
                <c:pt idx="20">
                  <c:v>41197</c:v>
                </c:pt>
                <c:pt idx="21">
                  <c:v>41198</c:v>
                </c:pt>
                <c:pt idx="22">
                  <c:v>41199</c:v>
                </c:pt>
                <c:pt idx="23">
                  <c:v>41200</c:v>
                </c:pt>
                <c:pt idx="24">
                  <c:v>41201</c:v>
                </c:pt>
                <c:pt idx="25">
                  <c:v>41204</c:v>
                </c:pt>
                <c:pt idx="26">
                  <c:v>41205</c:v>
                </c:pt>
                <c:pt idx="27">
                  <c:v>41206</c:v>
                </c:pt>
                <c:pt idx="28">
                  <c:v>41207</c:v>
                </c:pt>
                <c:pt idx="29">
                  <c:v>41208</c:v>
                </c:pt>
                <c:pt idx="30">
                  <c:v>41211</c:v>
                </c:pt>
                <c:pt idx="31">
                  <c:v>41212</c:v>
                </c:pt>
                <c:pt idx="32">
                  <c:v>41213</c:v>
                </c:pt>
                <c:pt idx="33">
                  <c:v>41214</c:v>
                </c:pt>
                <c:pt idx="34">
                  <c:v>41215</c:v>
                </c:pt>
                <c:pt idx="35">
                  <c:v>41218</c:v>
                </c:pt>
                <c:pt idx="36">
                  <c:v>41219</c:v>
                </c:pt>
                <c:pt idx="37">
                  <c:v>41220</c:v>
                </c:pt>
                <c:pt idx="38">
                  <c:v>41221</c:v>
                </c:pt>
                <c:pt idx="39">
                  <c:v>41222</c:v>
                </c:pt>
                <c:pt idx="40">
                  <c:v>41225</c:v>
                </c:pt>
                <c:pt idx="41">
                  <c:v>41226</c:v>
                </c:pt>
                <c:pt idx="42">
                  <c:v>41227</c:v>
                </c:pt>
                <c:pt idx="43">
                  <c:v>41228</c:v>
                </c:pt>
                <c:pt idx="44">
                  <c:v>41229</c:v>
                </c:pt>
                <c:pt idx="45">
                  <c:v>41232</c:v>
                </c:pt>
                <c:pt idx="46">
                  <c:v>41233</c:v>
                </c:pt>
                <c:pt idx="47">
                  <c:v>41234</c:v>
                </c:pt>
                <c:pt idx="48">
                  <c:v>41235</c:v>
                </c:pt>
                <c:pt idx="49">
                  <c:v>41236</c:v>
                </c:pt>
                <c:pt idx="50">
                  <c:v>41239</c:v>
                </c:pt>
                <c:pt idx="51">
                  <c:v>41240</c:v>
                </c:pt>
                <c:pt idx="52">
                  <c:v>41241</c:v>
                </c:pt>
                <c:pt idx="53">
                  <c:v>41242</c:v>
                </c:pt>
                <c:pt idx="54">
                  <c:v>41243</c:v>
                </c:pt>
                <c:pt idx="55">
                  <c:v>41246</c:v>
                </c:pt>
                <c:pt idx="56">
                  <c:v>41247</c:v>
                </c:pt>
                <c:pt idx="57">
                  <c:v>41248</c:v>
                </c:pt>
                <c:pt idx="58">
                  <c:v>41249</c:v>
                </c:pt>
                <c:pt idx="59">
                  <c:v>41250</c:v>
                </c:pt>
                <c:pt idx="60">
                  <c:v>41253</c:v>
                </c:pt>
                <c:pt idx="61">
                  <c:v>41254</c:v>
                </c:pt>
                <c:pt idx="62">
                  <c:v>41255</c:v>
                </c:pt>
                <c:pt idx="63">
                  <c:v>41256</c:v>
                </c:pt>
                <c:pt idx="64">
                  <c:v>41257</c:v>
                </c:pt>
                <c:pt idx="65">
                  <c:v>41260</c:v>
                </c:pt>
                <c:pt idx="66">
                  <c:v>41261</c:v>
                </c:pt>
                <c:pt idx="67">
                  <c:v>41262</c:v>
                </c:pt>
                <c:pt idx="68">
                  <c:v>41263</c:v>
                </c:pt>
                <c:pt idx="69">
                  <c:v>41264</c:v>
                </c:pt>
                <c:pt idx="70">
                  <c:v>41267</c:v>
                </c:pt>
                <c:pt idx="71">
                  <c:v>41269</c:v>
                </c:pt>
                <c:pt idx="72">
                  <c:v>41270</c:v>
                </c:pt>
                <c:pt idx="73">
                  <c:v>41271</c:v>
                </c:pt>
                <c:pt idx="74">
                  <c:v>41274</c:v>
                </c:pt>
                <c:pt idx="75">
                  <c:v>41276</c:v>
                </c:pt>
                <c:pt idx="76">
                  <c:v>41277</c:v>
                </c:pt>
                <c:pt idx="77">
                  <c:v>41278</c:v>
                </c:pt>
                <c:pt idx="78">
                  <c:v>41281</c:v>
                </c:pt>
                <c:pt idx="79">
                  <c:v>41282</c:v>
                </c:pt>
                <c:pt idx="80">
                  <c:v>41283</c:v>
                </c:pt>
                <c:pt idx="81">
                  <c:v>41284</c:v>
                </c:pt>
                <c:pt idx="82">
                  <c:v>41285</c:v>
                </c:pt>
                <c:pt idx="83">
                  <c:v>41288</c:v>
                </c:pt>
                <c:pt idx="84">
                  <c:v>41289</c:v>
                </c:pt>
                <c:pt idx="85">
                  <c:v>41290</c:v>
                </c:pt>
                <c:pt idx="86">
                  <c:v>41291</c:v>
                </c:pt>
                <c:pt idx="87">
                  <c:v>41292</c:v>
                </c:pt>
                <c:pt idx="88">
                  <c:v>41295</c:v>
                </c:pt>
                <c:pt idx="89">
                  <c:v>41296</c:v>
                </c:pt>
                <c:pt idx="90">
                  <c:v>41297</c:v>
                </c:pt>
                <c:pt idx="91">
                  <c:v>41298</c:v>
                </c:pt>
                <c:pt idx="92">
                  <c:v>41299</c:v>
                </c:pt>
                <c:pt idx="93">
                  <c:v>41302</c:v>
                </c:pt>
                <c:pt idx="94">
                  <c:v>41303</c:v>
                </c:pt>
                <c:pt idx="95">
                  <c:v>41304</c:v>
                </c:pt>
                <c:pt idx="96">
                  <c:v>41305</c:v>
                </c:pt>
                <c:pt idx="97">
                  <c:v>41306</c:v>
                </c:pt>
                <c:pt idx="98">
                  <c:v>41309</c:v>
                </c:pt>
                <c:pt idx="99">
                  <c:v>41310</c:v>
                </c:pt>
                <c:pt idx="100">
                  <c:v>41311</c:v>
                </c:pt>
                <c:pt idx="101">
                  <c:v>41312</c:v>
                </c:pt>
                <c:pt idx="102">
                  <c:v>41313</c:v>
                </c:pt>
                <c:pt idx="103">
                  <c:v>41316</c:v>
                </c:pt>
                <c:pt idx="104">
                  <c:v>41317</c:v>
                </c:pt>
                <c:pt idx="105">
                  <c:v>41318</c:v>
                </c:pt>
                <c:pt idx="106">
                  <c:v>41319</c:v>
                </c:pt>
                <c:pt idx="107">
                  <c:v>41320</c:v>
                </c:pt>
                <c:pt idx="108">
                  <c:v>41323</c:v>
                </c:pt>
                <c:pt idx="109">
                  <c:v>41324</c:v>
                </c:pt>
                <c:pt idx="110">
                  <c:v>41325</c:v>
                </c:pt>
                <c:pt idx="111">
                  <c:v>41326</c:v>
                </c:pt>
                <c:pt idx="112">
                  <c:v>41327</c:v>
                </c:pt>
                <c:pt idx="113">
                  <c:v>41330</c:v>
                </c:pt>
                <c:pt idx="114">
                  <c:v>41331</c:v>
                </c:pt>
                <c:pt idx="115">
                  <c:v>41332</c:v>
                </c:pt>
                <c:pt idx="116">
                  <c:v>41333</c:v>
                </c:pt>
                <c:pt idx="117">
                  <c:v>41334</c:v>
                </c:pt>
                <c:pt idx="118">
                  <c:v>41337</c:v>
                </c:pt>
                <c:pt idx="119">
                  <c:v>41338</c:v>
                </c:pt>
                <c:pt idx="120">
                  <c:v>41339</c:v>
                </c:pt>
                <c:pt idx="121">
                  <c:v>41340</c:v>
                </c:pt>
                <c:pt idx="122">
                  <c:v>41341</c:v>
                </c:pt>
                <c:pt idx="123">
                  <c:v>41344</c:v>
                </c:pt>
                <c:pt idx="124">
                  <c:v>41345</c:v>
                </c:pt>
                <c:pt idx="125">
                  <c:v>41346</c:v>
                </c:pt>
                <c:pt idx="126">
                  <c:v>41347</c:v>
                </c:pt>
                <c:pt idx="127">
                  <c:v>41348</c:v>
                </c:pt>
                <c:pt idx="128">
                  <c:v>41351</c:v>
                </c:pt>
                <c:pt idx="129">
                  <c:v>41352</c:v>
                </c:pt>
                <c:pt idx="130">
                  <c:v>41353</c:v>
                </c:pt>
                <c:pt idx="131">
                  <c:v>41354</c:v>
                </c:pt>
                <c:pt idx="132">
                  <c:v>41355</c:v>
                </c:pt>
                <c:pt idx="133">
                  <c:v>41358</c:v>
                </c:pt>
                <c:pt idx="134">
                  <c:v>41359</c:v>
                </c:pt>
                <c:pt idx="135">
                  <c:v>41360</c:v>
                </c:pt>
                <c:pt idx="136">
                  <c:v>41361</c:v>
                </c:pt>
                <c:pt idx="137">
                  <c:v>41365</c:v>
                </c:pt>
                <c:pt idx="138">
                  <c:v>41366</c:v>
                </c:pt>
                <c:pt idx="139">
                  <c:v>41367</c:v>
                </c:pt>
                <c:pt idx="140">
                  <c:v>41368</c:v>
                </c:pt>
                <c:pt idx="141">
                  <c:v>41369</c:v>
                </c:pt>
                <c:pt idx="142">
                  <c:v>41372</c:v>
                </c:pt>
                <c:pt idx="143">
                  <c:v>41373</c:v>
                </c:pt>
                <c:pt idx="144">
                  <c:v>41374</c:v>
                </c:pt>
                <c:pt idx="145">
                  <c:v>41375</c:v>
                </c:pt>
                <c:pt idx="146">
                  <c:v>41376</c:v>
                </c:pt>
                <c:pt idx="147">
                  <c:v>41379</c:v>
                </c:pt>
                <c:pt idx="148">
                  <c:v>41380</c:v>
                </c:pt>
                <c:pt idx="149">
                  <c:v>41381</c:v>
                </c:pt>
                <c:pt idx="150">
                  <c:v>41382</c:v>
                </c:pt>
                <c:pt idx="151">
                  <c:v>41383</c:v>
                </c:pt>
                <c:pt idx="152">
                  <c:v>41386</c:v>
                </c:pt>
                <c:pt idx="153">
                  <c:v>41387</c:v>
                </c:pt>
                <c:pt idx="154">
                  <c:v>41388</c:v>
                </c:pt>
                <c:pt idx="155">
                  <c:v>41389</c:v>
                </c:pt>
                <c:pt idx="156">
                  <c:v>41390</c:v>
                </c:pt>
                <c:pt idx="157">
                  <c:v>41393</c:v>
                </c:pt>
                <c:pt idx="158">
                  <c:v>41394</c:v>
                </c:pt>
                <c:pt idx="159">
                  <c:v>41395</c:v>
                </c:pt>
                <c:pt idx="160">
                  <c:v>41396</c:v>
                </c:pt>
                <c:pt idx="161">
                  <c:v>41397</c:v>
                </c:pt>
                <c:pt idx="162">
                  <c:v>41400</c:v>
                </c:pt>
                <c:pt idx="163">
                  <c:v>41401</c:v>
                </c:pt>
                <c:pt idx="164">
                  <c:v>41402</c:v>
                </c:pt>
                <c:pt idx="165">
                  <c:v>41403</c:v>
                </c:pt>
                <c:pt idx="166">
                  <c:v>41404</c:v>
                </c:pt>
                <c:pt idx="167">
                  <c:v>41407</c:v>
                </c:pt>
                <c:pt idx="168">
                  <c:v>41408</c:v>
                </c:pt>
                <c:pt idx="169">
                  <c:v>41409</c:v>
                </c:pt>
                <c:pt idx="170">
                  <c:v>41410</c:v>
                </c:pt>
                <c:pt idx="171">
                  <c:v>41411</c:v>
                </c:pt>
                <c:pt idx="172">
                  <c:v>41414</c:v>
                </c:pt>
                <c:pt idx="173">
                  <c:v>41415</c:v>
                </c:pt>
                <c:pt idx="174">
                  <c:v>41416</c:v>
                </c:pt>
                <c:pt idx="175">
                  <c:v>41417</c:v>
                </c:pt>
                <c:pt idx="176">
                  <c:v>41418</c:v>
                </c:pt>
                <c:pt idx="177">
                  <c:v>41421</c:v>
                </c:pt>
                <c:pt idx="178">
                  <c:v>41422</c:v>
                </c:pt>
                <c:pt idx="179">
                  <c:v>41423</c:v>
                </c:pt>
                <c:pt idx="180">
                  <c:v>41424</c:v>
                </c:pt>
                <c:pt idx="181">
                  <c:v>41425</c:v>
                </c:pt>
                <c:pt idx="182">
                  <c:v>41428</c:v>
                </c:pt>
                <c:pt idx="183">
                  <c:v>41429</c:v>
                </c:pt>
                <c:pt idx="184">
                  <c:v>41430</c:v>
                </c:pt>
                <c:pt idx="185">
                  <c:v>41431</c:v>
                </c:pt>
                <c:pt idx="186">
                  <c:v>41432</c:v>
                </c:pt>
                <c:pt idx="187">
                  <c:v>41435</c:v>
                </c:pt>
                <c:pt idx="188">
                  <c:v>41436</c:v>
                </c:pt>
                <c:pt idx="189">
                  <c:v>41437</c:v>
                </c:pt>
                <c:pt idx="190">
                  <c:v>41438</c:v>
                </c:pt>
                <c:pt idx="191">
                  <c:v>41439</c:v>
                </c:pt>
                <c:pt idx="192">
                  <c:v>41442</c:v>
                </c:pt>
                <c:pt idx="193">
                  <c:v>41443</c:v>
                </c:pt>
                <c:pt idx="194">
                  <c:v>41444</c:v>
                </c:pt>
                <c:pt idx="195">
                  <c:v>41445</c:v>
                </c:pt>
                <c:pt idx="196">
                  <c:v>41446</c:v>
                </c:pt>
                <c:pt idx="197">
                  <c:v>41449</c:v>
                </c:pt>
                <c:pt idx="198">
                  <c:v>41450</c:v>
                </c:pt>
                <c:pt idx="199">
                  <c:v>41451</c:v>
                </c:pt>
                <c:pt idx="200">
                  <c:v>41452</c:v>
                </c:pt>
                <c:pt idx="201">
                  <c:v>41453</c:v>
                </c:pt>
                <c:pt idx="202">
                  <c:v>41456</c:v>
                </c:pt>
                <c:pt idx="203">
                  <c:v>41457</c:v>
                </c:pt>
                <c:pt idx="204">
                  <c:v>41458</c:v>
                </c:pt>
                <c:pt idx="205">
                  <c:v>41459</c:v>
                </c:pt>
                <c:pt idx="206">
                  <c:v>41460</c:v>
                </c:pt>
                <c:pt idx="207">
                  <c:v>41463</c:v>
                </c:pt>
                <c:pt idx="208">
                  <c:v>41464</c:v>
                </c:pt>
                <c:pt idx="209">
                  <c:v>41465</c:v>
                </c:pt>
                <c:pt idx="210">
                  <c:v>41466</c:v>
                </c:pt>
                <c:pt idx="211">
                  <c:v>41467</c:v>
                </c:pt>
                <c:pt idx="212">
                  <c:v>41470</c:v>
                </c:pt>
                <c:pt idx="213">
                  <c:v>41471</c:v>
                </c:pt>
                <c:pt idx="214">
                  <c:v>41472</c:v>
                </c:pt>
                <c:pt idx="215">
                  <c:v>41473</c:v>
                </c:pt>
                <c:pt idx="216">
                  <c:v>41474</c:v>
                </c:pt>
                <c:pt idx="217">
                  <c:v>41477</c:v>
                </c:pt>
                <c:pt idx="218">
                  <c:v>41478</c:v>
                </c:pt>
                <c:pt idx="219">
                  <c:v>41479</c:v>
                </c:pt>
                <c:pt idx="220">
                  <c:v>41480</c:v>
                </c:pt>
                <c:pt idx="221">
                  <c:v>41481</c:v>
                </c:pt>
                <c:pt idx="222">
                  <c:v>41484</c:v>
                </c:pt>
                <c:pt idx="223">
                  <c:v>41485</c:v>
                </c:pt>
                <c:pt idx="224">
                  <c:v>41486</c:v>
                </c:pt>
                <c:pt idx="225">
                  <c:v>41487</c:v>
                </c:pt>
                <c:pt idx="226">
                  <c:v>41488</c:v>
                </c:pt>
                <c:pt idx="227">
                  <c:v>41491</c:v>
                </c:pt>
                <c:pt idx="228">
                  <c:v>41492</c:v>
                </c:pt>
                <c:pt idx="229">
                  <c:v>41493</c:v>
                </c:pt>
                <c:pt idx="230">
                  <c:v>41494</c:v>
                </c:pt>
                <c:pt idx="231">
                  <c:v>41495</c:v>
                </c:pt>
                <c:pt idx="232">
                  <c:v>41498</c:v>
                </c:pt>
                <c:pt idx="233">
                  <c:v>41499</c:v>
                </c:pt>
                <c:pt idx="234">
                  <c:v>41500</c:v>
                </c:pt>
                <c:pt idx="235">
                  <c:v>41501</c:v>
                </c:pt>
                <c:pt idx="236">
                  <c:v>41502</c:v>
                </c:pt>
                <c:pt idx="237">
                  <c:v>41505</c:v>
                </c:pt>
                <c:pt idx="238">
                  <c:v>41506</c:v>
                </c:pt>
                <c:pt idx="239">
                  <c:v>41507</c:v>
                </c:pt>
                <c:pt idx="240">
                  <c:v>41508</c:v>
                </c:pt>
                <c:pt idx="241">
                  <c:v>41509</c:v>
                </c:pt>
                <c:pt idx="242">
                  <c:v>41512</c:v>
                </c:pt>
                <c:pt idx="243">
                  <c:v>41513</c:v>
                </c:pt>
                <c:pt idx="244">
                  <c:v>41514</c:v>
                </c:pt>
                <c:pt idx="245">
                  <c:v>41515</c:v>
                </c:pt>
                <c:pt idx="246">
                  <c:v>41516</c:v>
                </c:pt>
                <c:pt idx="247">
                  <c:v>41519</c:v>
                </c:pt>
                <c:pt idx="248">
                  <c:v>41520</c:v>
                </c:pt>
                <c:pt idx="249">
                  <c:v>41521</c:v>
                </c:pt>
                <c:pt idx="250">
                  <c:v>41522</c:v>
                </c:pt>
                <c:pt idx="251">
                  <c:v>41523</c:v>
                </c:pt>
                <c:pt idx="252">
                  <c:v>41526</c:v>
                </c:pt>
                <c:pt idx="253">
                  <c:v>41527</c:v>
                </c:pt>
                <c:pt idx="254">
                  <c:v>41528</c:v>
                </c:pt>
                <c:pt idx="255">
                  <c:v>41529</c:v>
                </c:pt>
                <c:pt idx="256">
                  <c:v>41530</c:v>
                </c:pt>
                <c:pt idx="257">
                  <c:v>41533</c:v>
                </c:pt>
                <c:pt idx="258">
                  <c:v>41534</c:v>
                </c:pt>
                <c:pt idx="259">
                  <c:v>41535</c:v>
                </c:pt>
                <c:pt idx="260">
                  <c:v>41536</c:v>
                </c:pt>
                <c:pt idx="261">
                  <c:v>41537</c:v>
                </c:pt>
                <c:pt idx="262">
                  <c:v>41540</c:v>
                </c:pt>
                <c:pt idx="263">
                  <c:v>41541</c:v>
                </c:pt>
                <c:pt idx="264">
                  <c:v>41542</c:v>
                </c:pt>
                <c:pt idx="265">
                  <c:v>41543</c:v>
                </c:pt>
                <c:pt idx="266">
                  <c:v>41544</c:v>
                </c:pt>
                <c:pt idx="267">
                  <c:v>41547</c:v>
                </c:pt>
                <c:pt idx="268">
                  <c:v>41548</c:v>
                </c:pt>
                <c:pt idx="269">
                  <c:v>41550</c:v>
                </c:pt>
                <c:pt idx="270">
                  <c:v>41551</c:v>
                </c:pt>
                <c:pt idx="271">
                  <c:v>41554</c:v>
                </c:pt>
                <c:pt idx="272">
                  <c:v>41555</c:v>
                </c:pt>
                <c:pt idx="273">
                  <c:v>41556</c:v>
                </c:pt>
                <c:pt idx="274">
                  <c:v>41557</c:v>
                </c:pt>
                <c:pt idx="275">
                  <c:v>41558</c:v>
                </c:pt>
                <c:pt idx="276">
                  <c:v>41561</c:v>
                </c:pt>
                <c:pt idx="277">
                  <c:v>41562</c:v>
                </c:pt>
                <c:pt idx="278">
                  <c:v>41564</c:v>
                </c:pt>
                <c:pt idx="279">
                  <c:v>41565</c:v>
                </c:pt>
                <c:pt idx="280">
                  <c:v>41568</c:v>
                </c:pt>
                <c:pt idx="281">
                  <c:v>41569</c:v>
                </c:pt>
                <c:pt idx="282">
                  <c:v>41570</c:v>
                </c:pt>
                <c:pt idx="283">
                  <c:v>41571</c:v>
                </c:pt>
                <c:pt idx="284">
                  <c:v>41572</c:v>
                </c:pt>
                <c:pt idx="285">
                  <c:v>41575</c:v>
                </c:pt>
                <c:pt idx="286">
                  <c:v>41576</c:v>
                </c:pt>
                <c:pt idx="287">
                  <c:v>41577</c:v>
                </c:pt>
                <c:pt idx="288">
                  <c:v>41578</c:v>
                </c:pt>
                <c:pt idx="289">
                  <c:v>41579</c:v>
                </c:pt>
                <c:pt idx="290">
                  <c:v>41583</c:v>
                </c:pt>
                <c:pt idx="291">
                  <c:v>41584</c:v>
                </c:pt>
                <c:pt idx="292">
                  <c:v>41585</c:v>
                </c:pt>
                <c:pt idx="293">
                  <c:v>41586</c:v>
                </c:pt>
                <c:pt idx="294">
                  <c:v>41589</c:v>
                </c:pt>
                <c:pt idx="295">
                  <c:v>41590</c:v>
                </c:pt>
                <c:pt idx="296">
                  <c:v>41591</c:v>
                </c:pt>
                <c:pt idx="297">
                  <c:v>41592</c:v>
                </c:pt>
                <c:pt idx="298">
                  <c:v>41596</c:v>
                </c:pt>
                <c:pt idx="299">
                  <c:v>41597</c:v>
                </c:pt>
                <c:pt idx="300">
                  <c:v>41598</c:v>
                </c:pt>
                <c:pt idx="301">
                  <c:v>41599</c:v>
                </c:pt>
                <c:pt idx="302">
                  <c:v>41600</c:v>
                </c:pt>
                <c:pt idx="303">
                  <c:v>41603</c:v>
                </c:pt>
                <c:pt idx="304">
                  <c:v>41604</c:v>
                </c:pt>
                <c:pt idx="305">
                  <c:v>41605</c:v>
                </c:pt>
                <c:pt idx="306">
                  <c:v>41606</c:v>
                </c:pt>
                <c:pt idx="307">
                  <c:v>41607</c:v>
                </c:pt>
                <c:pt idx="308">
                  <c:v>41610</c:v>
                </c:pt>
                <c:pt idx="309">
                  <c:v>41611</c:v>
                </c:pt>
                <c:pt idx="310">
                  <c:v>41612</c:v>
                </c:pt>
                <c:pt idx="311">
                  <c:v>41613</c:v>
                </c:pt>
                <c:pt idx="312">
                  <c:v>41614</c:v>
                </c:pt>
                <c:pt idx="313">
                  <c:v>41617</c:v>
                </c:pt>
                <c:pt idx="314">
                  <c:v>41618</c:v>
                </c:pt>
                <c:pt idx="315">
                  <c:v>41619</c:v>
                </c:pt>
                <c:pt idx="316">
                  <c:v>41620</c:v>
                </c:pt>
                <c:pt idx="317">
                  <c:v>41621</c:v>
                </c:pt>
                <c:pt idx="318">
                  <c:v>41624</c:v>
                </c:pt>
                <c:pt idx="319">
                  <c:v>41625</c:v>
                </c:pt>
                <c:pt idx="320">
                  <c:v>41626</c:v>
                </c:pt>
                <c:pt idx="321">
                  <c:v>41627</c:v>
                </c:pt>
                <c:pt idx="322">
                  <c:v>41628</c:v>
                </c:pt>
                <c:pt idx="323">
                  <c:v>41631</c:v>
                </c:pt>
                <c:pt idx="324">
                  <c:v>41632</c:v>
                </c:pt>
                <c:pt idx="325">
                  <c:v>41634</c:v>
                </c:pt>
                <c:pt idx="326">
                  <c:v>41635</c:v>
                </c:pt>
                <c:pt idx="327">
                  <c:v>41638</c:v>
                </c:pt>
                <c:pt idx="328">
                  <c:v>41639</c:v>
                </c:pt>
                <c:pt idx="329">
                  <c:v>41641</c:v>
                </c:pt>
                <c:pt idx="330">
                  <c:v>41642</c:v>
                </c:pt>
                <c:pt idx="331">
                  <c:v>41645</c:v>
                </c:pt>
                <c:pt idx="332">
                  <c:v>41646</c:v>
                </c:pt>
                <c:pt idx="333">
                  <c:v>41647</c:v>
                </c:pt>
                <c:pt idx="334">
                  <c:v>41648</c:v>
                </c:pt>
                <c:pt idx="335">
                  <c:v>41649</c:v>
                </c:pt>
                <c:pt idx="336">
                  <c:v>41652</c:v>
                </c:pt>
                <c:pt idx="337">
                  <c:v>41653</c:v>
                </c:pt>
                <c:pt idx="338">
                  <c:v>41654</c:v>
                </c:pt>
                <c:pt idx="339">
                  <c:v>41655</c:v>
                </c:pt>
                <c:pt idx="340">
                  <c:v>41656</c:v>
                </c:pt>
                <c:pt idx="341">
                  <c:v>41659</c:v>
                </c:pt>
                <c:pt idx="342">
                  <c:v>41660</c:v>
                </c:pt>
                <c:pt idx="343">
                  <c:v>41661</c:v>
                </c:pt>
                <c:pt idx="344">
                  <c:v>41662</c:v>
                </c:pt>
                <c:pt idx="345">
                  <c:v>41663</c:v>
                </c:pt>
                <c:pt idx="346">
                  <c:v>41666</c:v>
                </c:pt>
                <c:pt idx="347">
                  <c:v>41667</c:v>
                </c:pt>
                <c:pt idx="348">
                  <c:v>41668</c:v>
                </c:pt>
                <c:pt idx="349">
                  <c:v>41669</c:v>
                </c:pt>
                <c:pt idx="350">
                  <c:v>41670</c:v>
                </c:pt>
                <c:pt idx="351">
                  <c:v>41673</c:v>
                </c:pt>
                <c:pt idx="352">
                  <c:v>41674</c:v>
                </c:pt>
                <c:pt idx="353">
                  <c:v>41675</c:v>
                </c:pt>
                <c:pt idx="354">
                  <c:v>41676</c:v>
                </c:pt>
                <c:pt idx="355">
                  <c:v>41677</c:v>
                </c:pt>
                <c:pt idx="356">
                  <c:v>41680</c:v>
                </c:pt>
                <c:pt idx="357">
                  <c:v>41681</c:v>
                </c:pt>
                <c:pt idx="358">
                  <c:v>41682</c:v>
                </c:pt>
                <c:pt idx="359">
                  <c:v>41683</c:v>
                </c:pt>
                <c:pt idx="360">
                  <c:v>41684</c:v>
                </c:pt>
                <c:pt idx="361">
                  <c:v>41687</c:v>
                </c:pt>
                <c:pt idx="362">
                  <c:v>41688</c:v>
                </c:pt>
                <c:pt idx="363">
                  <c:v>41689</c:v>
                </c:pt>
                <c:pt idx="364">
                  <c:v>41690</c:v>
                </c:pt>
                <c:pt idx="365">
                  <c:v>41691</c:v>
                </c:pt>
                <c:pt idx="366">
                  <c:v>41694</c:v>
                </c:pt>
                <c:pt idx="367">
                  <c:v>41695</c:v>
                </c:pt>
                <c:pt idx="368">
                  <c:v>41696</c:v>
                </c:pt>
                <c:pt idx="369">
                  <c:v>41698</c:v>
                </c:pt>
                <c:pt idx="370">
                  <c:v>41701</c:v>
                </c:pt>
                <c:pt idx="371">
                  <c:v>41702</c:v>
                </c:pt>
                <c:pt idx="372">
                  <c:v>41703</c:v>
                </c:pt>
                <c:pt idx="373">
                  <c:v>41704</c:v>
                </c:pt>
                <c:pt idx="374">
                  <c:v>41705</c:v>
                </c:pt>
                <c:pt idx="375">
                  <c:v>41708</c:v>
                </c:pt>
                <c:pt idx="376">
                  <c:v>41709</c:v>
                </c:pt>
                <c:pt idx="377">
                  <c:v>41710</c:v>
                </c:pt>
                <c:pt idx="378">
                  <c:v>41711</c:v>
                </c:pt>
                <c:pt idx="379">
                  <c:v>41712</c:v>
                </c:pt>
                <c:pt idx="380">
                  <c:v>41716</c:v>
                </c:pt>
                <c:pt idx="381">
                  <c:v>41717</c:v>
                </c:pt>
                <c:pt idx="382">
                  <c:v>41718</c:v>
                </c:pt>
                <c:pt idx="383">
                  <c:v>41719</c:v>
                </c:pt>
                <c:pt idx="384">
                  <c:v>41722</c:v>
                </c:pt>
                <c:pt idx="385">
                  <c:v>41723</c:v>
                </c:pt>
                <c:pt idx="386">
                  <c:v>41724</c:v>
                </c:pt>
                <c:pt idx="387">
                  <c:v>41725</c:v>
                </c:pt>
                <c:pt idx="388">
                  <c:v>41726</c:v>
                </c:pt>
                <c:pt idx="389">
                  <c:v>41729</c:v>
                </c:pt>
                <c:pt idx="390">
                  <c:v>41730</c:v>
                </c:pt>
                <c:pt idx="391">
                  <c:v>41731</c:v>
                </c:pt>
                <c:pt idx="392">
                  <c:v>41732</c:v>
                </c:pt>
                <c:pt idx="393">
                  <c:v>41733</c:v>
                </c:pt>
                <c:pt idx="394">
                  <c:v>41736</c:v>
                </c:pt>
                <c:pt idx="395">
                  <c:v>41738</c:v>
                </c:pt>
                <c:pt idx="396">
                  <c:v>41739</c:v>
                </c:pt>
                <c:pt idx="397">
                  <c:v>41740</c:v>
                </c:pt>
                <c:pt idx="398">
                  <c:v>41744</c:v>
                </c:pt>
                <c:pt idx="399">
                  <c:v>41745</c:v>
                </c:pt>
                <c:pt idx="400">
                  <c:v>41746</c:v>
                </c:pt>
                <c:pt idx="401">
                  <c:v>41750</c:v>
                </c:pt>
                <c:pt idx="402">
                  <c:v>41751</c:v>
                </c:pt>
                <c:pt idx="403">
                  <c:v>41752</c:v>
                </c:pt>
                <c:pt idx="404">
                  <c:v>41754</c:v>
                </c:pt>
                <c:pt idx="405">
                  <c:v>41757</c:v>
                </c:pt>
                <c:pt idx="406">
                  <c:v>41758</c:v>
                </c:pt>
                <c:pt idx="407">
                  <c:v>41759</c:v>
                </c:pt>
                <c:pt idx="408">
                  <c:v>41761</c:v>
                </c:pt>
                <c:pt idx="409">
                  <c:v>41764</c:v>
                </c:pt>
                <c:pt idx="410">
                  <c:v>41765</c:v>
                </c:pt>
                <c:pt idx="411">
                  <c:v>41766</c:v>
                </c:pt>
                <c:pt idx="412">
                  <c:v>41767</c:v>
                </c:pt>
                <c:pt idx="413">
                  <c:v>41768</c:v>
                </c:pt>
                <c:pt idx="414">
                  <c:v>41771</c:v>
                </c:pt>
                <c:pt idx="415">
                  <c:v>41772</c:v>
                </c:pt>
                <c:pt idx="416">
                  <c:v>41773</c:v>
                </c:pt>
                <c:pt idx="417">
                  <c:v>41774</c:v>
                </c:pt>
                <c:pt idx="418">
                  <c:v>41775</c:v>
                </c:pt>
                <c:pt idx="419">
                  <c:v>41778</c:v>
                </c:pt>
                <c:pt idx="420">
                  <c:v>41779</c:v>
                </c:pt>
                <c:pt idx="421">
                  <c:v>41780</c:v>
                </c:pt>
                <c:pt idx="422">
                  <c:v>41781</c:v>
                </c:pt>
                <c:pt idx="423">
                  <c:v>41782</c:v>
                </c:pt>
                <c:pt idx="424">
                  <c:v>41785</c:v>
                </c:pt>
                <c:pt idx="425">
                  <c:v>41786</c:v>
                </c:pt>
                <c:pt idx="426">
                  <c:v>41787</c:v>
                </c:pt>
                <c:pt idx="427">
                  <c:v>41788</c:v>
                </c:pt>
                <c:pt idx="428">
                  <c:v>41789</c:v>
                </c:pt>
                <c:pt idx="429">
                  <c:v>41792</c:v>
                </c:pt>
                <c:pt idx="430">
                  <c:v>41793</c:v>
                </c:pt>
                <c:pt idx="431">
                  <c:v>41794</c:v>
                </c:pt>
                <c:pt idx="432">
                  <c:v>41795</c:v>
                </c:pt>
                <c:pt idx="433">
                  <c:v>41796</c:v>
                </c:pt>
                <c:pt idx="434">
                  <c:v>41799</c:v>
                </c:pt>
                <c:pt idx="435">
                  <c:v>41800</c:v>
                </c:pt>
                <c:pt idx="436">
                  <c:v>41801</c:v>
                </c:pt>
                <c:pt idx="437">
                  <c:v>41802</c:v>
                </c:pt>
                <c:pt idx="438">
                  <c:v>41803</c:v>
                </c:pt>
                <c:pt idx="439">
                  <c:v>41806</c:v>
                </c:pt>
                <c:pt idx="440">
                  <c:v>41807</c:v>
                </c:pt>
                <c:pt idx="441">
                  <c:v>41808</c:v>
                </c:pt>
                <c:pt idx="442">
                  <c:v>41809</c:v>
                </c:pt>
                <c:pt idx="443">
                  <c:v>41810</c:v>
                </c:pt>
                <c:pt idx="444">
                  <c:v>41813</c:v>
                </c:pt>
                <c:pt idx="445">
                  <c:v>41814</c:v>
                </c:pt>
                <c:pt idx="446">
                  <c:v>41815</c:v>
                </c:pt>
                <c:pt idx="447">
                  <c:v>41816</c:v>
                </c:pt>
                <c:pt idx="448">
                  <c:v>41817</c:v>
                </c:pt>
                <c:pt idx="449">
                  <c:v>41820</c:v>
                </c:pt>
                <c:pt idx="450">
                  <c:v>41821</c:v>
                </c:pt>
                <c:pt idx="451">
                  <c:v>41822</c:v>
                </c:pt>
                <c:pt idx="452">
                  <c:v>41823</c:v>
                </c:pt>
                <c:pt idx="453">
                  <c:v>41824</c:v>
                </c:pt>
                <c:pt idx="454">
                  <c:v>41827</c:v>
                </c:pt>
                <c:pt idx="455">
                  <c:v>41828</c:v>
                </c:pt>
                <c:pt idx="456">
                  <c:v>41829</c:v>
                </c:pt>
                <c:pt idx="457">
                  <c:v>41830</c:v>
                </c:pt>
                <c:pt idx="458">
                  <c:v>41831</c:v>
                </c:pt>
                <c:pt idx="459">
                  <c:v>41834</c:v>
                </c:pt>
                <c:pt idx="460">
                  <c:v>41835</c:v>
                </c:pt>
                <c:pt idx="461">
                  <c:v>41836</c:v>
                </c:pt>
                <c:pt idx="462">
                  <c:v>41837</c:v>
                </c:pt>
                <c:pt idx="463">
                  <c:v>41838</c:v>
                </c:pt>
                <c:pt idx="464">
                  <c:v>41841</c:v>
                </c:pt>
                <c:pt idx="465">
                  <c:v>41842</c:v>
                </c:pt>
                <c:pt idx="466">
                  <c:v>41843</c:v>
                </c:pt>
                <c:pt idx="467">
                  <c:v>41844</c:v>
                </c:pt>
                <c:pt idx="468">
                  <c:v>41845</c:v>
                </c:pt>
                <c:pt idx="469">
                  <c:v>41848</c:v>
                </c:pt>
                <c:pt idx="470">
                  <c:v>41850</c:v>
                </c:pt>
                <c:pt idx="471">
                  <c:v>41851</c:v>
                </c:pt>
                <c:pt idx="472">
                  <c:v>41852</c:v>
                </c:pt>
                <c:pt idx="473">
                  <c:v>41855</c:v>
                </c:pt>
                <c:pt idx="474">
                  <c:v>41856</c:v>
                </c:pt>
                <c:pt idx="475">
                  <c:v>41857</c:v>
                </c:pt>
                <c:pt idx="476">
                  <c:v>41858</c:v>
                </c:pt>
                <c:pt idx="477">
                  <c:v>41859</c:v>
                </c:pt>
                <c:pt idx="478">
                  <c:v>41862</c:v>
                </c:pt>
                <c:pt idx="479">
                  <c:v>41863</c:v>
                </c:pt>
                <c:pt idx="480">
                  <c:v>41864</c:v>
                </c:pt>
                <c:pt idx="481">
                  <c:v>41865</c:v>
                </c:pt>
                <c:pt idx="482">
                  <c:v>41869</c:v>
                </c:pt>
                <c:pt idx="483">
                  <c:v>41870</c:v>
                </c:pt>
                <c:pt idx="484">
                  <c:v>41871</c:v>
                </c:pt>
                <c:pt idx="485">
                  <c:v>41872</c:v>
                </c:pt>
                <c:pt idx="486">
                  <c:v>41873</c:v>
                </c:pt>
                <c:pt idx="487">
                  <c:v>41876</c:v>
                </c:pt>
                <c:pt idx="488">
                  <c:v>41877</c:v>
                </c:pt>
                <c:pt idx="489">
                  <c:v>41878</c:v>
                </c:pt>
                <c:pt idx="490">
                  <c:v>41879</c:v>
                </c:pt>
                <c:pt idx="491">
                  <c:v>41883</c:v>
                </c:pt>
                <c:pt idx="492">
                  <c:v>41884</c:v>
                </c:pt>
                <c:pt idx="493">
                  <c:v>41885</c:v>
                </c:pt>
                <c:pt idx="494">
                  <c:v>41886</c:v>
                </c:pt>
                <c:pt idx="495">
                  <c:v>41887</c:v>
                </c:pt>
                <c:pt idx="496">
                  <c:v>41890</c:v>
                </c:pt>
                <c:pt idx="497">
                  <c:v>41891</c:v>
                </c:pt>
                <c:pt idx="498">
                  <c:v>41892</c:v>
                </c:pt>
                <c:pt idx="499">
                  <c:v>41893</c:v>
                </c:pt>
                <c:pt idx="500">
                  <c:v>41894</c:v>
                </c:pt>
                <c:pt idx="501">
                  <c:v>41897</c:v>
                </c:pt>
                <c:pt idx="502">
                  <c:v>41898</c:v>
                </c:pt>
                <c:pt idx="503">
                  <c:v>41899</c:v>
                </c:pt>
                <c:pt idx="504">
                  <c:v>41900</c:v>
                </c:pt>
                <c:pt idx="505">
                  <c:v>41901</c:v>
                </c:pt>
                <c:pt idx="506">
                  <c:v>41904</c:v>
                </c:pt>
                <c:pt idx="507">
                  <c:v>41905</c:v>
                </c:pt>
                <c:pt idx="508">
                  <c:v>41906</c:v>
                </c:pt>
                <c:pt idx="509">
                  <c:v>41907</c:v>
                </c:pt>
                <c:pt idx="510">
                  <c:v>41908</c:v>
                </c:pt>
                <c:pt idx="511">
                  <c:v>41911</c:v>
                </c:pt>
                <c:pt idx="512">
                  <c:v>41912</c:v>
                </c:pt>
                <c:pt idx="513">
                  <c:v>41913</c:v>
                </c:pt>
                <c:pt idx="514">
                  <c:v>41919</c:v>
                </c:pt>
                <c:pt idx="515">
                  <c:v>41920</c:v>
                </c:pt>
                <c:pt idx="516">
                  <c:v>41921</c:v>
                </c:pt>
                <c:pt idx="517">
                  <c:v>41922</c:v>
                </c:pt>
                <c:pt idx="518">
                  <c:v>41925</c:v>
                </c:pt>
                <c:pt idx="519">
                  <c:v>41926</c:v>
                </c:pt>
                <c:pt idx="520">
                  <c:v>41928</c:v>
                </c:pt>
                <c:pt idx="521">
                  <c:v>41929</c:v>
                </c:pt>
                <c:pt idx="522">
                  <c:v>41932</c:v>
                </c:pt>
                <c:pt idx="523">
                  <c:v>41933</c:v>
                </c:pt>
                <c:pt idx="524">
                  <c:v>41934</c:v>
                </c:pt>
                <c:pt idx="525">
                  <c:v>41935</c:v>
                </c:pt>
                <c:pt idx="526">
                  <c:v>41939</c:v>
                </c:pt>
                <c:pt idx="527">
                  <c:v>41940</c:v>
                </c:pt>
                <c:pt idx="528">
                  <c:v>41941</c:v>
                </c:pt>
                <c:pt idx="529">
                  <c:v>41942</c:v>
                </c:pt>
                <c:pt idx="530">
                  <c:v>41943</c:v>
                </c:pt>
                <c:pt idx="531">
                  <c:v>41946</c:v>
                </c:pt>
                <c:pt idx="532">
                  <c:v>41948</c:v>
                </c:pt>
                <c:pt idx="533">
                  <c:v>41950</c:v>
                </c:pt>
                <c:pt idx="534">
                  <c:v>41953</c:v>
                </c:pt>
                <c:pt idx="535">
                  <c:v>41954</c:v>
                </c:pt>
                <c:pt idx="536">
                  <c:v>41955</c:v>
                </c:pt>
                <c:pt idx="537">
                  <c:v>41956</c:v>
                </c:pt>
                <c:pt idx="538">
                  <c:v>41957</c:v>
                </c:pt>
                <c:pt idx="539">
                  <c:v>41960</c:v>
                </c:pt>
                <c:pt idx="540">
                  <c:v>41961</c:v>
                </c:pt>
                <c:pt idx="541">
                  <c:v>41962</c:v>
                </c:pt>
                <c:pt idx="542">
                  <c:v>41963</c:v>
                </c:pt>
                <c:pt idx="543">
                  <c:v>41964</c:v>
                </c:pt>
                <c:pt idx="544">
                  <c:v>41967</c:v>
                </c:pt>
                <c:pt idx="545">
                  <c:v>41968</c:v>
                </c:pt>
                <c:pt idx="546">
                  <c:v>41969</c:v>
                </c:pt>
                <c:pt idx="547">
                  <c:v>41970</c:v>
                </c:pt>
                <c:pt idx="548">
                  <c:v>41971</c:v>
                </c:pt>
                <c:pt idx="549">
                  <c:v>41974</c:v>
                </c:pt>
                <c:pt idx="550">
                  <c:v>41975</c:v>
                </c:pt>
                <c:pt idx="551">
                  <c:v>41976</c:v>
                </c:pt>
                <c:pt idx="552">
                  <c:v>41977</c:v>
                </c:pt>
                <c:pt idx="553">
                  <c:v>41978</c:v>
                </c:pt>
                <c:pt idx="554">
                  <c:v>41981</c:v>
                </c:pt>
                <c:pt idx="555">
                  <c:v>41982</c:v>
                </c:pt>
                <c:pt idx="556">
                  <c:v>41983</c:v>
                </c:pt>
                <c:pt idx="557">
                  <c:v>41984</c:v>
                </c:pt>
                <c:pt idx="558">
                  <c:v>41985</c:v>
                </c:pt>
                <c:pt idx="559">
                  <c:v>41988</c:v>
                </c:pt>
                <c:pt idx="560">
                  <c:v>41989</c:v>
                </c:pt>
                <c:pt idx="561">
                  <c:v>41990</c:v>
                </c:pt>
                <c:pt idx="562">
                  <c:v>41991</c:v>
                </c:pt>
                <c:pt idx="563">
                  <c:v>41992</c:v>
                </c:pt>
                <c:pt idx="564">
                  <c:v>41995</c:v>
                </c:pt>
                <c:pt idx="565">
                  <c:v>41996</c:v>
                </c:pt>
                <c:pt idx="566">
                  <c:v>41997</c:v>
                </c:pt>
                <c:pt idx="567">
                  <c:v>41999</c:v>
                </c:pt>
                <c:pt idx="568">
                  <c:v>42002</c:v>
                </c:pt>
                <c:pt idx="569">
                  <c:v>42003</c:v>
                </c:pt>
                <c:pt idx="570">
                  <c:v>42004</c:v>
                </c:pt>
                <c:pt idx="571">
                  <c:v>42006</c:v>
                </c:pt>
                <c:pt idx="572">
                  <c:v>42009</c:v>
                </c:pt>
                <c:pt idx="573">
                  <c:v>42010</c:v>
                </c:pt>
                <c:pt idx="574">
                  <c:v>42011</c:v>
                </c:pt>
                <c:pt idx="575">
                  <c:v>42012</c:v>
                </c:pt>
                <c:pt idx="576">
                  <c:v>42013</c:v>
                </c:pt>
                <c:pt idx="577">
                  <c:v>42016</c:v>
                </c:pt>
                <c:pt idx="578">
                  <c:v>42017</c:v>
                </c:pt>
                <c:pt idx="579">
                  <c:v>42018</c:v>
                </c:pt>
                <c:pt idx="580">
                  <c:v>42019</c:v>
                </c:pt>
                <c:pt idx="581">
                  <c:v>42020</c:v>
                </c:pt>
                <c:pt idx="582">
                  <c:v>42023</c:v>
                </c:pt>
                <c:pt idx="583">
                  <c:v>42024</c:v>
                </c:pt>
                <c:pt idx="584">
                  <c:v>42025</c:v>
                </c:pt>
                <c:pt idx="585">
                  <c:v>42026</c:v>
                </c:pt>
                <c:pt idx="586">
                  <c:v>42027</c:v>
                </c:pt>
                <c:pt idx="587">
                  <c:v>42031</c:v>
                </c:pt>
                <c:pt idx="588">
                  <c:v>42032</c:v>
                </c:pt>
                <c:pt idx="589">
                  <c:v>42033</c:v>
                </c:pt>
                <c:pt idx="590">
                  <c:v>42034</c:v>
                </c:pt>
                <c:pt idx="591">
                  <c:v>42037</c:v>
                </c:pt>
                <c:pt idx="592">
                  <c:v>42038</c:v>
                </c:pt>
                <c:pt idx="593">
                  <c:v>42039</c:v>
                </c:pt>
                <c:pt idx="594">
                  <c:v>42040</c:v>
                </c:pt>
                <c:pt idx="595">
                  <c:v>42041</c:v>
                </c:pt>
                <c:pt idx="596">
                  <c:v>42044</c:v>
                </c:pt>
                <c:pt idx="597">
                  <c:v>42045</c:v>
                </c:pt>
                <c:pt idx="598">
                  <c:v>42046</c:v>
                </c:pt>
                <c:pt idx="599">
                  <c:v>42047</c:v>
                </c:pt>
                <c:pt idx="600">
                  <c:v>42048</c:v>
                </c:pt>
                <c:pt idx="601">
                  <c:v>42051</c:v>
                </c:pt>
                <c:pt idx="602">
                  <c:v>42053</c:v>
                </c:pt>
                <c:pt idx="603">
                  <c:v>42054</c:v>
                </c:pt>
                <c:pt idx="604">
                  <c:v>42055</c:v>
                </c:pt>
                <c:pt idx="605">
                  <c:v>42058</c:v>
                </c:pt>
                <c:pt idx="606">
                  <c:v>42059</c:v>
                </c:pt>
                <c:pt idx="607">
                  <c:v>42060</c:v>
                </c:pt>
                <c:pt idx="608">
                  <c:v>42061</c:v>
                </c:pt>
                <c:pt idx="609">
                  <c:v>42062</c:v>
                </c:pt>
                <c:pt idx="610">
                  <c:v>42065</c:v>
                </c:pt>
                <c:pt idx="611">
                  <c:v>42066</c:v>
                </c:pt>
                <c:pt idx="612">
                  <c:v>42067</c:v>
                </c:pt>
                <c:pt idx="613">
                  <c:v>42068</c:v>
                </c:pt>
                <c:pt idx="614">
                  <c:v>42072</c:v>
                </c:pt>
                <c:pt idx="615">
                  <c:v>42073</c:v>
                </c:pt>
                <c:pt idx="616">
                  <c:v>42074</c:v>
                </c:pt>
                <c:pt idx="617">
                  <c:v>42075</c:v>
                </c:pt>
                <c:pt idx="618">
                  <c:v>42076</c:v>
                </c:pt>
                <c:pt idx="619">
                  <c:v>42079</c:v>
                </c:pt>
                <c:pt idx="620">
                  <c:v>42080</c:v>
                </c:pt>
                <c:pt idx="621">
                  <c:v>42081</c:v>
                </c:pt>
                <c:pt idx="622">
                  <c:v>42082</c:v>
                </c:pt>
                <c:pt idx="623">
                  <c:v>42083</c:v>
                </c:pt>
                <c:pt idx="624">
                  <c:v>42086</c:v>
                </c:pt>
                <c:pt idx="625">
                  <c:v>42087</c:v>
                </c:pt>
                <c:pt idx="626">
                  <c:v>42088</c:v>
                </c:pt>
                <c:pt idx="627">
                  <c:v>42089</c:v>
                </c:pt>
                <c:pt idx="628">
                  <c:v>42090</c:v>
                </c:pt>
                <c:pt idx="629">
                  <c:v>42093</c:v>
                </c:pt>
                <c:pt idx="630">
                  <c:v>42094</c:v>
                </c:pt>
                <c:pt idx="631">
                  <c:v>42095</c:v>
                </c:pt>
                <c:pt idx="632">
                  <c:v>42100</c:v>
                </c:pt>
                <c:pt idx="633">
                  <c:v>42101</c:v>
                </c:pt>
                <c:pt idx="634">
                  <c:v>42102</c:v>
                </c:pt>
                <c:pt idx="635">
                  <c:v>42103</c:v>
                </c:pt>
                <c:pt idx="636">
                  <c:v>42104</c:v>
                </c:pt>
                <c:pt idx="637">
                  <c:v>42107</c:v>
                </c:pt>
                <c:pt idx="638">
                  <c:v>42110</c:v>
                </c:pt>
                <c:pt idx="639">
                  <c:v>42111</c:v>
                </c:pt>
                <c:pt idx="640">
                  <c:v>42114</c:v>
                </c:pt>
                <c:pt idx="641">
                  <c:v>42115</c:v>
                </c:pt>
                <c:pt idx="642">
                  <c:v>42116</c:v>
                </c:pt>
                <c:pt idx="643">
                  <c:v>42117</c:v>
                </c:pt>
                <c:pt idx="644">
                  <c:v>42118</c:v>
                </c:pt>
                <c:pt idx="645">
                  <c:v>42121</c:v>
                </c:pt>
                <c:pt idx="646">
                  <c:v>42122</c:v>
                </c:pt>
                <c:pt idx="647">
                  <c:v>42123</c:v>
                </c:pt>
                <c:pt idx="648">
                  <c:v>42124</c:v>
                </c:pt>
                <c:pt idx="649">
                  <c:v>42128</c:v>
                </c:pt>
                <c:pt idx="650">
                  <c:v>42129</c:v>
                </c:pt>
                <c:pt idx="651">
                  <c:v>42130</c:v>
                </c:pt>
                <c:pt idx="652">
                  <c:v>42131</c:v>
                </c:pt>
                <c:pt idx="653">
                  <c:v>42132</c:v>
                </c:pt>
                <c:pt idx="654">
                  <c:v>42135</c:v>
                </c:pt>
                <c:pt idx="655">
                  <c:v>42136</c:v>
                </c:pt>
                <c:pt idx="656">
                  <c:v>42137</c:v>
                </c:pt>
                <c:pt idx="657">
                  <c:v>42138</c:v>
                </c:pt>
                <c:pt idx="658">
                  <c:v>42139</c:v>
                </c:pt>
                <c:pt idx="659">
                  <c:v>42142</c:v>
                </c:pt>
                <c:pt idx="660">
                  <c:v>42143</c:v>
                </c:pt>
                <c:pt idx="661">
                  <c:v>42144</c:v>
                </c:pt>
                <c:pt idx="662">
                  <c:v>42145</c:v>
                </c:pt>
                <c:pt idx="663">
                  <c:v>42146</c:v>
                </c:pt>
                <c:pt idx="664">
                  <c:v>42149</c:v>
                </c:pt>
                <c:pt idx="665">
                  <c:v>42150</c:v>
                </c:pt>
                <c:pt idx="666">
                  <c:v>42151</c:v>
                </c:pt>
                <c:pt idx="667">
                  <c:v>42152</c:v>
                </c:pt>
                <c:pt idx="668">
                  <c:v>42153</c:v>
                </c:pt>
                <c:pt idx="669">
                  <c:v>42156</c:v>
                </c:pt>
                <c:pt idx="670">
                  <c:v>42157</c:v>
                </c:pt>
                <c:pt idx="671">
                  <c:v>42158</c:v>
                </c:pt>
                <c:pt idx="672">
                  <c:v>42159</c:v>
                </c:pt>
                <c:pt idx="673">
                  <c:v>42160</c:v>
                </c:pt>
                <c:pt idx="674">
                  <c:v>42163</c:v>
                </c:pt>
                <c:pt idx="675">
                  <c:v>42164</c:v>
                </c:pt>
                <c:pt idx="676">
                  <c:v>42165</c:v>
                </c:pt>
                <c:pt idx="677">
                  <c:v>42166</c:v>
                </c:pt>
                <c:pt idx="678">
                  <c:v>42167</c:v>
                </c:pt>
                <c:pt idx="679">
                  <c:v>42170</c:v>
                </c:pt>
                <c:pt idx="680">
                  <c:v>42171</c:v>
                </c:pt>
                <c:pt idx="681">
                  <c:v>42172</c:v>
                </c:pt>
                <c:pt idx="682">
                  <c:v>42173</c:v>
                </c:pt>
                <c:pt idx="683">
                  <c:v>42174</c:v>
                </c:pt>
                <c:pt idx="684">
                  <c:v>42177</c:v>
                </c:pt>
                <c:pt idx="685">
                  <c:v>42178</c:v>
                </c:pt>
                <c:pt idx="686">
                  <c:v>42179</c:v>
                </c:pt>
                <c:pt idx="687">
                  <c:v>42180</c:v>
                </c:pt>
                <c:pt idx="688">
                  <c:v>42181</c:v>
                </c:pt>
                <c:pt idx="689">
                  <c:v>42184</c:v>
                </c:pt>
                <c:pt idx="690">
                  <c:v>42185</c:v>
                </c:pt>
                <c:pt idx="691">
                  <c:v>42186</c:v>
                </c:pt>
                <c:pt idx="692">
                  <c:v>42187</c:v>
                </c:pt>
                <c:pt idx="693">
                  <c:v>42188</c:v>
                </c:pt>
                <c:pt idx="694">
                  <c:v>42191</c:v>
                </c:pt>
                <c:pt idx="695">
                  <c:v>42192</c:v>
                </c:pt>
                <c:pt idx="696">
                  <c:v>42193</c:v>
                </c:pt>
                <c:pt idx="697">
                  <c:v>42194</c:v>
                </c:pt>
                <c:pt idx="698">
                  <c:v>42195</c:v>
                </c:pt>
                <c:pt idx="699">
                  <c:v>42198</c:v>
                </c:pt>
                <c:pt idx="700">
                  <c:v>42199</c:v>
                </c:pt>
                <c:pt idx="701">
                  <c:v>42200</c:v>
                </c:pt>
                <c:pt idx="702">
                  <c:v>42201</c:v>
                </c:pt>
                <c:pt idx="703">
                  <c:v>42202</c:v>
                </c:pt>
                <c:pt idx="704">
                  <c:v>42205</c:v>
                </c:pt>
                <c:pt idx="705">
                  <c:v>42206</c:v>
                </c:pt>
                <c:pt idx="706">
                  <c:v>42207</c:v>
                </c:pt>
                <c:pt idx="707">
                  <c:v>42208</c:v>
                </c:pt>
                <c:pt idx="708">
                  <c:v>42209</c:v>
                </c:pt>
                <c:pt idx="709">
                  <c:v>42212</c:v>
                </c:pt>
                <c:pt idx="710">
                  <c:v>42213</c:v>
                </c:pt>
                <c:pt idx="711">
                  <c:v>42214</c:v>
                </c:pt>
                <c:pt idx="712">
                  <c:v>42215</c:v>
                </c:pt>
                <c:pt idx="713">
                  <c:v>42216</c:v>
                </c:pt>
                <c:pt idx="714">
                  <c:v>42219</c:v>
                </c:pt>
                <c:pt idx="715">
                  <c:v>42220</c:v>
                </c:pt>
                <c:pt idx="716">
                  <c:v>42221</c:v>
                </c:pt>
                <c:pt idx="717">
                  <c:v>42222</c:v>
                </c:pt>
                <c:pt idx="718">
                  <c:v>42223</c:v>
                </c:pt>
                <c:pt idx="719">
                  <c:v>42226</c:v>
                </c:pt>
                <c:pt idx="720">
                  <c:v>42227</c:v>
                </c:pt>
                <c:pt idx="721">
                  <c:v>42228</c:v>
                </c:pt>
                <c:pt idx="722">
                  <c:v>42229</c:v>
                </c:pt>
                <c:pt idx="723">
                  <c:v>42230</c:v>
                </c:pt>
                <c:pt idx="724">
                  <c:v>42233</c:v>
                </c:pt>
                <c:pt idx="725">
                  <c:v>42234</c:v>
                </c:pt>
                <c:pt idx="726">
                  <c:v>42235</c:v>
                </c:pt>
                <c:pt idx="727">
                  <c:v>42236</c:v>
                </c:pt>
                <c:pt idx="728">
                  <c:v>42237</c:v>
                </c:pt>
                <c:pt idx="729">
                  <c:v>42240</c:v>
                </c:pt>
                <c:pt idx="730">
                  <c:v>42241</c:v>
                </c:pt>
                <c:pt idx="731">
                  <c:v>42242</c:v>
                </c:pt>
                <c:pt idx="732">
                  <c:v>42243</c:v>
                </c:pt>
                <c:pt idx="733">
                  <c:v>42244</c:v>
                </c:pt>
                <c:pt idx="734">
                  <c:v>42247</c:v>
                </c:pt>
                <c:pt idx="735">
                  <c:v>42248</c:v>
                </c:pt>
                <c:pt idx="736">
                  <c:v>42249</c:v>
                </c:pt>
                <c:pt idx="737">
                  <c:v>42250</c:v>
                </c:pt>
                <c:pt idx="738">
                  <c:v>42251</c:v>
                </c:pt>
                <c:pt idx="739">
                  <c:v>42254</c:v>
                </c:pt>
                <c:pt idx="740">
                  <c:v>42255</c:v>
                </c:pt>
                <c:pt idx="741">
                  <c:v>42256</c:v>
                </c:pt>
                <c:pt idx="742">
                  <c:v>42257</c:v>
                </c:pt>
                <c:pt idx="743">
                  <c:v>42258</c:v>
                </c:pt>
                <c:pt idx="744">
                  <c:v>42261</c:v>
                </c:pt>
                <c:pt idx="745">
                  <c:v>42262</c:v>
                </c:pt>
                <c:pt idx="746">
                  <c:v>42263</c:v>
                </c:pt>
                <c:pt idx="747">
                  <c:v>42265</c:v>
                </c:pt>
                <c:pt idx="748">
                  <c:v>42268</c:v>
                </c:pt>
                <c:pt idx="749">
                  <c:v>42269</c:v>
                </c:pt>
                <c:pt idx="750">
                  <c:v>42270</c:v>
                </c:pt>
                <c:pt idx="751">
                  <c:v>42271</c:v>
                </c:pt>
                <c:pt idx="752">
                  <c:v>42275</c:v>
                </c:pt>
                <c:pt idx="753">
                  <c:v>42276</c:v>
                </c:pt>
                <c:pt idx="754">
                  <c:v>42277</c:v>
                </c:pt>
                <c:pt idx="755">
                  <c:v>42278</c:v>
                </c:pt>
                <c:pt idx="756">
                  <c:v>42282</c:v>
                </c:pt>
                <c:pt idx="757">
                  <c:v>42283</c:v>
                </c:pt>
                <c:pt idx="758">
                  <c:v>42284</c:v>
                </c:pt>
                <c:pt idx="759">
                  <c:v>42285</c:v>
                </c:pt>
                <c:pt idx="760">
                  <c:v>42286</c:v>
                </c:pt>
                <c:pt idx="761">
                  <c:v>42289</c:v>
                </c:pt>
                <c:pt idx="762">
                  <c:v>42290</c:v>
                </c:pt>
                <c:pt idx="763">
                  <c:v>42291</c:v>
                </c:pt>
                <c:pt idx="764">
                  <c:v>42292</c:v>
                </c:pt>
                <c:pt idx="765">
                  <c:v>42293</c:v>
                </c:pt>
                <c:pt idx="766">
                  <c:v>42296</c:v>
                </c:pt>
                <c:pt idx="767">
                  <c:v>42297</c:v>
                </c:pt>
                <c:pt idx="768">
                  <c:v>42298</c:v>
                </c:pt>
                <c:pt idx="769">
                  <c:v>42300</c:v>
                </c:pt>
                <c:pt idx="770">
                  <c:v>42303</c:v>
                </c:pt>
                <c:pt idx="771">
                  <c:v>42304</c:v>
                </c:pt>
                <c:pt idx="772">
                  <c:v>42305</c:v>
                </c:pt>
                <c:pt idx="773">
                  <c:v>42306</c:v>
                </c:pt>
                <c:pt idx="774">
                  <c:v>42307</c:v>
                </c:pt>
                <c:pt idx="775">
                  <c:v>42310</c:v>
                </c:pt>
                <c:pt idx="776">
                  <c:v>42311</c:v>
                </c:pt>
                <c:pt idx="777">
                  <c:v>42312</c:v>
                </c:pt>
                <c:pt idx="778">
                  <c:v>42313</c:v>
                </c:pt>
                <c:pt idx="779">
                  <c:v>42314</c:v>
                </c:pt>
                <c:pt idx="780">
                  <c:v>42317</c:v>
                </c:pt>
                <c:pt idx="781">
                  <c:v>42318</c:v>
                </c:pt>
                <c:pt idx="782">
                  <c:v>42319</c:v>
                </c:pt>
                <c:pt idx="783">
                  <c:v>42321</c:v>
                </c:pt>
                <c:pt idx="784">
                  <c:v>42324</c:v>
                </c:pt>
                <c:pt idx="785">
                  <c:v>42325</c:v>
                </c:pt>
                <c:pt idx="786">
                  <c:v>42326</c:v>
                </c:pt>
                <c:pt idx="787">
                  <c:v>42327</c:v>
                </c:pt>
                <c:pt idx="788">
                  <c:v>42328</c:v>
                </c:pt>
                <c:pt idx="789">
                  <c:v>42331</c:v>
                </c:pt>
                <c:pt idx="790">
                  <c:v>42332</c:v>
                </c:pt>
                <c:pt idx="791">
                  <c:v>42334</c:v>
                </c:pt>
                <c:pt idx="792">
                  <c:v>42335</c:v>
                </c:pt>
                <c:pt idx="793">
                  <c:v>42338</c:v>
                </c:pt>
                <c:pt idx="794">
                  <c:v>42339</c:v>
                </c:pt>
                <c:pt idx="795">
                  <c:v>42340</c:v>
                </c:pt>
                <c:pt idx="796">
                  <c:v>42341</c:v>
                </c:pt>
                <c:pt idx="797">
                  <c:v>42342</c:v>
                </c:pt>
                <c:pt idx="798">
                  <c:v>42345</c:v>
                </c:pt>
                <c:pt idx="799">
                  <c:v>42346</c:v>
                </c:pt>
                <c:pt idx="800">
                  <c:v>42347</c:v>
                </c:pt>
                <c:pt idx="801">
                  <c:v>42348</c:v>
                </c:pt>
                <c:pt idx="802">
                  <c:v>42349</c:v>
                </c:pt>
                <c:pt idx="803">
                  <c:v>42352</c:v>
                </c:pt>
                <c:pt idx="804">
                  <c:v>42353</c:v>
                </c:pt>
                <c:pt idx="805">
                  <c:v>42354</c:v>
                </c:pt>
                <c:pt idx="806">
                  <c:v>42355</c:v>
                </c:pt>
                <c:pt idx="807">
                  <c:v>42356</c:v>
                </c:pt>
                <c:pt idx="808">
                  <c:v>42359</c:v>
                </c:pt>
                <c:pt idx="809">
                  <c:v>42360</c:v>
                </c:pt>
                <c:pt idx="810">
                  <c:v>42361</c:v>
                </c:pt>
                <c:pt idx="811">
                  <c:v>42362</c:v>
                </c:pt>
                <c:pt idx="812">
                  <c:v>42366</c:v>
                </c:pt>
                <c:pt idx="813">
                  <c:v>42367</c:v>
                </c:pt>
                <c:pt idx="814">
                  <c:v>42368</c:v>
                </c:pt>
                <c:pt idx="815">
                  <c:v>42369</c:v>
                </c:pt>
                <c:pt idx="816">
                  <c:v>42373</c:v>
                </c:pt>
                <c:pt idx="817">
                  <c:v>42374</c:v>
                </c:pt>
                <c:pt idx="818">
                  <c:v>42375</c:v>
                </c:pt>
                <c:pt idx="819">
                  <c:v>42376</c:v>
                </c:pt>
                <c:pt idx="820">
                  <c:v>42377</c:v>
                </c:pt>
                <c:pt idx="821">
                  <c:v>42380</c:v>
                </c:pt>
                <c:pt idx="822">
                  <c:v>42381</c:v>
                </c:pt>
                <c:pt idx="823">
                  <c:v>42382</c:v>
                </c:pt>
                <c:pt idx="824">
                  <c:v>42383</c:v>
                </c:pt>
                <c:pt idx="825">
                  <c:v>42384</c:v>
                </c:pt>
                <c:pt idx="826">
                  <c:v>42387</c:v>
                </c:pt>
                <c:pt idx="827">
                  <c:v>42388</c:v>
                </c:pt>
                <c:pt idx="828">
                  <c:v>42389</c:v>
                </c:pt>
                <c:pt idx="829">
                  <c:v>42390</c:v>
                </c:pt>
                <c:pt idx="830">
                  <c:v>42391</c:v>
                </c:pt>
                <c:pt idx="831">
                  <c:v>42394</c:v>
                </c:pt>
                <c:pt idx="832">
                  <c:v>42396</c:v>
                </c:pt>
                <c:pt idx="833">
                  <c:v>42397</c:v>
                </c:pt>
                <c:pt idx="834">
                  <c:v>42398</c:v>
                </c:pt>
                <c:pt idx="835">
                  <c:v>42401</c:v>
                </c:pt>
                <c:pt idx="836">
                  <c:v>42402</c:v>
                </c:pt>
                <c:pt idx="837">
                  <c:v>42403</c:v>
                </c:pt>
                <c:pt idx="838">
                  <c:v>42404</c:v>
                </c:pt>
                <c:pt idx="839">
                  <c:v>42405</c:v>
                </c:pt>
                <c:pt idx="840">
                  <c:v>42408</c:v>
                </c:pt>
                <c:pt idx="841">
                  <c:v>42409</c:v>
                </c:pt>
                <c:pt idx="842">
                  <c:v>42410</c:v>
                </c:pt>
                <c:pt idx="843">
                  <c:v>42411</c:v>
                </c:pt>
                <c:pt idx="844">
                  <c:v>42412</c:v>
                </c:pt>
                <c:pt idx="845">
                  <c:v>42415</c:v>
                </c:pt>
                <c:pt idx="846">
                  <c:v>42416</c:v>
                </c:pt>
                <c:pt idx="847">
                  <c:v>42417</c:v>
                </c:pt>
                <c:pt idx="848">
                  <c:v>42418</c:v>
                </c:pt>
                <c:pt idx="849">
                  <c:v>42419</c:v>
                </c:pt>
                <c:pt idx="850">
                  <c:v>42422</c:v>
                </c:pt>
                <c:pt idx="851">
                  <c:v>42423</c:v>
                </c:pt>
                <c:pt idx="852">
                  <c:v>42424</c:v>
                </c:pt>
                <c:pt idx="853">
                  <c:v>42425</c:v>
                </c:pt>
                <c:pt idx="854">
                  <c:v>42426</c:v>
                </c:pt>
                <c:pt idx="855">
                  <c:v>42429</c:v>
                </c:pt>
                <c:pt idx="856">
                  <c:v>42430</c:v>
                </c:pt>
                <c:pt idx="857">
                  <c:v>42431</c:v>
                </c:pt>
                <c:pt idx="858">
                  <c:v>42432</c:v>
                </c:pt>
                <c:pt idx="859">
                  <c:v>42433</c:v>
                </c:pt>
                <c:pt idx="860">
                  <c:v>42437</c:v>
                </c:pt>
                <c:pt idx="861">
                  <c:v>42438</c:v>
                </c:pt>
                <c:pt idx="862">
                  <c:v>42439</c:v>
                </c:pt>
                <c:pt idx="863">
                  <c:v>42440</c:v>
                </c:pt>
                <c:pt idx="864">
                  <c:v>42443</c:v>
                </c:pt>
                <c:pt idx="865">
                  <c:v>42444</c:v>
                </c:pt>
                <c:pt idx="866">
                  <c:v>42445</c:v>
                </c:pt>
                <c:pt idx="867">
                  <c:v>42446</c:v>
                </c:pt>
                <c:pt idx="868">
                  <c:v>42447</c:v>
                </c:pt>
                <c:pt idx="869">
                  <c:v>42450</c:v>
                </c:pt>
                <c:pt idx="870">
                  <c:v>42451</c:v>
                </c:pt>
                <c:pt idx="871">
                  <c:v>42452</c:v>
                </c:pt>
                <c:pt idx="872">
                  <c:v>42457</c:v>
                </c:pt>
                <c:pt idx="873">
                  <c:v>42458</c:v>
                </c:pt>
                <c:pt idx="874">
                  <c:v>42459</c:v>
                </c:pt>
                <c:pt idx="875">
                  <c:v>42460</c:v>
                </c:pt>
                <c:pt idx="876">
                  <c:v>42461</c:v>
                </c:pt>
                <c:pt idx="877">
                  <c:v>42464</c:v>
                </c:pt>
                <c:pt idx="878">
                  <c:v>42465</c:v>
                </c:pt>
                <c:pt idx="879">
                  <c:v>42466</c:v>
                </c:pt>
                <c:pt idx="880">
                  <c:v>42467</c:v>
                </c:pt>
                <c:pt idx="881">
                  <c:v>42468</c:v>
                </c:pt>
                <c:pt idx="882">
                  <c:v>42471</c:v>
                </c:pt>
                <c:pt idx="883">
                  <c:v>42472</c:v>
                </c:pt>
                <c:pt idx="884">
                  <c:v>42473</c:v>
                </c:pt>
                <c:pt idx="885">
                  <c:v>42478</c:v>
                </c:pt>
                <c:pt idx="886">
                  <c:v>42480</c:v>
                </c:pt>
                <c:pt idx="887">
                  <c:v>42481</c:v>
                </c:pt>
                <c:pt idx="888">
                  <c:v>42482</c:v>
                </c:pt>
                <c:pt idx="889">
                  <c:v>42485</c:v>
                </c:pt>
                <c:pt idx="890">
                  <c:v>42486</c:v>
                </c:pt>
                <c:pt idx="891">
                  <c:v>42487</c:v>
                </c:pt>
                <c:pt idx="892">
                  <c:v>42488</c:v>
                </c:pt>
                <c:pt idx="893">
                  <c:v>42489</c:v>
                </c:pt>
                <c:pt idx="894">
                  <c:v>42492</c:v>
                </c:pt>
                <c:pt idx="895">
                  <c:v>42493</c:v>
                </c:pt>
                <c:pt idx="896">
                  <c:v>42494</c:v>
                </c:pt>
                <c:pt idx="897">
                  <c:v>42495</c:v>
                </c:pt>
                <c:pt idx="898">
                  <c:v>42496</c:v>
                </c:pt>
                <c:pt idx="899">
                  <c:v>42499</c:v>
                </c:pt>
                <c:pt idx="900">
                  <c:v>42500</c:v>
                </c:pt>
                <c:pt idx="901">
                  <c:v>42501</c:v>
                </c:pt>
                <c:pt idx="902">
                  <c:v>42502</c:v>
                </c:pt>
                <c:pt idx="903">
                  <c:v>42503</c:v>
                </c:pt>
                <c:pt idx="904">
                  <c:v>42506</c:v>
                </c:pt>
                <c:pt idx="905">
                  <c:v>42507</c:v>
                </c:pt>
                <c:pt idx="906">
                  <c:v>42508</c:v>
                </c:pt>
                <c:pt idx="907">
                  <c:v>42509</c:v>
                </c:pt>
                <c:pt idx="908">
                  <c:v>42510</c:v>
                </c:pt>
                <c:pt idx="909">
                  <c:v>42513</c:v>
                </c:pt>
                <c:pt idx="910">
                  <c:v>42514</c:v>
                </c:pt>
                <c:pt idx="911">
                  <c:v>42515</c:v>
                </c:pt>
                <c:pt idx="912">
                  <c:v>42516</c:v>
                </c:pt>
                <c:pt idx="913">
                  <c:v>42517</c:v>
                </c:pt>
                <c:pt idx="914">
                  <c:v>42520</c:v>
                </c:pt>
                <c:pt idx="915">
                  <c:v>42521</c:v>
                </c:pt>
                <c:pt idx="916">
                  <c:v>42522</c:v>
                </c:pt>
                <c:pt idx="917">
                  <c:v>42523</c:v>
                </c:pt>
                <c:pt idx="918">
                  <c:v>42524</c:v>
                </c:pt>
                <c:pt idx="919">
                  <c:v>42527</c:v>
                </c:pt>
                <c:pt idx="920">
                  <c:v>42528</c:v>
                </c:pt>
                <c:pt idx="921">
                  <c:v>42529</c:v>
                </c:pt>
                <c:pt idx="922">
                  <c:v>42530</c:v>
                </c:pt>
                <c:pt idx="923">
                  <c:v>42531</c:v>
                </c:pt>
                <c:pt idx="924">
                  <c:v>42534</c:v>
                </c:pt>
                <c:pt idx="925">
                  <c:v>42535</c:v>
                </c:pt>
                <c:pt idx="926">
                  <c:v>42536</c:v>
                </c:pt>
                <c:pt idx="927">
                  <c:v>42537</c:v>
                </c:pt>
                <c:pt idx="928">
                  <c:v>42538</c:v>
                </c:pt>
                <c:pt idx="929">
                  <c:v>42541</c:v>
                </c:pt>
                <c:pt idx="930">
                  <c:v>42542</c:v>
                </c:pt>
                <c:pt idx="931">
                  <c:v>42543</c:v>
                </c:pt>
                <c:pt idx="932">
                  <c:v>42544</c:v>
                </c:pt>
                <c:pt idx="933">
                  <c:v>42545</c:v>
                </c:pt>
                <c:pt idx="934">
                  <c:v>42548</c:v>
                </c:pt>
                <c:pt idx="935">
                  <c:v>42549</c:v>
                </c:pt>
                <c:pt idx="936">
                  <c:v>42550</c:v>
                </c:pt>
                <c:pt idx="937">
                  <c:v>42551</c:v>
                </c:pt>
                <c:pt idx="938">
                  <c:v>42552</c:v>
                </c:pt>
                <c:pt idx="939">
                  <c:v>42555</c:v>
                </c:pt>
                <c:pt idx="940">
                  <c:v>42556</c:v>
                </c:pt>
                <c:pt idx="941">
                  <c:v>42558</c:v>
                </c:pt>
                <c:pt idx="942">
                  <c:v>42559</c:v>
                </c:pt>
                <c:pt idx="943">
                  <c:v>42562</c:v>
                </c:pt>
                <c:pt idx="944">
                  <c:v>42563</c:v>
                </c:pt>
                <c:pt idx="945">
                  <c:v>42564</c:v>
                </c:pt>
                <c:pt idx="946">
                  <c:v>42565</c:v>
                </c:pt>
                <c:pt idx="947">
                  <c:v>42566</c:v>
                </c:pt>
                <c:pt idx="948">
                  <c:v>42569</c:v>
                </c:pt>
                <c:pt idx="949">
                  <c:v>42570</c:v>
                </c:pt>
                <c:pt idx="950">
                  <c:v>42571</c:v>
                </c:pt>
                <c:pt idx="951">
                  <c:v>42572</c:v>
                </c:pt>
                <c:pt idx="952">
                  <c:v>42573</c:v>
                </c:pt>
                <c:pt idx="953">
                  <c:v>42576</c:v>
                </c:pt>
                <c:pt idx="954">
                  <c:v>42577</c:v>
                </c:pt>
                <c:pt idx="955">
                  <c:v>42578</c:v>
                </c:pt>
                <c:pt idx="956">
                  <c:v>42579</c:v>
                </c:pt>
                <c:pt idx="957">
                  <c:v>42580</c:v>
                </c:pt>
                <c:pt idx="958">
                  <c:v>42583</c:v>
                </c:pt>
                <c:pt idx="959">
                  <c:v>42584</c:v>
                </c:pt>
                <c:pt idx="960">
                  <c:v>42585</c:v>
                </c:pt>
                <c:pt idx="961">
                  <c:v>42586</c:v>
                </c:pt>
                <c:pt idx="962">
                  <c:v>42587</c:v>
                </c:pt>
                <c:pt idx="963">
                  <c:v>42590</c:v>
                </c:pt>
                <c:pt idx="964">
                  <c:v>42591</c:v>
                </c:pt>
                <c:pt idx="965">
                  <c:v>42592</c:v>
                </c:pt>
                <c:pt idx="966">
                  <c:v>42593</c:v>
                </c:pt>
                <c:pt idx="967">
                  <c:v>42598</c:v>
                </c:pt>
                <c:pt idx="968">
                  <c:v>42599</c:v>
                </c:pt>
                <c:pt idx="969">
                  <c:v>42600</c:v>
                </c:pt>
                <c:pt idx="970">
                  <c:v>42601</c:v>
                </c:pt>
                <c:pt idx="971">
                  <c:v>42604</c:v>
                </c:pt>
                <c:pt idx="972">
                  <c:v>42605</c:v>
                </c:pt>
                <c:pt idx="973">
                  <c:v>42606</c:v>
                </c:pt>
                <c:pt idx="974">
                  <c:v>42607</c:v>
                </c:pt>
                <c:pt idx="975">
                  <c:v>42608</c:v>
                </c:pt>
                <c:pt idx="976">
                  <c:v>42611</c:v>
                </c:pt>
                <c:pt idx="977">
                  <c:v>42612</c:v>
                </c:pt>
                <c:pt idx="978">
                  <c:v>42613</c:v>
                </c:pt>
                <c:pt idx="979">
                  <c:v>42614</c:v>
                </c:pt>
                <c:pt idx="980">
                  <c:v>42615</c:v>
                </c:pt>
                <c:pt idx="981">
                  <c:v>42619</c:v>
                </c:pt>
                <c:pt idx="982">
                  <c:v>42620</c:v>
                </c:pt>
                <c:pt idx="983">
                  <c:v>42621</c:v>
                </c:pt>
                <c:pt idx="984">
                  <c:v>42622</c:v>
                </c:pt>
                <c:pt idx="985">
                  <c:v>42625</c:v>
                </c:pt>
                <c:pt idx="986">
                  <c:v>42627</c:v>
                </c:pt>
                <c:pt idx="987">
                  <c:v>42628</c:v>
                </c:pt>
                <c:pt idx="988">
                  <c:v>42629</c:v>
                </c:pt>
                <c:pt idx="989">
                  <c:v>42632</c:v>
                </c:pt>
                <c:pt idx="990">
                  <c:v>42633</c:v>
                </c:pt>
                <c:pt idx="991">
                  <c:v>42634</c:v>
                </c:pt>
                <c:pt idx="992">
                  <c:v>42635</c:v>
                </c:pt>
                <c:pt idx="993">
                  <c:v>42636</c:v>
                </c:pt>
                <c:pt idx="994">
                  <c:v>42639</c:v>
                </c:pt>
                <c:pt idx="995">
                  <c:v>42640</c:v>
                </c:pt>
                <c:pt idx="996">
                  <c:v>42641</c:v>
                </c:pt>
                <c:pt idx="997">
                  <c:v>42642</c:v>
                </c:pt>
                <c:pt idx="998">
                  <c:v>42643</c:v>
                </c:pt>
                <c:pt idx="999">
                  <c:v>42646</c:v>
                </c:pt>
                <c:pt idx="1000">
                  <c:v>42647</c:v>
                </c:pt>
                <c:pt idx="1001">
                  <c:v>42648</c:v>
                </c:pt>
                <c:pt idx="1002">
                  <c:v>42649</c:v>
                </c:pt>
                <c:pt idx="1003">
                  <c:v>42650</c:v>
                </c:pt>
                <c:pt idx="1004">
                  <c:v>42653</c:v>
                </c:pt>
                <c:pt idx="1005">
                  <c:v>42656</c:v>
                </c:pt>
                <c:pt idx="1006">
                  <c:v>42657</c:v>
                </c:pt>
                <c:pt idx="1007">
                  <c:v>42660</c:v>
                </c:pt>
                <c:pt idx="1008">
                  <c:v>42661</c:v>
                </c:pt>
                <c:pt idx="1009">
                  <c:v>42662</c:v>
                </c:pt>
                <c:pt idx="1010">
                  <c:v>42663</c:v>
                </c:pt>
                <c:pt idx="1011">
                  <c:v>42664</c:v>
                </c:pt>
                <c:pt idx="1012">
                  <c:v>42667</c:v>
                </c:pt>
                <c:pt idx="1013">
                  <c:v>42668</c:v>
                </c:pt>
                <c:pt idx="1014">
                  <c:v>42669</c:v>
                </c:pt>
                <c:pt idx="1015">
                  <c:v>42670</c:v>
                </c:pt>
                <c:pt idx="1016">
                  <c:v>42671</c:v>
                </c:pt>
                <c:pt idx="1017">
                  <c:v>42675</c:v>
                </c:pt>
                <c:pt idx="1018">
                  <c:v>42676</c:v>
                </c:pt>
                <c:pt idx="1019">
                  <c:v>42677</c:v>
                </c:pt>
                <c:pt idx="1020">
                  <c:v>42678</c:v>
                </c:pt>
                <c:pt idx="1021">
                  <c:v>42681</c:v>
                </c:pt>
                <c:pt idx="1022">
                  <c:v>42682</c:v>
                </c:pt>
                <c:pt idx="1023">
                  <c:v>42683</c:v>
                </c:pt>
                <c:pt idx="1024">
                  <c:v>42684</c:v>
                </c:pt>
                <c:pt idx="1025">
                  <c:v>42685</c:v>
                </c:pt>
                <c:pt idx="1026">
                  <c:v>42689</c:v>
                </c:pt>
                <c:pt idx="1027">
                  <c:v>42690</c:v>
                </c:pt>
                <c:pt idx="1028">
                  <c:v>42691</c:v>
                </c:pt>
                <c:pt idx="1029">
                  <c:v>42692</c:v>
                </c:pt>
                <c:pt idx="1030">
                  <c:v>42695</c:v>
                </c:pt>
                <c:pt idx="1031">
                  <c:v>42696</c:v>
                </c:pt>
                <c:pt idx="1032">
                  <c:v>42697</c:v>
                </c:pt>
                <c:pt idx="1033">
                  <c:v>42698</c:v>
                </c:pt>
                <c:pt idx="1034">
                  <c:v>42699</c:v>
                </c:pt>
                <c:pt idx="1035">
                  <c:v>42702</c:v>
                </c:pt>
                <c:pt idx="1036">
                  <c:v>42703</c:v>
                </c:pt>
                <c:pt idx="1037">
                  <c:v>42704</c:v>
                </c:pt>
                <c:pt idx="1038">
                  <c:v>42705</c:v>
                </c:pt>
                <c:pt idx="1039">
                  <c:v>42706</c:v>
                </c:pt>
                <c:pt idx="1040">
                  <c:v>42709</c:v>
                </c:pt>
                <c:pt idx="1041">
                  <c:v>42710</c:v>
                </c:pt>
                <c:pt idx="1042">
                  <c:v>42711</c:v>
                </c:pt>
                <c:pt idx="1043">
                  <c:v>42712</c:v>
                </c:pt>
                <c:pt idx="1044">
                  <c:v>42713</c:v>
                </c:pt>
                <c:pt idx="1045">
                  <c:v>42716</c:v>
                </c:pt>
                <c:pt idx="1046">
                  <c:v>42717</c:v>
                </c:pt>
                <c:pt idx="1047">
                  <c:v>42718</c:v>
                </c:pt>
                <c:pt idx="1048">
                  <c:v>42719</c:v>
                </c:pt>
                <c:pt idx="1049">
                  <c:v>42720</c:v>
                </c:pt>
                <c:pt idx="1050">
                  <c:v>42723</c:v>
                </c:pt>
                <c:pt idx="1051">
                  <c:v>42724</c:v>
                </c:pt>
                <c:pt idx="1052">
                  <c:v>42725</c:v>
                </c:pt>
                <c:pt idx="1053">
                  <c:v>42726</c:v>
                </c:pt>
                <c:pt idx="1054">
                  <c:v>42727</c:v>
                </c:pt>
                <c:pt idx="1055">
                  <c:v>42730</c:v>
                </c:pt>
                <c:pt idx="1056">
                  <c:v>42731</c:v>
                </c:pt>
                <c:pt idx="1057">
                  <c:v>42732</c:v>
                </c:pt>
                <c:pt idx="1058">
                  <c:v>42733</c:v>
                </c:pt>
                <c:pt idx="1059">
                  <c:v>42734</c:v>
                </c:pt>
                <c:pt idx="1060">
                  <c:v>42737</c:v>
                </c:pt>
                <c:pt idx="1061">
                  <c:v>42738</c:v>
                </c:pt>
                <c:pt idx="1062">
                  <c:v>42739</c:v>
                </c:pt>
                <c:pt idx="1063">
                  <c:v>42740</c:v>
                </c:pt>
                <c:pt idx="1064">
                  <c:v>42741</c:v>
                </c:pt>
                <c:pt idx="1065">
                  <c:v>42744</c:v>
                </c:pt>
                <c:pt idx="1066">
                  <c:v>42745</c:v>
                </c:pt>
                <c:pt idx="1067">
                  <c:v>42746</c:v>
                </c:pt>
                <c:pt idx="1068">
                  <c:v>42747</c:v>
                </c:pt>
                <c:pt idx="1069">
                  <c:v>42748</c:v>
                </c:pt>
                <c:pt idx="1070">
                  <c:v>42751</c:v>
                </c:pt>
                <c:pt idx="1071">
                  <c:v>42752</c:v>
                </c:pt>
                <c:pt idx="1072">
                  <c:v>42753</c:v>
                </c:pt>
                <c:pt idx="1073">
                  <c:v>42754</c:v>
                </c:pt>
                <c:pt idx="1074">
                  <c:v>42755</c:v>
                </c:pt>
                <c:pt idx="1075">
                  <c:v>42758</c:v>
                </c:pt>
                <c:pt idx="1076">
                  <c:v>42759</c:v>
                </c:pt>
                <c:pt idx="1077">
                  <c:v>42760</c:v>
                </c:pt>
                <c:pt idx="1078">
                  <c:v>42762</c:v>
                </c:pt>
                <c:pt idx="1079">
                  <c:v>42765</c:v>
                </c:pt>
                <c:pt idx="1080">
                  <c:v>42766</c:v>
                </c:pt>
                <c:pt idx="1081">
                  <c:v>42767</c:v>
                </c:pt>
                <c:pt idx="1082">
                  <c:v>42768</c:v>
                </c:pt>
                <c:pt idx="1083">
                  <c:v>42769</c:v>
                </c:pt>
                <c:pt idx="1084">
                  <c:v>42772</c:v>
                </c:pt>
                <c:pt idx="1085">
                  <c:v>42773</c:v>
                </c:pt>
                <c:pt idx="1086">
                  <c:v>42774</c:v>
                </c:pt>
                <c:pt idx="1087">
                  <c:v>42775</c:v>
                </c:pt>
                <c:pt idx="1088">
                  <c:v>42776</c:v>
                </c:pt>
                <c:pt idx="1089">
                  <c:v>42779</c:v>
                </c:pt>
              </c:numCache>
            </c:numRef>
          </c:cat>
          <c:val>
            <c:numRef>
              <c:f>BollingerBand_Nifty!$E$2:$E$1091</c:f>
              <c:numCache>
                <c:formatCode>General</c:formatCode>
                <c:ptCount val="1090"/>
                <c:pt idx="19">
                  <c:v>5788.4158585047962</c:v>
                </c:pt>
                <c:pt idx="20">
                  <c:v>5787.8067636556034</c:v>
                </c:pt>
                <c:pt idx="21">
                  <c:v>5784.6128965061462</c:v>
                </c:pt>
                <c:pt idx="22">
                  <c:v>5780.5935166995278</c:v>
                </c:pt>
                <c:pt idx="23">
                  <c:v>5766.533854488117</c:v>
                </c:pt>
                <c:pt idx="24">
                  <c:v>5766.3172904361982</c:v>
                </c:pt>
                <c:pt idx="25">
                  <c:v>5768.4543017162687</c:v>
                </c:pt>
                <c:pt idx="26">
                  <c:v>5768.6063664824269</c:v>
                </c:pt>
                <c:pt idx="27">
                  <c:v>5768.2990525075948</c:v>
                </c:pt>
                <c:pt idx="28">
                  <c:v>5767.1771964379777</c:v>
                </c:pt>
                <c:pt idx="29">
                  <c:v>5767.2649920663825</c:v>
                </c:pt>
                <c:pt idx="30">
                  <c:v>5765.569140672811</c:v>
                </c:pt>
                <c:pt idx="31">
                  <c:v>5771.5577480146021</c:v>
                </c:pt>
                <c:pt idx="32">
                  <c:v>5769.517324779642</c:v>
                </c:pt>
                <c:pt idx="33">
                  <c:v>5748.9599469396071</c:v>
                </c:pt>
                <c:pt idx="34">
                  <c:v>5739.4955633325126</c:v>
                </c:pt>
                <c:pt idx="35">
                  <c:v>5742.1790411108086</c:v>
                </c:pt>
                <c:pt idx="36">
                  <c:v>5745.4954974614593</c:v>
                </c:pt>
                <c:pt idx="37">
                  <c:v>5758.9825046908518</c:v>
                </c:pt>
                <c:pt idx="38">
                  <c:v>5763.8035452935455</c:v>
                </c:pt>
                <c:pt idx="39">
                  <c:v>5764.2052659527872</c:v>
                </c:pt>
                <c:pt idx="40">
                  <c:v>5764.0260563077109</c:v>
                </c:pt>
                <c:pt idx="41">
                  <c:v>5763.5328758118931</c:v>
                </c:pt>
                <c:pt idx="42">
                  <c:v>5763.4526095533811</c:v>
                </c:pt>
                <c:pt idx="43">
                  <c:v>5761.3009444154168</c:v>
                </c:pt>
                <c:pt idx="44">
                  <c:v>5769.337123983837</c:v>
                </c:pt>
                <c:pt idx="45">
                  <c:v>5771.0951490153739</c:v>
                </c:pt>
                <c:pt idx="46">
                  <c:v>5773.399117761136</c:v>
                </c:pt>
                <c:pt idx="47">
                  <c:v>5770.7779784571412</c:v>
                </c:pt>
                <c:pt idx="48">
                  <c:v>5765.5751239212577</c:v>
                </c:pt>
                <c:pt idx="49">
                  <c:v>5764.3530309881307</c:v>
                </c:pt>
                <c:pt idx="50">
                  <c:v>5762.9938426255167</c:v>
                </c:pt>
                <c:pt idx="51">
                  <c:v>5771.2306602799636</c:v>
                </c:pt>
                <c:pt idx="52">
                  <c:v>5779.0452966710436</c:v>
                </c:pt>
                <c:pt idx="53">
                  <c:v>5808.1731557350204</c:v>
                </c:pt>
                <c:pt idx="54">
                  <c:v>5845.8144256524856</c:v>
                </c:pt>
                <c:pt idx="55">
                  <c:v>5874.5899124286161</c:v>
                </c:pt>
                <c:pt idx="56">
                  <c:v>5902.889442912593</c:v>
                </c:pt>
                <c:pt idx="57">
                  <c:v>5927.6737337775176</c:v>
                </c:pt>
                <c:pt idx="58">
                  <c:v>5958.8780438497542</c:v>
                </c:pt>
                <c:pt idx="59">
                  <c:v>5984.0383108634596</c:v>
                </c:pt>
                <c:pt idx="60">
                  <c:v>6006.8562425574055</c:v>
                </c:pt>
                <c:pt idx="61">
                  <c:v>6025.4930707466347</c:v>
                </c:pt>
                <c:pt idx="62">
                  <c:v>6040.332311142698</c:v>
                </c:pt>
                <c:pt idx="63">
                  <c:v>6047.2418046001485</c:v>
                </c:pt>
                <c:pt idx="64">
                  <c:v>6050.0617490949035</c:v>
                </c:pt>
                <c:pt idx="65">
                  <c:v>6045.580580913519</c:v>
                </c:pt>
                <c:pt idx="66">
                  <c:v>6039.8700520062985</c:v>
                </c:pt>
                <c:pt idx="67">
                  <c:v>6039.249049523808</c:v>
                </c:pt>
                <c:pt idx="68">
                  <c:v>6032.5167329882697</c:v>
                </c:pt>
                <c:pt idx="69">
                  <c:v>6011.7000902578411</c:v>
                </c:pt>
                <c:pt idx="70">
                  <c:v>5981.4417977741423</c:v>
                </c:pt>
                <c:pt idx="71">
                  <c:v>5969.099172625024</c:v>
                </c:pt>
                <c:pt idx="72">
                  <c:v>5942.3706939381982</c:v>
                </c:pt>
                <c:pt idx="73">
                  <c:v>5939.6601868736143</c:v>
                </c:pt>
                <c:pt idx="74">
                  <c:v>5941.1510347811236</c:v>
                </c:pt>
                <c:pt idx="75">
                  <c:v>5964.0098868257237</c:v>
                </c:pt>
                <c:pt idx="76">
                  <c:v>5986.6110704745697</c:v>
                </c:pt>
                <c:pt idx="77">
                  <c:v>6006.467495582142</c:v>
                </c:pt>
                <c:pt idx="78">
                  <c:v>6015.282135572088</c:v>
                </c:pt>
                <c:pt idx="79">
                  <c:v>6027.482749308112</c:v>
                </c:pt>
                <c:pt idx="80">
                  <c:v>6033.215012719842</c:v>
                </c:pt>
                <c:pt idx="81">
                  <c:v>6038.3002559473862</c:v>
                </c:pt>
                <c:pt idx="82">
                  <c:v>6040.8843296415353</c:v>
                </c:pt>
                <c:pt idx="83">
                  <c:v>6051.7768019926407</c:v>
                </c:pt>
                <c:pt idx="84">
                  <c:v>6069.4734828848932</c:v>
                </c:pt>
                <c:pt idx="85">
                  <c:v>6072.3945125130349</c:v>
                </c:pt>
                <c:pt idx="86">
                  <c:v>6082.807093404941</c:v>
                </c:pt>
                <c:pt idx="87">
                  <c:v>6097.3957511738281</c:v>
                </c:pt>
                <c:pt idx="88">
                  <c:v>6113.474969338662</c:v>
                </c:pt>
                <c:pt idx="89">
                  <c:v>6114.1738367845392</c:v>
                </c:pt>
                <c:pt idx="90">
                  <c:v>6113.0982447130291</c:v>
                </c:pt>
                <c:pt idx="91">
                  <c:v>6111.9259281050017</c:v>
                </c:pt>
                <c:pt idx="92">
                  <c:v>6109.4727301341773</c:v>
                </c:pt>
                <c:pt idx="93">
                  <c:v>6109.9819297660206</c:v>
                </c:pt>
                <c:pt idx="94">
                  <c:v>6101.6423323194285</c:v>
                </c:pt>
                <c:pt idx="95">
                  <c:v>6104.4973111262107</c:v>
                </c:pt>
                <c:pt idx="96">
                  <c:v>6105.333342759327</c:v>
                </c:pt>
                <c:pt idx="97">
                  <c:v>6105.459849228223</c:v>
                </c:pt>
                <c:pt idx="98">
                  <c:v>6105.527922768707</c:v>
                </c:pt>
                <c:pt idx="99">
                  <c:v>6108.8722048332011</c:v>
                </c:pt>
                <c:pt idx="100">
                  <c:v>6110.1083381241979</c:v>
                </c:pt>
                <c:pt idx="101">
                  <c:v>6113.6896498698288</c:v>
                </c:pt>
                <c:pt idx="102">
                  <c:v>6121.3586347942055</c:v>
                </c:pt>
                <c:pt idx="103">
                  <c:v>6129.2117639165472</c:v>
                </c:pt>
                <c:pt idx="104">
                  <c:v>6127.8266816007117</c:v>
                </c:pt>
                <c:pt idx="105">
                  <c:v>6129.0346901592075</c:v>
                </c:pt>
                <c:pt idx="106">
                  <c:v>6129.6721045440336</c:v>
                </c:pt>
                <c:pt idx="107">
                  <c:v>6125.632428282026</c:v>
                </c:pt>
                <c:pt idx="108">
                  <c:v>6114.7090492041834</c:v>
                </c:pt>
                <c:pt idx="109">
                  <c:v>6106.3204923195208</c:v>
                </c:pt>
                <c:pt idx="110">
                  <c:v>6095.8316582078069</c:v>
                </c:pt>
                <c:pt idx="111">
                  <c:v>6095.1642746552188</c:v>
                </c:pt>
                <c:pt idx="112">
                  <c:v>6081.1800855419888</c:v>
                </c:pt>
                <c:pt idx="113">
                  <c:v>6062.5116243638013</c:v>
                </c:pt>
                <c:pt idx="114">
                  <c:v>6059.830592993947</c:v>
                </c:pt>
                <c:pt idx="115">
                  <c:v>6043.164133879779</c:v>
                </c:pt>
                <c:pt idx="116">
                  <c:v>6045.4240544615259</c:v>
                </c:pt>
                <c:pt idx="117">
                  <c:v>6041.6909073858342</c:v>
                </c:pt>
                <c:pt idx="118">
                  <c:v>6034.942571759062</c:v>
                </c:pt>
                <c:pt idx="119">
                  <c:v>6029.4797008328142</c:v>
                </c:pt>
                <c:pt idx="120">
                  <c:v>6020.0640268854622</c:v>
                </c:pt>
                <c:pt idx="121">
                  <c:v>6011.094014746951</c:v>
                </c:pt>
                <c:pt idx="122">
                  <c:v>6005.1626724155904</c:v>
                </c:pt>
                <c:pt idx="123">
                  <c:v>6012.2765522738737</c:v>
                </c:pt>
                <c:pt idx="124">
                  <c:v>6010.9690898754852</c:v>
                </c:pt>
                <c:pt idx="125">
                  <c:v>6000.3161335288751</c:v>
                </c:pt>
                <c:pt idx="126">
                  <c:v>6002.0705019942179</c:v>
                </c:pt>
                <c:pt idx="127">
                  <c:v>6000.301232160682</c:v>
                </c:pt>
                <c:pt idx="128">
                  <c:v>5993.5596273352066</c:v>
                </c:pt>
                <c:pt idx="129">
                  <c:v>5976.5793562864073</c:v>
                </c:pt>
                <c:pt idx="130">
                  <c:v>5958.5187011705812</c:v>
                </c:pt>
                <c:pt idx="131">
                  <c:v>5957.1425337362471</c:v>
                </c:pt>
                <c:pt idx="132">
                  <c:v>5954.1332980013158</c:v>
                </c:pt>
                <c:pt idx="133">
                  <c:v>5949.4975005540282</c:v>
                </c:pt>
                <c:pt idx="134">
                  <c:v>5951.4166287626222</c:v>
                </c:pt>
                <c:pt idx="135">
                  <c:v>5949.4439244196701</c:v>
                </c:pt>
                <c:pt idx="136">
                  <c:v>5949.6065488076301</c:v>
                </c:pt>
                <c:pt idx="137">
                  <c:v>5949.4398928734736</c:v>
                </c:pt>
                <c:pt idx="138">
                  <c:v>5950.3919275822791</c:v>
                </c:pt>
                <c:pt idx="139">
                  <c:v>5950.6360012090045</c:v>
                </c:pt>
                <c:pt idx="140">
                  <c:v>5957.515464852394</c:v>
                </c:pt>
                <c:pt idx="141">
                  <c:v>5964.8040280208588</c:v>
                </c:pt>
                <c:pt idx="142">
                  <c:v>5970.9544870742739</c:v>
                </c:pt>
                <c:pt idx="143">
                  <c:v>5946.1581381024962</c:v>
                </c:pt>
                <c:pt idx="144">
                  <c:v>5914.5253654174167</c:v>
                </c:pt>
                <c:pt idx="145">
                  <c:v>5890.7178727124438</c:v>
                </c:pt>
                <c:pt idx="146">
                  <c:v>5849.5970580836556</c:v>
                </c:pt>
                <c:pt idx="147">
                  <c:v>5807.8498894343284</c:v>
                </c:pt>
                <c:pt idx="148">
                  <c:v>5775.4603207326436</c:v>
                </c:pt>
                <c:pt idx="149">
                  <c:v>5765.0153880391299</c:v>
                </c:pt>
                <c:pt idx="150">
                  <c:v>5783.5757571522881</c:v>
                </c:pt>
                <c:pt idx="151">
                  <c:v>5804.055607213395</c:v>
                </c:pt>
                <c:pt idx="152">
                  <c:v>5835.1547026419958</c:v>
                </c:pt>
                <c:pt idx="153">
                  <c:v>5863.4907933476552</c:v>
                </c:pt>
                <c:pt idx="154">
                  <c:v>5888.2317906420158</c:v>
                </c:pt>
                <c:pt idx="155">
                  <c:v>5928.0600873000876</c:v>
                </c:pt>
                <c:pt idx="156">
                  <c:v>5951.9208554207789</c:v>
                </c:pt>
                <c:pt idx="157">
                  <c:v>5978.9779587618041</c:v>
                </c:pt>
                <c:pt idx="158">
                  <c:v>6006.0701231094672</c:v>
                </c:pt>
                <c:pt idx="159">
                  <c:v>6034.3508715171956</c:v>
                </c:pt>
                <c:pt idx="160">
                  <c:v>6071.0147110936769</c:v>
                </c:pt>
                <c:pt idx="161">
                  <c:v>6089.7069862982007</c:v>
                </c:pt>
                <c:pt idx="162">
                  <c:v>6106.8324759134985</c:v>
                </c:pt>
                <c:pt idx="163">
                  <c:v>6124.2695375955118</c:v>
                </c:pt>
                <c:pt idx="164">
                  <c:v>6146.57532013131</c:v>
                </c:pt>
                <c:pt idx="165">
                  <c:v>6161.4067349521465</c:v>
                </c:pt>
                <c:pt idx="166">
                  <c:v>6164.4498956095968</c:v>
                </c:pt>
                <c:pt idx="167">
                  <c:v>6143.3943210769739</c:v>
                </c:pt>
                <c:pt idx="168">
                  <c:v>6137.6935877246569</c:v>
                </c:pt>
                <c:pt idx="169">
                  <c:v>6152.8628345695934</c:v>
                </c:pt>
                <c:pt idx="170">
                  <c:v>6180.2222696242534</c:v>
                </c:pt>
                <c:pt idx="171">
                  <c:v>6204.2351504721</c:v>
                </c:pt>
                <c:pt idx="172">
                  <c:v>6220.9703189019201</c:v>
                </c:pt>
                <c:pt idx="173">
                  <c:v>6225.8137031907054</c:v>
                </c:pt>
                <c:pt idx="174">
                  <c:v>6223.6165940138726</c:v>
                </c:pt>
                <c:pt idx="175">
                  <c:v>6221.2703159031144</c:v>
                </c:pt>
                <c:pt idx="176">
                  <c:v>6213.1939282417206</c:v>
                </c:pt>
                <c:pt idx="177">
                  <c:v>6211.7013710754109</c:v>
                </c:pt>
                <c:pt idx="178">
                  <c:v>6213.8698760017696</c:v>
                </c:pt>
                <c:pt idx="179">
                  <c:v>6212.6598141525537</c:v>
                </c:pt>
                <c:pt idx="180">
                  <c:v>6218.0564688916065</c:v>
                </c:pt>
                <c:pt idx="181">
                  <c:v>6213.7313988223787</c:v>
                </c:pt>
                <c:pt idx="182">
                  <c:v>6217.4873329933962</c:v>
                </c:pt>
                <c:pt idx="183">
                  <c:v>6225.7253488738024</c:v>
                </c:pt>
                <c:pt idx="184">
                  <c:v>6230.0805806014268</c:v>
                </c:pt>
                <c:pt idx="185">
                  <c:v>6233.9037798701829</c:v>
                </c:pt>
                <c:pt idx="186">
                  <c:v>6236.6712850567674</c:v>
                </c:pt>
                <c:pt idx="187">
                  <c:v>6242.9958681094595</c:v>
                </c:pt>
                <c:pt idx="188">
                  <c:v>6259.5175876069425</c:v>
                </c:pt>
                <c:pt idx="189">
                  <c:v>6260.3671256592506</c:v>
                </c:pt>
                <c:pt idx="190">
                  <c:v>6258.5556382004497</c:v>
                </c:pt>
                <c:pt idx="191">
                  <c:v>6231.9824540755681</c:v>
                </c:pt>
                <c:pt idx="192">
                  <c:v>6204.6564643970132</c:v>
                </c:pt>
                <c:pt idx="193">
                  <c:v>6183.5495579312756</c:v>
                </c:pt>
                <c:pt idx="194">
                  <c:v>6162.2284870088533</c:v>
                </c:pt>
                <c:pt idx="195">
                  <c:v>6171.9365172314765</c:v>
                </c:pt>
                <c:pt idx="196">
                  <c:v>6172.7182931614279</c:v>
                </c:pt>
                <c:pt idx="197">
                  <c:v>6161.5023503832308</c:v>
                </c:pt>
                <c:pt idx="198">
                  <c:v>6132.665543771539</c:v>
                </c:pt>
                <c:pt idx="199">
                  <c:v>6098.5933495396803</c:v>
                </c:pt>
                <c:pt idx="200">
                  <c:v>6041.0048130304367</c:v>
                </c:pt>
                <c:pt idx="201">
                  <c:v>6017.8763892267225</c:v>
                </c:pt>
                <c:pt idx="202">
                  <c:v>6010.8159890761499</c:v>
                </c:pt>
                <c:pt idx="203">
                  <c:v>6001.4234836875885</c:v>
                </c:pt>
                <c:pt idx="204">
                  <c:v>5982.8607844665212</c:v>
                </c:pt>
                <c:pt idx="205">
                  <c:v>5969.1030812235358</c:v>
                </c:pt>
                <c:pt idx="206">
                  <c:v>5966.9598575745576</c:v>
                </c:pt>
                <c:pt idx="207">
                  <c:v>5957.8915676369934</c:v>
                </c:pt>
                <c:pt idx="208">
                  <c:v>5965.9332040901227</c:v>
                </c:pt>
                <c:pt idx="209">
                  <c:v>5970.0783097665171</c:v>
                </c:pt>
                <c:pt idx="210">
                  <c:v>5992.3363802399954</c:v>
                </c:pt>
                <c:pt idx="211">
                  <c:v>6025.7458019588166</c:v>
                </c:pt>
                <c:pt idx="212">
                  <c:v>6057.3062395062871</c:v>
                </c:pt>
                <c:pt idx="213">
                  <c:v>6073.7275815259527</c:v>
                </c:pt>
                <c:pt idx="214">
                  <c:v>6091.582469632699</c:v>
                </c:pt>
                <c:pt idx="215">
                  <c:v>6117.6683875767285</c:v>
                </c:pt>
                <c:pt idx="216">
                  <c:v>6137.6924074923627</c:v>
                </c:pt>
                <c:pt idx="217">
                  <c:v>6143.0737146882257</c:v>
                </c:pt>
                <c:pt idx="218">
                  <c:v>6151.3370881998089</c:v>
                </c:pt>
                <c:pt idx="219">
                  <c:v>6129.5991023015786</c:v>
                </c:pt>
                <c:pt idx="220">
                  <c:v>6110.7071838912634</c:v>
                </c:pt>
                <c:pt idx="221">
                  <c:v>6109.6567186757557</c:v>
                </c:pt>
                <c:pt idx="222">
                  <c:v>6111.113719651923</c:v>
                </c:pt>
                <c:pt idx="223">
                  <c:v>6119.1451191218948</c:v>
                </c:pt>
                <c:pt idx="224">
                  <c:v>6122.6525233834291</c:v>
                </c:pt>
                <c:pt idx="225">
                  <c:v>6131.8199350513532</c:v>
                </c:pt>
                <c:pt idx="226">
                  <c:v>6146.0146434243825</c:v>
                </c:pt>
                <c:pt idx="227">
                  <c:v>6155.938384714309</c:v>
                </c:pt>
                <c:pt idx="228">
                  <c:v>6185.148047932068</c:v>
                </c:pt>
                <c:pt idx="229">
                  <c:v>6210.3811495353439</c:v>
                </c:pt>
                <c:pt idx="230">
                  <c:v>6215.5064633038592</c:v>
                </c:pt>
                <c:pt idx="231">
                  <c:v>6205.9516215420172</c:v>
                </c:pt>
                <c:pt idx="232">
                  <c:v>6183.7720631346656</c:v>
                </c:pt>
                <c:pt idx="233">
                  <c:v>6166.9697232945464</c:v>
                </c:pt>
                <c:pt idx="234">
                  <c:v>6146.1187784653312</c:v>
                </c:pt>
                <c:pt idx="235">
                  <c:v>6110.9261022372275</c:v>
                </c:pt>
                <c:pt idx="236">
                  <c:v>6080.0536847732801</c:v>
                </c:pt>
                <c:pt idx="237">
                  <c:v>6049.8973091100752</c:v>
                </c:pt>
                <c:pt idx="238">
                  <c:v>5995.866284547652</c:v>
                </c:pt>
                <c:pt idx="239">
                  <c:v>5966.9117337258995</c:v>
                </c:pt>
                <c:pt idx="240">
                  <c:v>5932.4600778838412</c:v>
                </c:pt>
                <c:pt idx="241">
                  <c:v>5890.9397604104433</c:v>
                </c:pt>
                <c:pt idx="242">
                  <c:v>5855.6451609513751</c:v>
                </c:pt>
                <c:pt idx="243">
                  <c:v>5847.8154376022294</c:v>
                </c:pt>
                <c:pt idx="244">
                  <c:v>5834.560793975591</c:v>
                </c:pt>
                <c:pt idx="245">
                  <c:v>5808.5609031276481</c:v>
                </c:pt>
                <c:pt idx="246">
                  <c:v>5788.5869753714487</c:v>
                </c:pt>
                <c:pt idx="247">
                  <c:v>5769.9990482574876</c:v>
                </c:pt>
                <c:pt idx="248">
                  <c:v>5767.9390933164113</c:v>
                </c:pt>
                <c:pt idx="249">
                  <c:v>5764.5710746716168</c:v>
                </c:pt>
                <c:pt idx="250">
                  <c:v>5767.8510390152287</c:v>
                </c:pt>
                <c:pt idx="251">
                  <c:v>5784.8358356086201</c:v>
                </c:pt>
                <c:pt idx="252">
                  <c:v>5795.6004547547363</c:v>
                </c:pt>
                <c:pt idx="253">
                  <c:v>5844.1933945674355</c:v>
                </c:pt>
                <c:pt idx="254">
                  <c:v>5884.9671050852467</c:v>
                </c:pt>
                <c:pt idx="255">
                  <c:v>5907.2152426764633</c:v>
                </c:pt>
                <c:pt idx="256">
                  <c:v>5951.5251133580578</c:v>
                </c:pt>
                <c:pt idx="257">
                  <c:v>5989.8201263703986</c:v>
                </c:pt>
                <c:pt idx="258">
                  <c:v>6024.4711734502398</c:v>
                </c:pt>
                <c:pt idx="259">
                  <c:v>6055.9122534443468</c:v>
                </c:pt>
                <c:pt idx="260">
                  <c:v>6133.9971930474176</c:v>
                </c:pt>
                <c:pt idx="261">
                  <c:v>6179.9326118259696</c:v>
                </c:pt>
                <c:pt idx="262">
                  <c:v>6200.620618517637</c:v>
                </c:pt>
                <c:pt idx="263">
                  <c:v>6200.1965519411733</c:v>
                </c:pt>
                <c:pt idx="264">
                  <c:v>6186.3579252934351</c:v>
                </c:pt>
                <c:pt idx="265">
                  <c:v>6181.6950463616204</c:v>
                </c:pt>
                <c:pt idx="266">
                  <c:v>6173.9203221471498</c:v>
                </c:pt>
                <c:pt idx="267">
                  <c:v>6166.7777081493759</c:v>
                </c:pt>
                <c:pt idx="268">
                  <c:v>6116.9193697660075</c:v>
                </c:pt>
                <c:pt idx="269">
                  <c:v>6081.1064545607687</c:v>
                </c:pt>
                <c:pt idx="270">
                  <c:v>6064.0985067083111</c:v>
                </c:pt>
                <c:pt idx="271">
                  <c:v>6056.0879472246779</c:v>
                </c:pt>
                <c:pt idx="272">
                  <c:v>6044.3227365838748</c:v>
                </c:pt>
                <c:pt idx="273">
                  <c:v>6058.7160745016708</c:v>
                </c:pt>
                <c:pt idx="274">
                  <c:v>6073.5371519868258</c:v>
                </c:pt>
                <c:pt idx="275">
                  <c:v>6104.9376401247555</c:v>
                </c:pt>
                <c:pt idx="276">
                  <c:v>6135.3919528339302</c:v>
                </c:pt>
                <c:pt idx="277">
                  <c:v>6156.0742188028753</c:v>
                </c:pt>
                <c:pt idx="278">
                  <c:v>6166.9883130696489</c:v>
                </c:pt>
                <c:pt idx="279">
                  <c:v>6205.2320332276349</c:v>
                </c:pt>
                <c:pt idx="280">
                  <c:v>6224.4338572790894</c:v>
                </c:pt>
                <c:pt idx="281">
                  <c:v>6254.4056274422883</c:v>
                </c:pt>
                <c:pt idx="282">
                  <c:v>6279.8227673597594</c:v>
                </c:pt>
                <c:pt idx="283">
                  <c:v>6299.6255986158012</c:v>
                </c:pt>
                <c:pt idx="284">
                  <c:v>6313.0217623094741</c:v>
                </c:pt>
                <c:pt idx="285">
                  <c:v>6319.1381580044435</c:v>
                </c:pt>
                <c:pt idx="286">
                  <c:v>6335.5519524443234</c:v>
                </c:pt>
                <c:pt idx="287">
                  <c:v>6335.011241109748</c:v>
                </c:pt>
                <c:pt idx="288">
                  <c:v>6340.7911253461371</c:v>
                </c:pt>
                <c:pt idx="289">
                  <c:v>6360.4748312703114</c:v>
                </c:pt>
                <c:pt idx="290">
                  <c:v>6363.0413432779278</c:v>
                </c:pt>
                <c:pt idx="291">
                  <c:v>6353.1855682242767</c:v>
                </c:pt>
                <c:pt idx="292">
                  <c:v>6336.8710259091304</c:v>
                </c:pt>
                <c:pt idx="293">
                  <c:v>6327.4976306185163</c:v>
                </c:pt>
                <c:pt idx="294">
                  <c:v>6320.4978971852152</c:v>
                </c:pt>
                <c:pt idx="295">
                  <c:v>6329.0066230417015</c:v>
                </c:pt>
                <c:pt idx="296">
                  <c:v>6340.7853577198821</c:v>
                </c:pt>
                <c:pt idx="297">
                  <c:v>6342.6611472925006</c:v>
                </c:pt>
                <c:pt idx="298">
                  <c:v>6341.4929584495349</c:v>
                </c:pt>
                <c:pt idx="299">
                  <c:v>6342.6445635774253</c:v>
                </c:pt>
                <c:pt idx="300">
                  <c:v>6338.9781913124589</c:v>
                </c:pt>
                <c:pt idx="301">
                  <c:v>6343.1452619774591</c:v>
                </c:pt>
                <c:pt idx="302">
                  <c:v>6346.8474923055192</c:v>
                </c:pt>
                <c:pt idx="303">
                  <c:v>6344.6976547000522</c:v>
                </c:pt>
                <c:pt idx="304">
                  <c:v>6344.010646919638</c:v>
                </c:pt>
                <c:pt idx="305">
                  <c:v>6344.5171648794367</c:v>
                </c:pt>
                <c:pt idx="306">
                  <c:v>6335.1980237770676</c:v>
                </c:pt>
                <c:pt idx="307">
                  <c:v>6324.7222418600013</c:v>
                </c:pt>
                <c:pt idx="308">
                  <c:v>6308.7592102514473</c:v>
                </c:pt>
                <c:pt idx="309">
                  <c:v>6286.7373263275504</c:v>
                </c:pt>
                <c:pt idx="310">
                  <c:v>6271.2903882958481</c:v>
                </c:pt>
                <c:pt idx="311">
                  <c:v>6276.483225253648</c:v>
                </c:pt>
                <c:pt idx="312">
                  <c:v>6289.9265184427923</c:v>
                </c:pt>
                <c:pt idx="313">
                  <c:v>6333.2022633953147</c:v>
                </c:pt>
                <c:pt idx="314">
                  <c:v>6363.4557729053777</c:v>
                </c:pt>
                <c:pt idx="315">
                  <c:v>6381.5533455722407</c:v>
                </c:pt>
                <c:pt idx="316">
                  <c:v>6382.0244662441073</c:v>
                </c:pt>
                <c:pt idx="317">
                  <c:v>6380.8627780173083</c:v>
                </c:pt>
                <c:pt idx="318">
                  <c:v>6379.2299563966144</c:v>
                </c:pt>
                <c:pt idx="319">
                  <c:v>6376.0496251483528</c:v>
                </c:pt>
                <c:pt idx="320">
                  <c:v>6380.5257908885496</c:v>
                </c:pt>
                <c:pt idx="321">
                  <c:v>6371.6878930244184</c:v>
                </c:pt>
                <c:pt idx="322">
                  <c:v>6367.5271759536299</c:v>
                </c:pt>
                <c:pt idx="323">
                  <c:v>6375.6800313113054</c:v>
                </c:pt>
                <c:pt idx="324">
                  <c:v>6373.4717189781668</c:v>
                </c:pt>
                <c:pt idx="325">
                  <c:v>6367.7572675441479</c:v>
                </c:pt>
                <c:pt idx="326">
                  <c:v>6368.542968571649</c:v>
                </c:pt>
                <c:pt idx="327">
                  <c:v>6372.8846568262998</c:v>
                </c:pt>
                <c:pt idx="328">
                  <c:v>6379.2527606146614</c:v>
                </c:pt>
                <c:pt idx="329">
                  <c:v>6379.0550149840528</c:v>
                </c:pt>
                <c:pt idx="330">
                  <c:v>6376.2021886180992</c:v>
                </c:pt>
                <c:pt idx="331">
                  <c:v>6376.5671669504809</c:v>
                </c:pt>
                <c:pt idx="332">
                  <c:v>6377.3417779357924</c:v>
                </c:pt>
                <c:pt idx="333">
                  <c:v>6358.6988008659855</c:v>
                </c:pt>
                <c:pt idx="334">
                  <c:v>6344.817391966576</c:v>
                </c:pt>
                <c:pt idx="335">
                  <c:v>6333.9487970908067</c:v>
                </c:pt>
                <c:pt idx="336">
                  <c:v>6337.9589706888391</c:v>
                </c:pt>
                <c:pt idx="337">
                  <c:v>6339.1559230143521</c:v>
                </c:pt>
                <c:pt idx="338">
                  <c:v>6349.9812760315745</c:v>
                </c:pt>
                <c:pt idx="339">
                  <c:v>6355.9367560085302</c:v>
                </c:pt>
                <c:pt idx="340">
                  <c:v>6357.798038841338</c:v>
                </c:pt>
                <c:pt idx="341">
                  <c:v>6361.2747924363621</c:v>
                </c:pt>
                <c:pt idx="342">
                  <c:v>6366.3463907970799</c:v>
                </c:pt>
                <c:pt idx="343">
                  <c:v>6374.6924621991739</c:v>
                </c:pt>
                <c:pt idx="344">
                  <c:v>6385.0648033587386</c:v>
                </c:pt>
                <c:pt idx="345">
                  <c:v>6384.194575147797</c:v>
                </c:pt>
                <c:pt idx="346">
                  <c:v>6384.146848849442</c:v>
                </c:pt>
                <c:pt idx="347">
                  <c:v>6385.4611537122701</c:v>
                </c:pt>
                <c:pt idx="348">
                  <c:v>6383.112563957874</c:v>
                </c:pt>
                <c:pt idx="349">
                  <c:v>6391.9256784082636</c:v>
                </c:pt>
                <c:pt idx="350">
                  <c:v>6396.7036785884711</c:v>
                </c:pt>
                <c:pt idx="351">
                  <c:v>6412.2342080965745</c:v>
                </c:pt>
                <c:pt idx="352">
                  <c:v>6424.1909873563736</c:v>
                </c:pt>
                <c:pt idx="353">
                  <c:v>6430.5967739396519</c:v>
                </c:pt>
                <c:pt idx="354">
                  <c:v>6434.2801326844456</c:v>
                </c:pt>
                <c:pt idx="355">
                  <c:v>6435.0991647433257</c:v>
                </c:pt>
                <c:pt idx="356">
                  <c:v>6426.7158532794747</c:v>
                </c:pt>
                <c:pt idx="357">
                  <c:v>6419.9748504575364</c:v>
                </c:pt>
                <c:pt idx="358">
                  <c:v>6399.1417278162926</c:v>
                </c:pt>
                <c:pt idx="359">
                  <c:v>6378.639452592618</c:v>
                </c:pt>
                <c:pt idx="360">
                  <c:v>6363.2779039382467</c:v>
                </c:pt>
                <c:pt idx="361">
                  <c:v>6337.0733397818494</c:v>
                </c:pt>
                <c:pt idx="362">
                  <c:v>6307.1150128473028</c:v>
                </c:pt>
                <c:pt idx="363">
                  <c:v>6267.2077702662882</c:v>
                </c:pt>
                <c:pt idx="364">
                  <c:v>6207.7556811379063</c:v>
                </c:pt>
                <c:pt idx="365">
                  <c:v>6174.6071161471054</c:v>
                </c:pt>
                <c:pt idx="366">
                  <c:v>6185.7259190628574</c:v>
                </c:pt>
                <c:pt idx="367">
                  <c:v>6200.8088058731855</c:v>
                </c:pt>
                <c:pt idx="368">
                  <c:v>6225.1612465287362</c:v>
                </c:pt>
                <c:pt idx="369">
                  <c:v>6258.9323778929529</c:v>
                </c:pt>
                <c:pt idx="370">
                  <c:v>6274.5933427434193</c:v>
                </c:pt>
                <c:pt idx="371">
                  <c:v>6302.6903932855521</c:v>
                </c:pt>
                <c:pt idx="372">
                  <c:v>6332.4964283171066</c:v>
                </c:pt>
                <c:pt idx="373">
                  <c:v>6376.6958282056312</c:v>
                </c:pt>
                <c:pt idx="374">
                  <c:v>6449.2007919176922</c:v>
                </c:pt>
                <c:pt idx="375">
                  <c:v>6510.5556968948622</c:v>
                </c:pt>
                <c:pt idx="376">
                  <c:v>6554.1337515906116</c:v>
                </c:pt>
                <c:pt idx="377">
                  <c:v>6591.7499670603138</c:v>
                </c:pt>
                <c:pt idx="378">
                  <c:v>6619.5260006559911</c:v>
                </c:pt>
                <c:pt idx="379">
                  <c:v>6635.7208453157109</c:v>
                </c:pt>
                <c:pt idx="380">
                  <c:v>6652.2237071758109</c:v>
                </c:pt>
                <c:pt idx="381">
                  <c:v>6665.9939185077874</c:v>
                </c:pt>
                <c:pt idx="382">
                  <c:v>6673.4481141640417</c:v>
                </c:pt>
                <c:pt idx="383">
                  <c:v>6680.3575719367582</c:v>
                </c:pt>
                <c:pt idx="384">
                  <c:v>6687.4562195831104</c:v>
                </c:pt>
                <c:pt idx="385">
                  <c:v>6696.7892252189831</c:v>
                </c:pt>
                <c:pt idx="386">
                  <c:v>6705.1389369469161</c:v>
                </c:pt>
                <c:pt idx="387">
                  <c:v>6715.4703653927982</c:v>
                </c:pt>
                <c:pt idx="388">
                  <c:v>6735.0476786280533</c:v>
                </c:pt>
                <c:pt idx="389">
                  <c:v>6753.7169743585091</c:v>
                </c:pt>
                <c:pt idx="390">
                  <c:v>6756.2662368322935</c:v>
                </c:pt>
                <c:pt idx="391">
                  <c:v>6770.3474355117887</c:v>
                </c:pt>
                <c:pt idx="392">
                  <c:v>6776.5606239666413</c:v>
                </c:pt>
                <c:pt idx="393">
                  <c:v>6779.6758145555723</c:v>
                </c:pt>
                <c:pt idx="394">
                  <c:v>6790.9477937199117</c:v>
                </c:pt>
                <c:pt idx="395">
                  <c:v>6820.4222082593742</c:v>
                </c:pt>
                <c:pt idx="396">
                  <c:v>6844.3123385114013</c:v>
                </c:pt>
                <c:pt idx="397">
                  <c:v>6860.5604544837106</c:v>
                </c:pt>
                <c:pt idx="398">
                  <c:v>6864.9067287470389</c:v>
                </c:pt>
                <c:pt idx="399">
                  <c:v>6861.905957029222</c:v>
                </c:pt>
                <c:pt idx="400">
                  <c:v>6869.7449150628572</c:v>
                </c:pt>
                <c:pt idx="401">
                  <c:v>6881.2080989337637</c:v>
                </c:pt>
                <c:pt idx="402">
                  <c:v>6879.7923608959072</c:v>
                </c:pt>
                <c:pt idx="403">
                  <c:v>6876.4352316134746</c:v>
                </c:pt>
                <c:pt idx="404">
                  <c:v>6873.86988921988</c:v>
                </c:pt>
                <c:pt idx="405">
                  <c:v>6865.9121908534644</c:v>
                </c:pt>
                <c:pt idx="406">
                  <c:v>6854.0075903608613</c:v>
                </c:pt>
                <c:pt idx="407">
                  <c:v>6847.9413414021801</c:v>
                </c:pt>
                <c:pt idx="408">
                  <c:v>6848.0127420742538</c:v>
                </c:pt>
                <c:pt idx="409">
                  <c:v>6848.2580310775138</c:v>
                </c:pt>
                <c:pt idx="410">
                  <c:v>6848.3435340457791</c:v>
                </c:pt>
                <c:pt idx="411">
                  <c:v>6852.1697555156779</c:v>
                </c:pt>
                <c:pt idx="412">
                  <c:v>6854.6555815199818</c:v>
                </c:pt>
                <c:pt idx="413">
                  <c:v>6872.3204428328909</c:v>
                </c:pt>
                <c:pt idx="414">
                  <c:v>6933.4083337651937</c:v>
                </c:pt>
                <c:pt idx="415">
                  <c:v>7008.698568736485</c:v>
                </c:pt>
                <c:pt idx="416">
                  <c:v>7067.6225981914813</c:v>
                </c:pt>
                <c:pt idx="417">
                  <c:v>7121.5857889705439</c:v>
                </c:pt>
                <c:pt idx="418">
                  <c:v>7188.0888486104041</c:v>
                </c:pt>
                <c:pt idx="419">
                  <c:v>7257.0098819050181</c:v>
                </c:pt>
                <c:pt idx="420">
                  <c:v>7319.8533660890844</c:v>
                </c:pt>
                <c:pt idx="421">
                  <c:v>7369.3193375277961</c:v>
                </c:pt>
                <c:pt idx="422">
                  <c:v>7417.6243204681841</c:v>
                </c:pt>
                <c:pt idx="423">
                  <c:v>7478.4458604167467</c:v>
                </c:pt>
                <c:pt idx="424">
                  <c:v>7529.097567215852</c:v>
                </c:pt>
                <c:pt idx="425">
                  <c:v>7564.5836094516435</c:v>
                </c:pt>
                <c:pt idx="426">
                  <c:v>7592.6829132416442</c:v>
                </c:pt>
                <c:pt idx="427">
                  <c:v>7599.1539811603234</c:v>
                </c:pt>
                <c:pt idx="428">
                  <c:v>7597.8576697983808</c:v>
                </c:pt>
                <c:pt idx="429">
                  <c:v>7605.4873595551335</c:v>
                </c:pt>
                <c:pt idx="430">
                  <c:v>7612.1321586476506</c:v>
                </c:pt>
                <c:pt idx="431">
                  <c:v>7587.2431191769811</c:v>
                </c:pt>
                <c:pt idx="432">
                  <c:v>7545.988372083998</c:v>
                </c:pt>
                <c:pt idx="433">
                  <c:v>7557.5867233700701</c:v>
                </c:pt>
                <c:pt idx="434">
                  <c:v>7605.5806751258724</c:v>
                </c:pt>
                <c:pt idx="435">
                  <c:v>7652.9332371304163</c:v>
                </c:pt>
                <c:pt idx="436">
                  <c:v>7682.4465100704438</c:v>
                </c:pt>
                <c:pt idx="437">
                  <c:v>7709.8003445458871</c:v>
                </c:pt>
                <c:pt idx="438">
                  <c:v>7719.1918869090568</c:v>
                </c:pt>
                <c:pt idx="439">
                  <c:v>7728.5722364054254</c:v>
                </c:pt>
                <c:pt idx="440">
                  <c:v>7750.6848487284733</c:v>
                </c:pt>
                <c:pt idx="441">
                  <c:v>7755.8606278028237</c:v>
                </c:pt>
                <c:pt idx="442">
                  <c:v>7757.8630230763702</c:v>
                </c:pt>
                <c:pt idx="443">
                  <c:v>7760.9989138949895</c:v>
                </c:pt>
                <c:pt idx="444">
                  <c:v>7761.8042555752181</c:v>
                </c:pt>
                <c:pt idx="445">
                  <c:v>7765.7115515515416</c:v>
                </c:pt>
                <c:pt idx="446">
                  <c:v>7766.582844538837</c:v>
                </c:pt>
                <c:pt idx="447">
                  <c:v>7743.9748102550675</c:v>
                </c:pt>
                <c:pt idx="448">
                  <c:v>7708.5206971716334</c:v>
                </c:pt>
                <c:pt idx="449">
                  <c:v>7701.6729587089376</c:v>
                </c:pt>
                <c:pt idx="450">
                  <c:v>7702.4091984182505</c:v>
                </c:pt>
                <c:pt idx="451">
                  <c:v>7715.0155561582596</c:v>
                </c:pt>
                <c:pt idx="452">
                  <c:v>7730.5381546277349</c:v>
                </c:pt>
                <c:pt idx="453">
                  <c:v>7756.226919722325</c:v>
                </c:pt>
                <c:pt idx="454">
                  <c:v>7782.6328011448331</c:v>
                </c:pt>
                <c:pt idx="455">
                  <c:v>7779.5977798347594</c:v>
                </c:pt>
                <c:pt idx="456">
                  <c:v>7777.3739384700639</c:v>
                </c:pt>
                <c:pt idx="457">
                  <c:v>7772.413871679486</c:v>
                </c:pt>
                <c:pt idx="458">
                  <c:v>7777.5370677712026</c:v>
                </c:pt>
                <c:pt idx="459">
                  <c:v>7782.3044229660454</c:v>
                </c:pt>
                <c:pt idx="460">
                  <c:v>7778.0002591029906</c:v>
                </c:pt>
                <c:pt idx="461">
                  <c:v>7781.6585529993408</c:v>
                </c:pt>
                <c:pt idx="462">
                  <c:v>7786.6415944957298</c:v>
                </c:pt>
                <c:pt idx="463">
                  <c:v>7792.7245908575514</c:v>
                </c:pt>
                <c:pt idx="464">
                  <c:v>7798.7337138931152</c:v>
                </c:pt>
                <c:pt idx="465">
                  <c:v>7820.1143677710406</c:v>
                </c:pt>
                <c:pt idx="466">
                  <c:v>7844.6086238934367</c:v>
                </c:pt>
                <c:pt idx="467">
                  <c:v>7868.8277732205879</c:v>
                </c:pt>
                <c:pt idx="468">
                  <c:v>7881.4919581086051</c:v>
                </c:pt>
                <c:pt idx="469">
                  <c:v>7890.2813052407955</c:v>
                </c:pt>
                <c:pt idx="470">
                  <c:v>7904.0441447027615</c:v>
                </c:pt>
                <c:pt idx="471">
                  <c:v>7903.6851843713976</c:v>
                </c:pt>
                <c:pt idx="472">
                  <c:v>7899.6229081649317</c:v>
                </c:pt>
                <c:pt idx="473">
                  <c:v>7893.1732093280616</c:v>
                </c:pt>
                <c:pt idx="474">
                  <c:v>7887.3079849464484</c:v>
                </c:pt>
                <c:pt idx="475">
                  <c:v>7888.8679683984155</c:v>
                </c:pt>
                <c:pt idx="476">
                  <c:v>7888.8542453218151</c:v>
                </c:pt>
                <c:pt idx="477">
                  <c:v>7888.8146413818449</c:v>
                </c:pt>
                <c:pt idx="478">
                  <c:v>7874.6607957821325</c:v>
                </c:pt>
                <c:pt idx="479">
                  <c:v>7857.7742235750511</c:v>
                </c:pt>
                <c:pt idx="480">
                  <c:v>7849.5750368236786</c:v>
                </c:pt>
                <c:pt idx="481">
                  <c:v>7857.9780905254102</c:v>
                </c:pt>
                <c:pt idx="482">
                  <c:v>7882.4133147793946</c:v>
                </c:pt>
                <c:pt idx="483">
                  <c:v>7909.2117512179502</c:v>
                </c:pt>
                <c:pt idx="484">
                  <c:v>7927.6892957319105</c:v>
                </c:pt>
                <c:pt idx="485">
                  <c:v>7945.0678681953168</c:v>
                </c:pt>
                <c:pt idx="486">
                  <c:v>7963.3434558873487</c:v>
                </c:pt>
                <c:pt idx="487">
                  <c:v>7975.4220588458966</c:v>
                </c:pt>
                <c:pt idx="488">
                  <c:v>7990.3494743723413</c:v>
                </c:pt>
                <c:pt idx="489">
                  <c:v>8011.9236972426825</c:v>
                </c:pt>
                <c:pt idx="490">
                  <c:v>8033.2082877811445</c:v>
                </c:pt>
                <c:pt idx="491">
                  <c:v>8069.1118413571894</c:v>
                </c:pt>
                <c:pt idx="492">
                  <c:v>8104.6780326761118</c:v>
                </c:pt>
                <c:pt idx="493">
                  <c:v>8146.4503706155692</c:v>
                </c:pt>
                <c:pt idx="494">
                  <c:v>8179.9786996942148</c:v>
                </c:pt>
                <c:pt idx="495">
                  <c:v>8202.5475813892608</c:v>
                </c:pt>
                <c:pt idx="496">
                  <c:v>8234.0309010853271</c:v>
                </c:pt>
                <c:pt idx="497">
                  <c:v>8238.3272660596904</c:v>
                </c:pt>
                <c:pt idx="498">
                  <c:v>8230.4110099493737</c:v>
                </c:pt>
                <c:pt idx="499">
                  <c:v>8229.5093831651084</c:v>
                </c:pt>
                <c:pt idx="500">
                  <c:v>8226.333837091157</c:v>
                </c:pt>
                <c:pt idx="501">
                  <c:v>8217.611672105626</c:v>
                </c:pt>
                <c:pt idx="502">
                  <c:v>8213.9540536261393</c:v>
                </c:pt>
                <c:pt idx="503">
                  <c:v>8211.2564166345837</c:v>
                </c:pt>
                <c:pt idx="504">
                  <c:v>8215.6495547083996</c:v>
                </c:pt>
                <c:pt idx="505">
                  <c:v>8219.4377955177606</c:v>
                </c:pt>
                <c:pt idx="506">
                  <c:v>8226.3086207946708</c:v>
                </c:pt>
                <c:pt idx="507">
                  <c:v>8218.7467530849772</c:v>
                </c:pt>
                <c:pt idx="508">
                  <c:v>8209.2553743813878</c:v>
                </c:pt>
                <c:pt idx="509">
                  <c:v>8212.8025883411519</c:v>
                </c:pt>
                <c:pt idx="510">
                  <c:v>8211.475029270543</c:v>
                </c:pt>
                <c:pt idx="511">
                  <c:v>8214.4833278007009</c:v>
                </c:pt>
                <c:pt idx="512">
                  <c:v>8213.6782923312567</c:v>
                </c:pt>
                <c:pt idx="513">
                  <c:v>8209.3974626051677</c:v>
                </c:pt>
                <c:pt idx="514">
                  <c:v>8216.2597757180902</c:v>
                </c:pt>
                <c:pt idx="515">
                  <c:v>8220.6193540619151</c:v>
                </c:pt>
                <c:pt idx="516">
                  <c:v>8197.9053817615659</c:v>
                </c:pt>
                <c:pt idx="517">
                  <c:v>8181.9585824221413</c:v>
                </c:pt>
                <c:pt idx="518">
                  <c:v>8171.6466301670553</c:v>
                </c:pt>
                <c:pt idx="519">
                  <c:v>8161.6320349258003</c:v>
                </c:pt>
                <c:pt idx="520">
                  <c:v>8158.3348987079553</c:v>
                </c:pt>
                <c:pt idx="521">
                  <c:v>8155.412523753891</c:v>
                </c:pt>
                <c:pt idx="522">
                  <c:v>8154.5895029172698</c:v>
                </c:pt>
                <c:pt idx="523">
                  <c:v>8151.5985569344184</c:v>
                </c:pt>
                <c:pt idx="524">
                  <c:v>8131.0434436401392</c:v>
                </c:pt>
                <c:pt idx="525">
                  <c:v>8109.3347819802166</c:v>
                </c:pt>
                <c:pt idx="526">
                  <c:v>8073.3632750306024</c:v>
                </c:pt>
                <c:pt idx="527">
                  <c:v>8075.2776504262529</c:v>
                </c:pt>
                <c:pt idx="528">
                  <c:v>8093.8865130367376</c:v>
                </c:pt>
                <c:pt idx="529">
                  <c:v>8138.8943228495491</c:v>
                </c:pt>
                <c:pt idx="530">
                  <c:v>8220.1592710742825</c:v>
                </c:pt>
                <c:pt idx="531">
                  <c:v>8285.7535666190579</c:v>
                </c:pt>
                <c:pt idx="532">
                  <c:v>8344.4971868732737</c:v>
                </c:pt>
                <c:pt idx="533">
                  <c:v>8395.4405526255377</c:v>
                </c:pt>
                <c:pt idx="534">
                  <c:v>8439.840867494353</c:v>
                </c:pt>
                <c:pt idx="535">
                  <c:v>8480.3412359363592</c:v>
                </c:pt>
                <c:pt idx="536">
                  <c:v>8522.2494173881969</c:v>
                </c:pt>
                <c:pt idx="537">
                  <c:v>8550.5206192277765</c:v>
                </c:pt>
                <c:pt idx="538">
                  <c:v>8579.9405973048961</c:v>
                </c:pt>
                <c:pt idx="539">
                  <c:v>8608.4923127320235</c:v>
                </c:pt>
                <c:pt idx="540">
                  <c:v>8612.501117062553</c:v>
                </c:pt>
                <c:pt idx="541">
                  <c:v>8601.5419344055281</c:v>
                </c:pt>
                <c:pt idx="542">
                  <c:v>8598.1429485782828</c:v>
                </c:pt>
                <c:pt idx="543">
                  <c:v>8604.2861222267638</c:v>
                </c:pt>
                <c:pt idx="544">
                  <c:v>8620.9424753637559</c:v>
                </c:pt>
                <c:pt idx="545">
                  <c:v>8619.2947765347617</c:v>
                </c:pt>
                <c:pt idx="546">
                  <c:v>8603.8244967843093</c:v>
                </c:pt>
                <c:pt idx="547">
                  <c:v>8583.4417625864335</c:v>
                </c:pt>
                <c:pt idx="548">
                  <c:v>8582.5338378583656</c:v>
                </c:pt>
                <c:pt idx="549">
                  <c:v>8579.5317412152908</c:v>
                </c:pt>
                <c:pt idx="550">
                  <c:v>8589.4251949539484</c:v>
                </c:pt>
                <c:pt idx="551">
                  <c:v>8599.0238334218266</c:v>
                </c:pt>
                <c:pt idx="552">
                  <c:v>8612.0088059504196</c:v>
                </c:pt>
                <c:pt idx="553">
                  <c:v>8617.050217702832</c:v>
                </c:pt>
                <c:pt idx="554">
                  <c:v>8612.2365791244811</c:v>
                </c:pt>
                <c:pt idx="555">
                  <c:v>8614.6982284354599</c:v>
                </c:pt>
                <c:pt idx="556">
                  <c:v>8616.9608342344345</c:v>
                </c:pt>
                <c:pt idx="557">
                  <c:v>8625.4513134643803</c:v>
                </c:pt>
                <c:pt idx="558">
                  <c:v>8646.1758587344666</c:v>
                </c:pt>
                <c:pt idx="559">
                  <c:v>8661.7285240125166</c:v>
                </c:pt>
                <c:pt idx="560">
                  <c:v>8700.2503072885775</c:v>
                </c:pt>
                <c:pt idx="561">
                  <c:v>8733.8864052676672</c:v>
                </c:pt>
                <c:pt idx="562">
                  <c:v>8739.8483055569923</c:v>
                </c:pt>
                <c:pt idx="563">
                  <c:v>8732.767075569287</c:v>
                </c:pt>
                <c:pt idx="564">
                  <c:v>8716.1107447812356</c:v>
                </c:pt>
                <c:pt idx="565">
                  <c:v>8706.4271826690092</c:v>
                </c:pt>
                <c:pt idx="566">
                  <c:v>8696.5831145805096</c:v>
                </c:pt>
                <c:pt idx="567">
                  <c:v>8680.3696901504463</c:v>
                </c:pt>
                <c:pt idx="568">
                  <c:v>8643.2178981750239</c:v>
                </c:pt>
                <c:pt idx="569">
                  <c:v>8608.4675282692806</c:v>
                </c:pt>
                <c:pt idx="570">
                  <c:v>8577.5552458812144</c:v>
                </c:pt>
                <c:pt idx="571">
                  <c:v>8550.9167510426778</c:v>
                </c:pt>
                <c:pt idx="572">
                  <c:v>8511.6083443035168</c:v>
                </c:pt>
                <c:pt idx="573">
                  <c:v>8463.4036205878328</c:v>
                </c:pt>
                <c:pt idx="574">
                  <c:v>8436.8588672492133</c:v>
                </c:pt>
                <c:pt idx="575">
                  <c:v>8425.1802385759274</c:v>
                </c:pt>
                <c:pt idx="576">
                  <c:v>8414.3492703191605</c:v>
                </c:pt>
                <c:pt idx="577">
                  <c:v>8418.6003819723956</c:v>
                </c:pt>
                <c:pt idx="578">
                  <c:v>8425.1530369516004</c:v>
                </c:pt>
                <c:pt idx="579">
                  <c:v>8429.148384120248</c:v>
                </c:pt>
                <c:pt idx="580">
                  <c:v>8467.0488557740136</c:v>
                </c:pt>
                <c:pt idx="581">
                  <c:v>8494.0987659040075</c:v>
                </c:pt>
                <c:pt idx="582">
                  <c:v>8537.9617931207213</c:v>
                </c:pt>
                <c:pt idx="583">
                  <c:v>8617.2636595969852</c:v>
                </c:pt>
                <c:pt idx="584">
                  <c:v>8689.3720946410558</c:v>
                </c:pt>
                <c:pt idx="585">
                  <c:v>8759.1848902637248</c:v>
                </c:pt>
                <c:pt idx="586">
                  <c:v>8833.4319105437862</c:v>
                </c:pt>
                <c:pt idx="587">
                  <c:v>8914.3012179880789</c:v>
                </c:pt>
                <c:pt idx="588">
                  <c:v>8984.1473881244383</c:v>
                </c:pt>
                <c:pt idx="589">
                  <c:v>9051.3153702701966</c:v>
                </c:pt>
                <c:pt idx="590">
                  <c:v>9083.5545069103264</c:v>
                </c:pt>
                <c:pt idx="591">
                  <c:v>9112.2774925771391</c:v>
                </c:pt>
                <c:pt idx="592">
                  <c:v>9132.3814543542303</c:v>
                </c:pt>
                <c:pt idx="593">
                  <c:v>9125.8880546104665</c:v>
                </c:pt>
                <c:pt idx="594">
                  <c:v>9103.456085943335</c:v>
                </c:pt>
                <c:pt idx="595">
                  <c:v>9087.0420993721818</c:v>
                </c:pt>
                <c:pt idx="596">
                  <c:v>9068.8740730872705</c:v>
                </c:pt>
                <c:pt idx="597">
                  <c:v>9051.8360017602863</c:v>
                </c:pt>
                <c:pt idx="598">
                  <c:v>9025.7732278961976</c:v>
                </c:pt>
                <c:pt idx="599">
                  <c:v>8985.2493011192364</c:v>
                </c:pt>
                <c:pt idx="600">
                  <c:v>8983.35484185112</c:v>
                </c:pt>
                <c:pt idx="601">
                  <c:v>8979.4743100406959</c:v>
                </c:pt>
                <c:pt idx="602">
                  <c:v>8983.5425589859206</c:v>
                </c:pt>
                <c:pt idx="603">
                  <c:v>8999.3943823037152</c:v>
                </c:pt>
                <c:pt idx="604">
                  <c:v>9005.5750994842983</c:v>
                </c:pt>
                <c:pt idx="605">
                  <c:v>9005.3435288772325</c:v>
                </c:pt>
                <c:pt idx="606">
                  <c:v>8999.8489243837794</c:v>
                </c:pt>
                <c:pt idx="607">
                  <c:v>8982.9614362572156</c:v>
                </c:pt>
                <c:pt idx="608">
                  <c:v>8961.9531432043823</c:v>
                </c:pt>
                <c:pt idx="609">
                  <c:v>8939.752606756987</c:v>
                </c:pt>
                <c:pt idx="610">
                  <c:v>8967.4772022836951</c:v>
                </c:pt>
                <c:pt idx="611">
                  <c:v>9002.9847977687259</c:v>
                </c:pt>
                <c:pt idx="612">
                  <c:v>9021.6117302679577</c:v>
                </c:pt>
                <c:pt idx="613">
                  <c:v>9041.8493354552629</c:v>
                </c:pt>
                <c:pt idx="614">
                  <c:v>9042.3051461520245</c:v>
                </c:pt>
                <c:pt idx="615">
                  <c:v>9040.6959485823209</c:v>
                </c:pt>
                <c:pt idx="616">
                  <c:v>9022.2753505926066</c:v>
                </c:pt>
                <c:pt idx="617">
                  <c:v>9005.7544559882699</c:v>
                </c:pt>
                <c:pt idx="618">
                  <c:v>9003.109888992898</c:v>
                </c:pt>
                <c:pt idx="619">
                  <c:v>9010.0765713346664</c:v>
                </c:pt>
                <c:pt idx="620">
                  <c:v>9009.0209455064833</c:v>
                </c:pt>
                <c:pt idx="621">
                  <c:v>9008.7594520242492</c:v>
                </c:pt>
                <c:pt idx="622">
                  <c:v>9004.945793730556</c:v>
                </c:pt>
                <c:pt idx="623">
                  <c:v>9000.6254857264521</c:v>
                </c:pt>
                <c:pt idx="624">
                  <c:v>9002.5370047503693</c:v>
                </c:pt>
                <c:pt idx="625">
                  <c:v>9008.5258172204394</c:v>
                </c:pt>
                <c:pt idx="626">
                  <c:v>9012.4927115695555</c:v>
                </c:pt>
                <c:pt idx="627">
                  <c:v>9038.7791033552221</c:v>
                </c:pt>
                <c:pt idx="628">
                  <c:v>9059.9716379006604</c:v>
                </c:pt>
                <c:pt idx="629">
                  <c:v>9044.9704818444534</c:v>
                </c:pt>
                <c:pt idx="630">
                  <c:v>9004.7555456905575</c:v>
                </c:pt>
                <c:pt idx="631">
                  <c:v>8945.1639893474385</c:v>
                </c:pt>
                <c:pt idx="632">
                  <c:v>8900.9531272237928</c:v>
                </c:pt>
                <c:pt idx="633">
                  <c:v>8845.026525885638</c:v>
                </c:pt>
                <c:pt idx="634">
                  <c:v>8837.9172488391814</c:v>
                </c:pt>
                <c:pt idx="635">
                  <c:v>8849.5040863038448</c:v>
                </c:pt>
                <c:pt idx="636">
                  <c:v>8862.6316127337996</c:v>
                </c:pt>
                <c:pt idx="637">
                  <c:v>8874.7521970589532</c:v>
                </c:pt>
                <c:pt idx="638">
                  <c:v>8880.7630041013763</c:v>
                </c:pt>
                <c:pt idx="639">
                  <c:v>8879.2501783964217</c:v>
                </c:pt>
                <c:pt idx="640">
                  <c:v>8869.5813654711546</c:v>
                </c:pt>
                <c:pt idx="641">
                  <c:v>8867.7614660444597</c:v>
                </c:pt>
                <c:pt idx="642">
                  <c:v>8864.2631563074683</c:v>
                </c:pt>
                <c:pt idx="643">
                  <c:v>8865.8185962220286</c:v>
                </c:pt>
                <c:pt idx="644">
                  <c:v>8874.9147023086862</c:v>
                </c:pt>
                <c:pt idx="645">
                  <c:v>8891.98481018858</c:v>
                </c:pt>
                <c:pt idx="646">
                  <c:v>8896.7374678536489</c:v>
                </c:pt>
                <c:pt idx="647">
                  <c:v>8904.5907079579429</c:v>
                </c:pt>
                <c:pt idx="648">
                  <c:v>8917.9218419504996</c:v>
                </c:pt>
                <c:pt idx="649">
                  <c:v>8917.5461845495429</c:v>
                </c:pt>
                <c:pt idx="650">
                  <c:v>8916.6861975709526</c:v>
                </c:pt>
                <c:pt idx="651">
                  <c:v>8924.838071774444</c:v>
                </c:pt>
                <c:pt idx="652">
                  <c:v>8920.4064709782506</c:v>
                </c:pt>
                <c:pt idx="653">
                  <c:v>8897.1553957811993</c:v>
                </c:pt>
                <c:pt idx="654">
                  <c:v>8857.8373603955642</c:v>
                </c:pt>
                <c:pt idx="655">
                  <c:v>8802.9968286059666</c:v>
                </c:pt>
                <c:pt idx="656">
                  <c:v>8732.2878051340504</c:v>
                </c:pt>
                <c:pt idx="657">
                  <c:v>8627.2735095296648</c:v>
                </c:pt>
                <c:pt idx="658">
                  <c:v>8543.9640991392134</c:v>
                </c:pt>
                <c:pt idx="659">
                  <c:v>8488.8712363266786</c:v>
                </c:pt>
                <c:pt idx="660">
                  <c:v>8473.4823265363339</c:v>
                </c:pt>
                <c:pt idx="661">
                  <c:v>8481.8026854481468</c:v>
                </c:pt>
                <c:pt idx="662">
                  <c:v>8480.0172862031759</c:v>
                </c:pt>
                <c:pt idx="663">
                  <c:v>8492.4058013345075</c:v>
                </c:pt>
                <c:pt idx="664">
                  <c:v>8499.5905801997778</c:v>
                </c:pt>
                <c:pt idx="665">
                  <c:v>8505.6235881154334</c:v>
                </c:pt>
                <c:pt idx="666">
                  <c:v>8509.3185728352328</c:v>
                </c:pt>
                <c:pt idx="667">
                  <c:v>8512.7733952252547</c:v>
                </c:pt>
                <c:pt idx="668">
                  <c:v>8528.450298462576</c:v>
                </c:pt>
                <c:pt idx="669">
                  <c:v>8540.8481541535693</c:v>
                </c:pt>
                <c:pt idx="670">
                  <c:v>8538.2477598638052</c:v>
                </c:pt>
                <c:pt idx="671">
                  <c:v>8533.7533460707946</c:v>
                </c:pt>
                <c:pt idx="672">
                  <c:v>8522.7992636446161</c:v>
                </c:pt>
                <c:pt idx="673">
                  <c:v>8530.0644753022698</c:v>
                </c:pt>
                <c:pt idx="674">
                  <c:v>8543.4280366882213</c:v>
                </c:pt>
                <c:pt idx="675">
                  <c:v>8555.9201166196963</c:v>
                </c:pt>
                <c:pt idx="676">
                  <c:v>8558.9282903209278</c:v>
                </c:pt>
                <c:pt idx="677">
                  <c:v>8578.5023097148405</c:v>
                </c:pt>
                <c:pt idx="678">
                  <c:v>8589.0861142436697</c:v>
                </c:pt>
                <c:pt idx="679">
                  <c:v>8581.8461819427848</c:v>
                </c:pt>
                <c:pt idx="680">
                  <c:v>8569.5693061208731</c:v>
                </c:pt>
                <c:pt idx="681">
                  <c:v>8543.2991341905854</c:v>
                </c:pt>
                <c:pt idx="682">
                  <c:v>8514.9983121144232</c:v>
                </c:pt>
                <c:pt idx="683">
                  <c:v>8478.3169034051316</c:v>
                </c:pt>
                <c:pt idx="684">
                  <c:v>8475.2328068174465</c:v>
                </c:pt>
                <c:pt idx="685">
                  <c:v>8482.7382773698209</c:v>
                </c:pt>
                <c:pt idx="686">
                  <c:v>8487.0999901041487</c:v>
                </c:pt>
                <c:pt idx="687">
                  <c:v>8500.477072091815</c:v>
                </c:pt>
                <c:pt idx="688">
                  <c:v>8489.8894214973334</c:v>
                </c:pt>
                <c:pt idx="689">
                  <c:v>8468.223099454819</c:v>
                </c:pt>
                <c:pt idx="690">
                  <c:v>8486.3671303462434</c:v>
                </c:pt>
                <c:pt idx="691">
                  <c:v>8524.4066236151557</c:v>
                </c:pt>
                <c:pt idx="692">
                  <c:v>8556.3831073667588</c:v>
                </c:pt>
                <c:pt idx="693">
                  <c:v>8592.0160088542289</c:v>
                </c:pt>
                <c:pt idx="694">
                  <c:v>8626.7610433148639</c:v>
                </c:pt>
                <c:pt idx="695">
                  <c:v>8650.8192127956499</c:v>
                </c:pt>
                <c:pt idx="696">
                  <c:v>8656.9682833020306</c:v>
                </c:pt>
                <c:pt idx="697">
                  <c:v>8641.251216451561</c:v>
                </c:pt>
                <c:pt idx="698">
                  <c:v>8622.4653317689408</c:v>
                </c:pt>
                <c:pt idx="699">
                  <c:v>8609.5483461499007</c:v>
                </c:pt>
                <c:pt idx="700">
                  <c:v>8590.0437428488949</c:v>
                </c:pt>
                <c:pt idx="701">
                  <c:v>8577.8414438196105</c:v>
                </c:pt>
                <c:pt idx="702">
                  <c:v>8593.0512609426041</c:v>
                </c:pt>
                <c:pt idx="703">
                  <c:v>8608.9783300081108</c:v>
                </c:pt>
                <c:pt idx="704">
                  <c:v>8632.5398904127997</c:v>
                </c:pt>
                <c:pt idx="705">
                  <c:v>8640.7777256088448</c:v>
                </c:pt>
                <c:pt idx="706">
                  <c:v>8665.2311429786987</c:v>
                </c:pt>
                <c:pt idx="707">
                  <c:v>8679.1331833669246</c:v>
                </c:pt>
                <c:pt idx="708">
                  <c:v>8681.7749334086147</c:v>
                </c:pt>
                <c:pt idx="709">
                  <c:v>8677.1664145213381</c:v>
                </c:pt>
                <c:pt idx="710">
                  <c:v>8680.1630900756663</c:v>
                </c:pt>
                <c:pt idx="711">
                  <c:v>8681.9802139574531</c:v>
                </c:pt>
                <c:pt idx="712">
                  <c:v>8681.9627301038417</c:v>
                </c:pt>
                <c:pt idx="713">
                  <c:v>8685.7429904011005</c:v>
                </c:pt>
                <c:pt idx="714">
                  <c:v>8687.8616734448533</c:v>
                </c:pt>
                <c:pt idx="715">
                  <c:v>8688.3572243314065</c:v>
                </c:pt>
                <c:pt idx="716">
                  <c:v>8693.6379745684189</c:v>
                </c:pt>
                <c:pt idx="717">
                  <c:v>8694.8356004007219</c:v>
                </c:pt>
                <c:pt idx="718">
                  <c:v>8693.378635098692</c:v>
                </c:pt>
                <c:pt idx="719">
                  <c:v>8694.6061666112037</c:v>
                </c:pt>
                <c:pt idx="720">
                  <c:v>8694.3956063925598</c:v>
                </c:pt>
                <c:pt idx="721">
                  <c:v>8701.8088636592947</c:v>
                </c:pt>
                <c:pt idx="722">
                  <c:v>8695.7575821581358</c:v>
                </c:pt>
                <c:pt idx="723">
                  <c:v>8684.5180486444588</c:v>
                </c:pt>
                <c:pt idx="724">
                  <c:v>8671.2747818960579</c:v>
                </c:pt>
                <c:pt idx="725">
                  <c:v>8667.3334690505071</c:v>
                </c:pt>
                <c:pt idx="726">
                  <c:v>8646.7168760729473</c:v>
                </c:pt>
                <c:pt idx="727">
                  <c:v>8633.6347307151573</c:v>
                </c:pt>
                <c:pt idx="728">
                  <c:v>8636.4277992031639</c:v>
                </c:pt>
                <c:pt idx="729">
                  <c:v>8768.8645625686313</c:v>
                </c:pt>
                <c:pt idx="730">
                  <c:v>8824.3135957339182</c:v>
                </c:pt>
                <c:pt idx="731">
                  <c:v>8877.5333041122321</c:v>
                </c:pt>
                <c:pt idx="732">
                  <c:v>8888.467723099935</c:v>
                </c:pt>
                <c:pt idx="733">
                  <c:v>8876.9047952542369</c:v>
                </c:pt>
                <c:pt idx="734">
                  <c:v>8860.3069438185266</c:v>
                </c:pt>
                <c:pt idx="735">
                  <c:v>8857.9345021307709</c:v>
                </c:pt>
                <c:pt idx="736">
                  <c:v>8844.1302521588023</c:v>
                </c:pt>
                <c:pt idx="737">
                  <c:v>8804.3502748248047</c:v>
                </c:pt>
                <c:pt idx="738">
                  <c:v>8773.5411601472624</c:v>
                </c:pt>
                <c:pt idx="739">
                  <c:v>8746.85385405118</c:v>
                </c:pt>
                <c:pt idx="740">
                  <c:v>8706.2727443660951</c:v>
                </c:pt>
                <c:pt idx="741">
                  <c:v>8671.3647500386724</c:v>
                </c:pt>
                <c:pt idx="742">
                  <c:v>8631.0261994785633</c:v>
                </c:pt>
                <c:pt idx="743">
                  <c:v>8549.969318724643</c:v>
                </c:pt>
                <c:pt idx="744">
                  <c:v>8467.3718959284706</c:v>
                </c:pt>
                <c:pt idx="745">
                  <c:v>8373.0548867596553</c:v>
                </c:pt>
                <c:pt idx="746">
                  <c:v>8251.1574379138128</c:v>
                </c:pt>
                <c:pt idx="747">
                  <c:v>8155.4756287969612</c:v>
                </c:pt>
                <c:pt idx="748">
                  <c:v>8064.2079763451475</c:v>
                </c:pt>
                <c:pt idx="749">
                  <c:v>8064.3070487149025</c:v>
                </c:pt>
                <c:pt idx="750">
                  <c:v>8061.4863706378737</c:v>
                </c:pt>
                <c:pt idx="751">
                  <c:v>8065.3524394297001</c:v>
                </c:pt>
                <c:pt idx="752">
                  <c:v>8051.4576095832954</c:v>
                </c:pt>
                <c:pt idx="753">
                  <c:v>8027.9207429864045</c:v>
                </c:pt>
                <c:pt idx="754">
                  <c:v>8023.5569460934103</c:v>
                </c:pt>
                <c:pt idx="755">
                  <c:v>8039.8728861274085</c:v>
                </c:pt>
                <c:pt idx="756">
                  <c:v>8090.9703794799507</c:v>
                </c:pt>
                <c:pt idx="757">
                  <c:v>8143.1507822702279</c:v>
                </c:pt>
                <c:pt idx="758">
                  <c:v>8185.6413258335751</c:v>
                </c:pt>
                <c:pt idx="759">
                  <c:v>8190.7953327444375</c:v>
                </c:pt>
                <c:pt idx="760">
                  <c:v>8220.4293252220723</c:v>
                </c:pt>
                <c:pt idx="761">
                  <c:v>8244.7235487122998</c:v>
                </c:pt>
                <c:pt idx="762">
                  <c:v>8260.7976630628236</c:v>
                </c:pt>
                <c:pt idx="763">
                  <c:v>8269.1098262191554</c:v>
                </c:pt>
                <c:pt idx="764">
                  <c:v>8291.1690189043238</c:v>
                </c:pt>
                <c:pt idx="765">
                  <c:v>8317.3282694019108</c:v>
                </c:pt>
                <c:pt idx="766">
                  <c:v>8350.1337751392948</c:v>
                </c:pt>
                <c:pt idx="767">
                  <c:v>8377.5280542455803</c:v>
                </c:pt>
                <c:pt idx="768">
                  <c:v>8400.183129398778</c:v>
                </c:pt>
                <c:pt idx="769">
                  <c:v>8415.0941366897769</c:v>
                </c:pt>
                <c:pt idx="770">
                  <c:v>8421.1728475627424</c:v>
                </c:pt>
                <c:pt idx="771">
                  <c:v>8420.0558228280534</c:v>
                </c:pt>
                <c:pt idx="772">
                  <c:v>8390.4083400918353</c:v>
                </c:pt>
                <c:pt idx="773">
                  <c:v>8355.521298389247</c:v>
                </c:pt>
                <c:pt idx="774">
                  <c:v>8338.9396601973604</c:v>
                </c:pt>
                <c:pt idx="775">
                  <c:v>8320.2984250087684</c:v>
                </c:pt>
                <c:pt idx="776">
                  <c:v>8324.5934802193497</c:v>
                </c:pt>
                <c:pt idx="777">
                  <c:v>8330.3746878012134</c:v>
                </c:pt>
                <c:pt idx="778">
                  <c:v>8345.1808993674676</c:v>
                </c:pt>
                <c:pt idx="779">
                  <c:v>8357.1828721058992</c:v>
                </c:pt>
                <c:pt idx="780">
                  <c:v>8366.9865228121853</c:v>
                </c:pt>
                <c:pt idx="781">
                  <c:v>8397.1897886139777</c:v>
                </c:pt>
                <c:pt idx="782">
                  <c:v>8410.6177331956587</c:v>
                </c:pt>
                <c:pt idx="783">
                  <c:v>8428.5842149866494</c:v>
                </c:pt>
                <c:pt idx="784">
                  <c:v>8428.2057020056145</c:v>
                </c:pt>
                <c:pt idx="785">
                  <c:v>8412.3503865163148</c:v>
                </c:pt>
                <c:pt idx="786">
                  <c:v>8394.0883094919118</c:v>
                </c:pt>
                <c:pt idx="787">
                  <c:v>8362.6687779575877</c:v>
                </c:pt>
                <c:pt idx="788">
                  <c:v>8327.4842700976169</c:v>
                </c:pt>
                <c:pt idx="789">
                  <c:v>8275.5627485447076</c:v>
                </c:pt>
                <c:pt idx="790">
                  <c:v>8224.1704364854741</c:v>
                </c:pt>
                <c:pt idx="791">
                  <c:v>8170.8216773407876</c:v>
                </c:pt>
                <c:pt idx="792">
                  <c:v>8130.0821378830915</c:v>
                </c:pt>
                <c:pt idx="793">
                  <c:v>8099.9871345933225</c:v>
                </c:pt>
                <c:pt idx="794">
                  <c:v>8080.5920881968023</c:v>
                </c:pt>
                <c:pt idx="795">
                  <c:v>8060.4177566327025</c:v>
                </c:pt>
                <c:pt idx="796">
                  <c:v>8029.9572862888754</c:v>
                </c:pt>
                <c:pt idx="797">
                  <c:v>8001.3839851341972</c:v>
                </c:pt>
                <c:pt idx="798">
                  <c:v>7991.047306722322</c:v>
                </c:pt>
                <c:pt idx="799">
                  <c:v>7985.3465816620546</c:v>
                </c:pt>
                <c:pt idx="800">
                  <c:v>7997.7651929752192</c:v>
                </c:pt>
                <c:pt idx="801">
                  <c:v>8003.31549188594</c:v>
                </c:pt>
                <c:pt idx="802">
                  <c:v>8015.0909614221791</c:v>
                </c:pt>
                <c:pt idx="803">
                  <c:v>8020.6913012702335</c:v>
                </c:pt>
                <c:pt idx="804">
                  <c:v>8020.2019199972001</c:v>
                </c:pt>
                <c:pt idx="805">
                  <c:v>8016.0339595373425</c:v>
                </c:pt>
                <c:pt idx="806">
                  <c:v>8020.7202470147604</c:v>
                </c:pt>
                <c:pt idx="807">
                  <c:v>8016.3195924723805</c:v>
                </c:pt>
                <c:pt idx="808">
                  <c:v>8014.1493246517439</c:v>
                </c:pt>
                <c:pt idx="809">
                  <c:v>8009.4907090830584</c:v>
                </c:pt>
                <c:pt idx="810">
                  <c:v>8013.0746053944004</c:v>
                </c:pt>
                <c:pt idx="811">
                  <c:v>8010.1906974536805</c:v>
                </c:pt>
                <c:pt idx="812">
                  <c:v>8006.8887487158354</c:v>
                </c:pt>
                <c:pt idx="813">
                  <c:v>8005.7044019678133</c:v>
                </c:pt>
                <c:pt idx="814">
                  <c:v>7994.7955763162599</c:v>
                </c:pt>
                <c:pt idx="815">
                  <c:v>7997.8314636474706</c:v>
                </c:pt>
                <c:pt idx="816">
                  <c:v>7991.1651329389988</c:v>
                </c:pt>
                <c:pt idx="817">
                  <c:v>7991.2977440920004</c:v>
                </c:pt>
                <c:pt idx="818">
                  <c:v>7990.8553540770845</c:v>
                </c:pt>
                <c:pt idx="819">
                  <c:v>8003.0693299027907</c:v>
                </c:pt>
                <c:pt idx="820">
                  <c:v>8004.2715748897135</c:v>
                </c:pt>
                <c:pt idx="821">
                  <c:v>8014.3149722611652</c:v>
                </c:pt>
                <c:pt idx="822">
                  <c:v>8026.6696677592208</c:v>
                </c:pt>
                <c:pt idx="823">
                  <c:v>8033.1764212095413</c:v>
                </c:pt>
                <c:pt idx="824">
                  <c:v>8042.0124724648149</c:v>
                </c:pt>
                <c:pt idx="825">
                  <c:v>8058.9428681584559</c:v>
                </c:pt>
                <c:pt idx="826">
                  <c:v>8073.0887121780806</c:v>
                </c:pt>
                <c:pt idx="827">
                  <c:v>8076.4584849420717</c:v>
                </c:pt>
                <c:pt idx="828">
                  <c:v>8081.3326424214492</c:v>
                </c:pt>
                <c:pt idx="829">
                  <c:v>8087.4978359091983</c:v>
                </c:pt>
                <c:pt idx="830">
                  <c:v>8063.0810254454045</c:v>
                </c:pt>
                <c:pt idx="831">
                  <c:v>8034.3174020007045</c:v>
                </c:pt>
                <c:pt idx="832">
                  <c:v>7987.4771770678171</c:v>
                </c:pt>
                <c:pt idx="833">
                  <c:v>7932.0571178974169</c:v>
                </c:pt>
                <c:pt idx="834">
                  <c:v>7879.3640532742438</c:v>
                </c:pt>
                <c:pt idx="835">
                  <c:v>7800.8809680608629</c:v>
                </c:pt>
                <c:pt idx="836">
                  <c:v>7753.6641284253819</c:v>
                </c:pt>
                <c:pt idx="837">
                  <c:v>7700.8510703463517</c:v>
                </c:pt>
                <c:pt idx="838">
                  <c:v>7648.3112781207228</c:v>
                </c:pt>
                <c:pt idx="839">
                  <c:v>7638.0277187897536</c:v>
                </c:pt>
                <c:pt idx="840">
                  <c:v>7616.3279035859769</c:v>
                </c:pt>
                <c:pt idx="841">
                  <c:v>7605.7863255738957</c:v>
                </c:pt>
                <c:pt idx="842">
                  <c:v>7612.1524466937171</c:v>
                </c:pt>
                <c:pt idx="843">
                  <c:v>7654.7418953501483</c:v>
                </c:pt>
                <c:pt idx="844">
                  <c:v>7673.8467529670934</c:v>
                </c:pt>
                <c:pt idx="845">
                  <c:v>7669.8869465361358</c:v>
                </c:pt>
                <c:pt idx="846">
                  <c:v>7681.3173458812325</c:v>
                </c:pt>
                <c:pt idx="847">
                  <c:v>7675.107047596337</c:v>
                </c:pt>
                <c:pt idx="848">
                  <c:v>7673.4942438012658</c:v>
                </c:pt>
                <c:pt idx="849">
                  <c:v>7672.6482809377003</c:v>
                </c:pt>
                <c:pt idx="850">
                  <c:v>7660.3652885432002</c:v>
                </c:pt>
                <c:pt idx="851">
                  <c:v>7647.08336180882</c:v>
                </c:pt>
                <c:pt idx="852">
                  <c:v>7636.1476443010915</c:v>
                </c:pt>
                <c:pt idx="853">
                  <c:v>7626.1677410298798</c:v>
                </c:pt>
                <c:pt idx="854">
                  <c:v>7577.8439641869963</c:v>
                </c:pt>
                <c:pt idx="855">
                  <c:v>7523.9971350039095</c:v>
                </c:pt>
                <c:pt idx="856">
                  <c:v>7488.1122537254314</c:v>
                </c:pt>
                <c:pt idx="857">
                  <c:v>7489.3732865540605</c:v>
                </c:pt>
                <c:pt idx="858">
                  <c:v>7505.3556584141761</c:v>
                </c:pt>
                <c:pt idx="859">
                  <c:v>7504.4208580939303</c:v>
                </c:pt>
                <c:pt idx="860">
                  <c:v>7525.1728274577954</c:v>
                </c:pt>
                <c:pt idx="861">
                  <c:v>7568.134535689137</c:v>
                </c:pt>
                <c:pt idx="862">
                  <c:v>7604.1354790577516</c:v>
                </c:pt>
                <c:pt idx="863">
                  <c:v>7637.9811666116875</c:v>
                </c:pt>
                <c:pt idx="864">
                  <c:v>7670.1652482605523</c:v>
                </c:pt>
                <c:pt idx="865">
                  <c:v>7691.9220624734917</c:v>
                </c:pt>
                <c:pt idx="866">
                  <c:v>7711.8360159304184</c:v>
                </c:pt>
                <c:pt idx="867">
                  <c:v>7732.8911819992909</c:v>
                </c:pt>
                <c:pt idx="868">
                  <c:v>7768.1346142293723</c:v>
                </c:pt>
                <c:pt idx="869">
                  <c:v>7818.1180965710155</c:v>
                </c:pt>
                <c:pt idx="870">
                  <c:v>7863.9855588579076</c:v>
                </c:pt>
                <c:pt idx="871">
                  <c:v>7897.550975575894</c:v>
                </c:pt>
                <c:pt idx="872">
                  <c:v>7896.6256364775054</c:v>
                </c:pt>
                <c:pt idx="873">
                  <c:v>7872.513281259995</c:v>
                </c:pt>
                <c:pt idx="874">
                  <c:v>7863.0099750033578</c:v>
                </c:pt>
                <c:pt idx="875">
                  <c:v>7813.7317338595476</c:v>
                </c:pt>
                <c:pt idx="876">
                  <c:v>7798.1019668256877</c:v>
                </c:pt>
                <c:pt idx="877">
                  <c:v>7809.9157109490397</c:v>
                </c:pt>
                <c:pt idx="878">
                  <c:v>7808.960602221704</c:v>
                </c:pt>
                <c:pt idx="879">
                  <c:v>7808.2678577088527</c:v>
                </c:pt>
                <c:pt idx="880">
                  <c:v>7805.3128812613859</c:v>
                </c:pt>
                <c:pt idx="881">
                  <c:v>7804.7828152888251</c:v>
                </c:pt>
                <c:pt idx="882">
                  <c:v>7806.4331274151091</c:v>
                </c:pt>
                <c:pt idx="883">
                  <c:v>7812.7713426875025</c:v>
                </c:pt>
                <c:pt idx="884">
                  <c:v>7847.6369840127682</c:v>
                </c:pt>
                <c:pt idx="885">
                  <c:v>7884.2389283874663</c:v>
                </c:pt>
                <c:pt idx="886">
                  <c:v>7916.0029517147814</c:v>
                </c:pt>
                <c:pt idx="887">
                  <c:v>7940.6941990649666</c:v>
                </c:pt>
                <c:pt idx="888">
                  <c:v>7964.6561896215189</c:v>
                </c:pt>
                <c:pt idx="889">
                  <c:v>7978.9252968208411</c:v>
                </c:pt>
                <c:pt idx="890">
                  <c:v>8011.7464350931195</c:v>
                </c:pt>
                <c:pt idx="891">
                  <c:v>8044.406814048556</c:v>
                </c:pt>
                <c:pt idx="892">
                  <c:v>8050.5271827632932</c:v>
                </c:pt>
                <c:pt idx="893">
                  <c:v>8053.1967627610084</c:v>
                </c:pt>
                <c:pt idx="894">
                  <c:v>8056.0315753583791</c:v>
                </c:pt>
                <c:pt idx="895">
                  <c:v>8056.1768029942104</c:v>
                </c:pt>
                <c:pt idx="896">
                  <c:v>8056.2334833093255</c:v>
                </c:pt>
                <c:pt idx="897">
                  <c:v>8055.7454351453962</c:v>
                </c:pt>
                <c:pt idx="898">
                  <c:v>8049.9764943774708</c:v>
                </c:pt>
                <c:pt idx="899">
                  <c:v>8050.726313115938</c:v>
                </c:pt>
                <c:pt idx="900">
                  <c:v>8038.6437536313115</c:v>
                </c:pt>
                <c:pt idx="901">
                  <c:v>8014.3306381570792</c:v>
                </c:pt>
                <c:pt idx="902">
                  <c:v>8010.4318067308222</c:v>
                </c:pt>
                <c:pt idx="903">
                  <c:v>8003.439113766749</c:v>
                </c:pt>
                <c:pt idx="904">
                  <c:v>8004.0073338066686</c:v>
                </c:pt>
                <c:pt idx="905">
                  <c:v>8001.1006302808337</c:v>
                </c:pt>
                <c:pt idx="906">
                  <c:v>7996.1808729961103</c:v>
                </c:pt>
                <c:pt idx="907">
                  <c:v>7989.3366723167546</c:v>
                </c:pt>
                <c:pt idx="908">
                  <c:v>7984.8311516766917</c:v>
                </c:pt>
                <c:pt idx="909">
                  <c:v>7985.209820841862</c:v>
                </c:pt>
                <c:pt idx="910">
                  <c:v>7964.8817533574384</c:v>
                </c:pt>
                <c:pt idx="911">
                  <c:v>7953.2696351606792</c:v>
                </c:pt>
                <c:pt idx="912">
                  <c:v>8005.0691736906592</c:v>
                </c:pt>
                <c:pt idx="913">
                  <c:v>8073.6237242657062</c:v>
                </c:pt>
                <c:pt idx="914">
                  <c:v>8135.8469044151161</c:v>
                </c:pt>
                <c:pt idx="915">
                  <c:v>8181.4454361106255</c:v>
                </c:pt>
                <c:pt idx="916">
                  <c:v>8221.2930414978182</c:v>
                </c:pt>
                <c:pt idx="917">
                  <c:v>8264.2423938015254</c:v>
                </c:pt>
                <c:pt idx="918">
                  <c:v>8299.3711256394981</c:v>
                </c:pt>
                <c:pt idx="919">
                  <c:v>8330.4231118279004</c:v>
                </c:pt>
                <c:pt idx="920">
                  <c:v>8370.2889100705906</c:v>
                </c:pt>
                <c:pt idx="921">
                  <c:v>8405.5508956832564</c:v>
                </c:pt>
                <c:pt idx="922">
                  <c:v>8426.1540713161012</c:v>
                </c:pt>
                <c:pt idx="923">
                  <c:v>8435.9801111313191</c:v>
                </c:pt>
                <c:pt idx="924">
                  <c:v>8439.8029519655283</c:v>
                </c:pt>
                <c:pt idx="925">
                  <c:v>8443.2727354573744</c:v>
                </c:pt>
                <c:pt idx="926">
                  <c:v>8453.0964660356331</c:v>
                </c:pt>
                <c:pt idx="927">
                  <c:v>8443.3603056292504</c:v>
                </c:pt>
                <c:pt idx="928">
                  <c:v>8422.4318921725371</c:v>
                </c:pt>
                <c:pt idx="929">
                  <c:v>8388.3133513732646</c:v>
                </c:pt>
                <c:pt idx="930">
                  <c:v>8323.2055452418899</c:v>
                </c:pt>
                <c:pt idx="931">
                  <c:v>8288.364166648742</c:v>
                </c:pt>
                <c:pt idx="932">
                  <c:v>8289.942048605606</c:v>
                </c:pt>
                <c:pt idx="933">
                  <c:v>8296.6489241916661</c:v>
                </c:pt>
                <c:pt idx="934">
                  <c:v>8300.9813478518063</c:v>
                </c:pt>
                <c:pt idx="935">
                  <c:v>8301.8838803883773</c:v>
                </c:pt>
                <c:pt idx="936">
                  <c:v>8303.3321234754021</c:v>
                </c:pt>
                <c:pt idx="937">
                  <c:v>8314.5620798223681</c:v>
                </c:pt>
                <c:pt idx="938">
                  <c:v>8334.0045294048577</c:v>
                </c:pt>
                <c:pt idx="939">
                  <c:v>8363.1322997891366</c:v>
                </c:pt>
                <c:pt idx="940">
                  <c:v>8375.1466900603446</c:v>
                </c:pt>
                <c:pt idx="941">
                  <c:v>8386.0534467170874</c:v>
                </c:pt>
                <c:pt idx="942">
                  <c:v>8399.0067254468704</c:v>
                </c:pt>
                <c:pt idx="943">
                  <c:v>8443.991428235664</c:v>
                </c:pt>
                <c:pt idx="944">
                  <c:v>8492.677392302001</c:v>
                </c:pt>
                <c:pt idx="945">
                  <c:v>8531.0930961031663</c:v>
                </c:pt>
                <c:pt idx="946">
                  <c:v>8577.7883912326015</c:v>
                </c:pt>
                <c:pt idx="947">
                  <c:v>8609.419461688929</c:v>
                </c:pt>
                <c:pt idx="948">
                  <c:v>8631.117245101359</c:v>
                </c:pt>
                <c:pt idx="949">
                  <c:v>8655.2335909008216</c:v>
                </c:pt>
                <c:pt idx="950">
                  <c:v>8682.1496111118504</c:v>
                </c:pt>
                <c:pt idx="951">
                  <c:v>8695.4003533651248</c:v>
                </c:pt>
                <c:pt idx="952">
                  <c:v>8713.2096393555767</c:v>
                </c:pt>
                <c:pt idx="953">
                  <c:v>8726.0682450629902</c:v>
                </c:pt>
                <c:pt idx="954">
                  <c:v>8720.6273043615474</c:v>
                </c:pt>
                <c:pt idx="955">
                  <c:v>8713.5715517696135</c:v>
                </c:pt>
                <c:pt idx="956">
                  <c:v>8719.9270614773232</c:v>
                </c:pt>
                <c:pt idx="957">
                  <c:v>8726.4645843200906</c:v>
                </c:pt>
                <c:pt idx="958">
                  <c:v>8732.6116587705656</c:v>
                </c:pt>
                <c:pt idx="959">
                  <c:v>8737.4174304437402</c:v>
                </c:pt>
                <c:pt idx="960">
                  <c:v>8725.3739439461151</c:v>
                </c:pt>
                <c:pt idx="961">
                  <c:v>8707.8748192871408</c:v>
                </c:pt>
                <c:pt idx="962">
                  <c:v>8692.2027529812931</c:v>
                </c:pt>
                <c:pt idx="963">
                  <c:v>8708.9235193999557</c:v>
                </c:pt>
                <c:pt idx="964">
                  <c:v>8719.6361135603838</c:v>
                </c:pt>
                <c:pt idx="965">
                  <c:v>8718.0196263101243</c:v>
                </c:pt>
                <c:pt idx="966">
                  <c:v>8718.550030977789</c:v>
                </c:pt>
                <c:pt idx="967">
                  <c:v>8722.2928667619326</c:v>
                </c:pt>
                <c:pt idx="968">
                  <c:v>8720.0254489210984</c:v>
                </c:pt>
                <c:pt idx="969">
                  <c:v>8724.386535178226</c:v>
                </c:pt>
                <c:pt idx="970">
                  <c:v>8729.2198737636772</c:v>
                </c:pt>
                <c:pt idx="971">
                  <c:v>8722.1428000252199</c:v>
                </c:pt>
                <c:pt idx="972">
                  <c:v>8718.0450568192773</c:v>
                </c:pt>
                <c:pt idx="973">
                  <c:v>8719.2015592637817</c:v>
                </c:pt>
                <c:pt idx="974">
                  <c:v>8719.1308677377237</c:v>
                </c:pt>
                <c:pt idx="975">
                  <c:v>8720.6370760536265</c:v>
                </c:pt>
                <c:pt idx="976">
                  <c:v>8716.4464855604783</c:v>
                </c:pt>
                <c:pt idx="977">
                  <c:v>8736.0514068005014</c:v>
                </c:pt>
                <c:pt idx="978">
                  <c:v>8764.3907546001756</c:v>
                </c:pt>
                <c:pt idx="979">
                  <c:v>8785.507150045727</c:v>
                </c:pt>
                <c:pt idx="980">
                  <c:v>8808.0722812663043</c:v>
                </c:pt>
                <c:pt idx="981">
                  <c:v>8865.8354270310829</c:v>
                </c:pt>
                <c:pt idx="982">
                  <c:v>8905.9723037532876</c:v>
                </c:pt>
                <c:pt idx="983">
                  <c:v>8947.8062658335184</c:v>
                </c:pt>
                <c:pt idx="984">
                  <c:v>8967.4798354234354</c:v>
                </c:pt>
                <c:pt idx="985">
                  <c:v>8966.1595593619422</c:v>
                </c:pt>
                <c:pt idx="986">
                  <c:v>8965.4578433995448</c:v>
                </c:pt>
                <c:pt idx="987">
                  <c:v>8967.233907570102</c:v>
                </c:pt>
                <c:pt idx="988">
                  <c:v>8970.3380669073831</c:v>
                </c:pt>
                <c:pt idx="989">
                  <c:v>8976.8796247095615</c:v>
                </c:pt>
                <c:pt idx="990">
                  <c:v>8979.6024198952891</c:v>
                </c:pt>
                <c:pt idx="991">
                  <c:v>8979.7943134157285</c:v>
                </c:pt>
                <c:pt idx="992">
                  <c:v>8988.2335849297488</c:v>
                </c:pt>
                <c:pt idx="993">
                  <c:v>8991.2240846669083</c:v>
                </c:pt>
                <c:pt idx="994">
                  <c:v>8980.7786729327636</c:v>
                </c:pt>
                <c:pt idx="995">
                  <c:v>8964.3793780527867</c:v>
                </c:pt>
                <c:pt idx="996">
                  <c:v>8949.6201082220323</c:v>
                </c:pt>
                <c:pt idx="997">
                  <c:v>8967.3611410512203</c:v>
                </c:pt>
                <c:pt idx="998">
                  <c:v>8976.420942016257</c:v>
                </c:pt>
                <c:pt idx="999">
                  <c:v>8975.6281822861747</c:v>
                </c:pt>
                <c:pt idx="1000">
                  <c:v>8973.2112206547772</c:v>
                </c:pt>
                <c:pt idx="1001">
                  <c:v>8947.7152608978759</c:v>
                </c:pt>
                <c:pt idx="1002">
                  <c:v>8924.6756925268401</c:v>
                </c:pt>
                <c:pt idx="1003">
                  <c:v>8886.5448990398818</c:v>
                </c:pt>
                <c:pt idx="1004">
                  <c:v>8867.4508355131256</c:v>
                </c:pt>
                <c:pt idx="1005">
                  <c:v>8879.8563085734095</c:v>
                </c:pt>
                <c:pt idx="1006">
                  <c:v>8886.7985521890987</c:v>
                </c:pt>
                <c:pt idx="1007">
                  <c:v>8899.0770349141749</c:v>
                </c:pt>
                <c:pt idx="1008">
                  <c:v>8891.8506366495913</c:v>
                </c:pt>
                <c:pt idx="1009">
                  <c:v>8879.2715482703788</c:v>
                </c:pt>
                <c:pt idx="1010">
                  <c:v>8871.8933537169014</c:v>
                </c:pt>
                <c:pt idx="1011">
                  <c:v>8863.5454926115308</c:v>
                </c:pt>
                <c:pt idx="1012">
                  <c:v>8834.9248301442985</c:v>
                </c:pt>
                <c:pt idx="1013">
                  <c:v>8811.2019992823189</c:v>
                </c:pt>
                <c:pt idx="1014">
                  <c:v>8806.7772833599211</c:v>
                </c:pt>
                <c:pt idx="1015">
                  <c:v>8803.5045714481657</c:v>
                </c:pt>
                <c:pt idx="1016">
                  <c:v>8793.6488183123511</c:v>
                </c:pt>
                <c:pt idx="1017">
                  <c:v>8792.3138253999714</c:v>
                </c:pt>
                <c:pt idx="1018">
                  <c:v>8802.3680406322383</c:v>
                </c:pt>
                <c:pt idx="1019">
                  <c:v>8804.3261657172698</c:v>
                </c:pt>
                <c:pt idx="1020">
                  <c:v>8803.1759414071603</c:v>
                </c:pt>
                <c:pt idx="1021">
                  <c:v>8791.7387326971584</c:v>
                </c:pt>
                <c:pt idx="1022">
                  <c:v>8780.7454163051079</c:v>
                </c:pt>
                <c:pt idx="1023">
                  <c:v>8779.3111592357363</c:v>
                </c:pt>
                <c:pt idx="1024">
                  <c:v>8764.6011583458894</c:v>
                </c:pt>
                <c:pt idx="1025">
                  <c:v>8793.1743136649966</c:v>
                </c:pt>
                <c:pt idx="1026">
                  <c:v>8851.6301545260994</c:v>
                </c:pt>
                <c:pt idx="1027">
                  <c:v>8889.0328064087516</c:v>
                </c:pt>
                <c:pt idx="1028">
                  <c:v>8903.4604522379523</c:v>
                </c:pt>
                <c:pt idx="1029">
                  <c:v>8908.5006023642418</c:v>
                </c:pt>
                <c:pt idx="1030">
                  <c:v>8917.6119192239694</c:v>
                </c:pt>
                <c:pt idx="1031">
                  <c:v>8902.40725147788</c:v>
                </c:pt>
                <c:pt idx="1032">
                  <c:v>8870.9738655418478</c:v>
                </c:pt>
                <c:pt idx="1033">
                  <c:v>8839.4898736051236</c:v>
                </c:pt>
                <c:pt idx="1034">
                  <c:v>8803.8563874208685</c:v>
                </c:pt>
                <c:pt idx="1035">
                  <c:v>8762.3725828709285</c:v>
                </c:pt>
                <c:pt idx="1036">
                  <c:v>8709.7756109112524</c:v>
                </c:pt>
                <c:pt idx="1037">
                  <c:v>8654.4500078529072</c:v>
                </c:pt>
                <c:pt idx="1038">
                  <c:v>8617.1386484963587</c:v>
                </c:pt>
                <c:pt idx="1039">
                  <c:v>8580.1743180437479</c:v>
                </c:pt>
                <c:pt idx="1040">
                  <c:v>8549.0759535857724</c:v>
                </c:pt>
                <c:pt idx="1041">
                  <c:v>8500.0744801402543</c:v>
                </c:pt>
                <c:pt idx="1042">
                  <c:v>8427.0493039192752</c:v>
                </c:pt>
                <c:pt idx="1043">
                  <c:v>8388.6362225299326</c:v>
                </c:pt>
                <c:pt idx="1044">
                  <c:v>8308.6390796975611</c:v>
                </c:pt>
                <c:pt idx="1045">
                  <c:v>8285.165013982958</c:v>
                </c:pt>
                <c:pt idx="1046">
                  <c:v>8297.6048154091095</c:v>
                </c:pt>
                <c:pt idx="1047">
                  <c:v>8303.4016671638437</c:v>
                </c:pt>
                <c:pt idx="1048">
                  <c:v>8306.5262682627326</c:v>
                </c:pt>
                <c:pt idx="1049">
                  <c:v>8308.2694513511833</c:v>
                </c:pt>
                <c:pt idx="1050">
                  <c:v>8291.3922068861193</c:v>
                </c:pt>
                <c:pt idx="1051">
                  <c:v>8284.4171802610781</c:v>
                </c:pt>
                <c:pt idx="1052">
                  <c:v>8281.8699580742759</c:v>
                </c:pt>
                <c:pt idx="1053">
                  <c:v>8278.9971259559061</c:v>
                </c:pt>
                <c:pt idx="1054">
                  <c:v>8289.4684808955899</c:v>
                </c:pt>
                <c:pt idx="1055">
                  <c:v>8309.6794294147858</c:v>
                </c:pt>
                <c:pt idx="1056">
                  <c:v>8308.6283721024392</c:v>
                </c:pt>
                <c:pt idx="1057">
                  <c:v>8296.1574054514422</c:v>
                </c:pt>
                <c:pt idx="1058">
                  <c:v>8287.6358648124478</c:v>
                </c:pt>
                <c:pt idx="1059">
                  <c:v>8295.7036097998334</c:v>
                </c:pt>
                <c:pt idx="1060">
                  <c:v>8300.6268912800788</c:v>
                </c:pt>
                <c:pt idx="1061">
                  <c:v>8305.9666372727461</c:v>
                </c:pt>
                <c:pt idx="1062">
                  <c:v>8313.0842351105748</c:v>
                </c:pt>
                <c:pt idx="1063">
                  <c:v>8318.4855781924671</c:v>
                </c:pt>
                <c:pt idx="1064">
                  <c:v>8315.0491625507129</c:v>
                </c:pt>
                <c:pt idx="1065">
                  <c:v>8323.936596856247</c:v>
                </c:pt>
                <c:pt idx="1066">
                  <c:v>8336.1746420374366</c:v>
                </c:pt>
                <c:pt idx="1067">
                  <c:v>8374.002743276018</c:v>
                </c:pt>
                <c:pt idx="1068">
                  <c:v>8415.6975760924706</c:v>
                </c:pt>
                <c:pt idx="1069">
                  <c:v>8451.1722397893991</c:v>
                </c:pt>
                <c:pt idx="1070">
                  <c:v>8485.6751556201889</c:v>
                </c:pt>
                <c:pt idx="1071">
                  <c:v>8512.8004687322955</c:v>
                </c:pt>
                <c:pt idx="1072">
                  <c:v>8538.8385447355085</c:v>
                </c:pt>
                <c:pt idx="1073">
                  <c:v>8556.6473918361189</c:v>
                </c:pt>
                <c:pt idx="1074">
                  <c:v>8555.959176251401</c:v>
                </c:pt>
                <c:pt idx="1075">
                  <c:v>8538.3041956493598</c:v>
                </c:pt>
                <c:pt idx="1076">
                  <c:v>8547.8282349293331</c:v>
                </c:pt>
                <c:pt idx="1077">
                  <c:v>8578.5158504695446</c:v>
                </c:pt>
                <c:pt idx="1078">
                  <c:v>8618.943941634001</c:v>
                </c:pt>
                <c:pt idx="1079">
                  <c:v>8656.2047760371079</c:v>
                </c:pt>
                <c:pt idx="1080">
                  <c:v>8670.4678110594068</c:v>
                </c:pt>
                <c:pt idx="1081">
                  <c:v>8714.1191562659442</c:v>
                </c:pt>
                <c:pt idx="1082">
                  <c:v>8751.3613077009286</c:v>
                </c:pt>
                <c:pt idx="1083">
                  <c:v>8789.2970073091074</c:v>
                </c:pt>
                <c:pt idx="1084">
                  <c:v>8829.9682327645114</c:v>
                </c:pt>
                <c:pt idx="1085">
                  <c:v>8852.3667928900031</c:v>
                </c:pt>
                <c:pt idx="1086">
                  <c:v>8872.9578290150312</c:v>
                </c:pt>
                <c:pt idx="1087">
                  <c:v>8897.4510644997954</c:v>
                </c:pt>
                <c:pt idx="1088">
                  <c:v>8921.4878342257252</c:v>
                </c:pt>
                <c:pt idx="1089">
                  <c:v>8942.131786886901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BollingerBand_Nifty!$F$1</c:f>
              <c:strCache>
                <c:ptCount val="1"/>
                <c:pt idx="0">
                  <c:v>2nd_Std_Down</c:v>
                </c:pt>
              </c:strCache>
            </c:strRef>
          </c:tx>
          <c:marker>
            <c:symbol val="none"/>
          </c:marker>
          <c:cat>
            <c:numRef>
              <c:f>BollingerBand_Nifty!$A$2:$A$1091</c:f>
              <c:numCache>
                <c:formatCode>m/d/yyyy</c:formatCode>
                <c:ptCount val="1090"/>
                <c:pt idx="0">
                  <c:v>41169</c:v>
                </c:pt>
                <c:pt idx="1">
                  <c:v>41170</c:v>
                </c:pt>
                <c:pt idx="2">
                  <c:v>41171</c:v>
                </c:pt>
                <c:pt idx="3">
                  <c:v>41172</c:v>
                </c:pt>
                <c:pt idx="4">
                  <c:v>41173</c:v>
                </c:pt>
                <c:pt idx="5">
                  <c:v>41176</c:v>
                </c:pt>
                <c:pt idx="6">
                  <c:v>41177</c:v>
                </c:pt>
                <c:pt idx="7">
                  <c:v>41178</c:v>
                </c:pt>
                <c:pt idx="8">
                  <c:v>41179</c:v>
                </c:pt>
                <c:pt idx="9">
                  <c:v>41180</c:v>
                </c:pt>
                <c:pt idx="10">
                  <c:v>41183</c:v>
                </c:pt>
                <c:pt idx="11">
                  <c:v>41184</c:v>
                </c:pt>
                <c:pt idx="12">
                  <c:v>41185</c:v>
                </c:pt>
                <c:pt idx="13">
                  <c:v>41186</c:v>
                </c:pt>
                <c:pt idx="14">
                  <c:v>41187</c:v>
                </c:pt>
                <c:pt idx="15">
                  <c:v>41190</c:v>
                </c:pt>
                <c:pt idx="16">
                  <c:v>41191</c:v>
                </c:pt>
                <c:pt idx="17">
                  <c:v>41192</c:v>
                </c:pt>
                <c:pt idx="18">
                  <c:v>41193</c:v>
                </c:pt>
                <c:pt idx="19">
                  <c:v>41194</c:v>
                </c:pt>
                <c:pt idx="20">
                  <c:v>41197</c:v>
                </c:pt>
                <c:pt idx="21">
                  <c:v>41198</c:v>
                </c:pt>
                <c:pt idx="22">
                  <c:v>41199</c:v>
                </c:pt>
                <c:pt idx="23">
                  <c:v>41200</c:v>
                </c:pt>
                <c:pt idx="24">
                  <c:v>41201</c:v>
                </c:pt>
                <c:pt idx="25">
                  <c:v>41204</c:v>
                </c:pt>
                <c:pt idx="26">
                  <c:v>41205</c:v>
                </c:pt>
                <c:pt idx="27">
                  <c:v>41206</c:v>
                </c:pt>
                <c:pt idx="28">
                  <c:v>41207</c:v>
                </c:pt>
                <c:pt idx="29">
                  <c:v>41208</c:v>
                </c:pt>
                <c:pt idx="30">
                  <c:v>41211</c:v>
                </c:pt>
                <c:pt idx="31">
                  <c:v>41212</c:v>
                </c:pt>
                <c:pt idx="32">
                  <c:v>41213</c:v>
                </c:pt>
                <c:pt idx="33">
                  <c:v>41214</c:v>
                </c:pt>
                <c:pt idx="34">
                  <c:v>41215</c:v>
                </c:pt>
                <c:pt idx="35">
                  <c:v>41218</c:v>
                </c:pt>
                <c:pt idx="36">
                  <c:v>41219</c:v>
                </c:pt>
                <c:pt idx="37">
                  <c:v>41220</c:v>
                </c:pt>
                <c:pt idx="38">
                  <c:v>41221</c:v>
                </c:pt>
                <c:pt idx="39">
                  <c:v>41222</c:v>
                </c:pt>
                <c:pt idx="40">
                  <c:v>41225</c:v>
                </c:pt>
                <c:pt idx="41">
                  <c:v>41226</c:v>
                </c:pt>
                <c:pt idx="42">
                  <c:v>41227</c:v>
                </c:pt>
                <c:pt idx="43">
                  <c:v>41228</c:v>
                </c:pt>
                <c:pt idx="44">
                  <c:v>41229</c:v>
                </c:pt>
                <c:pt idx="45">
                  <c:v>41232</c:v>
                </c:pt>
                <c:pt idx="46">
                  <c:v>41233</c:v>
                </c:pt>
                <c:pt idx="47">
                  <c:v>41234</c:v>
                </c:pt>
                <c:pt idx="48">
                  <c:v>41235</c:v>
                </c:pt>
                <c:pt idx="49">
                  <c:v>41236</c:v>
                </c:pt>
                <c:pt idx="50">
                  <c:v>41239</c:v>
                </c:pt>
                <c:pt idx="51">
                  <c:v>41240</c:v>
                </c:pt>
                <c:pt idx="52">
                  <c:v>41241</c:v>
                </c:pt>
                <c:pt idx="53">
                  <c:v>41242</c:v>
                </c:pt>
                <c:pt idx="54">
                  <c:v>41243</c:v>
                </c:pt>
                <c:pt idx="55">
                  <c:v>41246</c:v>
                </c:pt>
                <c:pt idx="56">
                  <c:v>41247</c:v>
                </c:pt>
                <c:pt idx="57">
                  <c:v>41248</c:v>
                </c:pt>
                <c:pt idx="58">
                  <c:v>41249</c:v>
                </c:pt>
                <c:pt idx="59">
                  <c:v>41250</c:v>
                </c:pt>
                <c:pt idx="60">
                  <c:v>41253</c:v>
                </c:pt>
                <c:pt idx="61">
                  <c:v>41254</c:v>
                </c:pt>
                <c:pt idx="62">
                  <c:v>41255</c:v>
                </c:pt>
                <c:pt idx="63">
                  <c:v>41256</c:v>
                </c:pt>
                <c:pt idx="64">
                  <c:v>41257</c:v>
                </c:pt>
                <c:pt idx="65">
                  <c:v>41260</c:v>
                </c:pt>
                <c:pt idx="66">
                  <c:v>41261</c:v>
                </c:pt>
                <c:pt idx="67">
                  <c:v>41262</c:v>
                </c:pt>
                <c:pt idx="68">
                  <c:v>41263</c:v>
                </c:pt>
                <c:pt idx="69">
                  <c:v>41264</c:v>
                </c:pt>
                <c:pt idx="70">
                  <c:v>41267</c:v>
                </c:pt>
                <c:pt idx="71">
                  <c:v>41269</c:v>
                </c:pt>
                <c:pt idx="72">
                  <c:v>41270</c:v>
                </c:pt>
                <c:pt idx="73">
                  <c:v>41271</c:v>
                </c:pt>
                <c:pt idx="74">
                  <c:v>41274</c:v>
                </c:pt>
                <c:pt idx="75">
                  <c:v>41276</c:v>
                </c:pt>
                <c:pt idx="76">
                  <c:v>41277</c:v>
                </c:pt>
                <c:pt idx="77">
                  <c:v>41278</c:v>
                </c:pt>
                <c:pt idx="78">
                  <c:v>41281</c:v>
                </c:pt>
                <c:pt idx="79">
                  <c:v>41282</c:v>
                </c:pt>
                <c:pt idx="80">
                  <c:v>41283</c:v>
                </c:pt>
                <c:pt idx="81">
                  <c:v>41284</c:v>
                </c:pt>
                <c:pt idx="82">
                  <c:v>41285</c:v>
                </c:pt>
                <c:pt idx="83">
                  <c:v>41288</c:v>
                </c:pt>
                <c:pt idx="84">
                  <c:v>41289</c:v>
                </c:pt>
                <c:pt idx="85">
                  <c:v>41290</c:v>
                </c:pt>
                <c:pt idx="86">
                  <c:v>41291</c:v>
                </c:pt>
                <c:pt idx="87">
                  <c:v>41292</c:v>
                </c:pt>
                <c:pt idx="88">
                  <c:v>41295</c:v>
                </c:pt>
                <c:pt idx="89">
                  <c:v>41296</c:v>
                </c:pt>
                <c:pt idx="90">
                  <c:v>41297</c:v>
                </c:pt>
                <c:pt idx="91">
                  <c:v>41298</c:v>
                </c:pt>
                <c:pt idx="92">
                  <c:v>41299</c:v>
                </c:pt>
                <c:pt idx="93">
                  <c:v>41302</c:v>
                </c:pt>
                <c:pt idx="94">
                  <c:v>41303</c:v>
                </c:pt>
                <c:pt idx="95">
                  <c:v>41304</c:v>
                </c:pt>
                <c:pt idx="96">
                  <c:v>41305</c:v>
                </c:pt>
                <c:pt idx="97">
                  <c:v>41306</c:v>
                </c:pt>
                <c:pt idx="98">
                  <c:v>41309</c:v>
                </c:pt>
                <c:pt idx="99">
                  <c:v>41310</c:v>
                </c:pt>
                <c:pt idx="100">
                  <c:v>41311</c:v>
                </c:pt>
                <c:pt idx="101">
                  <c:v>41312</c:v>
                </c:pt>
                <c:pt idx="102">
                  <c:v>41313</c:v>
                </c:pt>
                <c:pt idx="103">
                  <c:v>41316</c:v>
                </c:pt>
                <c:pt idx="104">
                  <c:v>41317</c:v>
                </c:pt>
                <c:pt idx="105">
                  <c:v>41318</c:v>
                </c:pt>
                <c:pt idx="106">
                  <c:v>41319</c:v>
                </c:pt>
                <c:pt idx="107">
                  <c:v>41320</c:v>
                </c:pt>
                <c:pt idx="108">
                  <c:v>41323</c:v>
                </c:pt>
                <c:pt idx="109">
                  <c:v>41324</c:v>
                </c:pt>
                <c:pt idx="110">
                  <c:v>41325</c:v>
                </c:pt>
                <c:pt idx="111">
                  <c:v>41326</c:v>
                </c:pt>
                <c:pt idx="112">
                  <c:v>41327</c:v>
                </c:pt>
                <c:pt idx="113">
                  <c:v>41330</c:v>
                </c:pt>
                <c:pt idx="114">
                  <c:v>41331</c:v>
                </c:pt>
                <c:pt idx="115">
                  <c:v>41332</c:v>
                </c:pt>
                <c:pt idx="116">
                  <c:v>41333</c:v>
                </c:pt>
                <c:pt idx="117">
                  <c:v>41334</c:v>
                </c:pt>
                <c:pt idx="118">
                  <c:v>41337</c:v>
                </c:pt>
                <c:pt idx="119">
                  <c:v>41338</c:v>
                </c:pt>
                <c:pt idx="120">
                  <c:v>41339</c:v>
                </c:pt>
                <c:pt idx="121">
                  <c:v>41340</c:v>
                </c:pt>
                <c:pt idx="122">
                  <c:v>41341</c:v>
                </c:pt>
                <c:pt idx="123">
                  <c:v>41344</c:v>
                </c:pt>
                <c:pt idx="124">
                  <c:v>41345</c:v>
                </c:pt>
                <c:pt idx="125">
                  <c:v>41346</c:v>
                </c:pt>
                <c:pt idx="126">
                  <c:v>41347</c:v>
                </c:pt>
                <c:pt idx="127">
                  <c:v>41348</c:v>
                </c:pt>
                <c:pt idx="128">
                  <c:v>41351</c:v>
                </c:pt>
                <c:pt idx="129">
                  <c:v>41352</c:v>
                </c:pt>
                <c:pt idx="130">
                  <c:v>41353</c:v>
                </c:pt>
                <c:pt idx="131">
                  <c:v>41354</c:v>
                </c:pt>
                <c:pt idx="132">
                  <c:v>41355</c:v>
                </c:pt>
                <c:pt idx="133">
                  <c:v>41358</c:v>
                </c:pt>
                <c:pt idx="134">
                  <c:v>41359</c:v>
                </c:pt>
                <c:pt idx="135">
                  <c:v>41360</c:v>
                </c:pt>
                <c:pt idx="136">
                  <c:v>41361</c:v>
                </c:pt>
                <c:pt idx="137">
                  <c:v>41365</c:v>
                </c:pt>
                <c:pt idx="138">
                  <c:v>41366</c:v>
                </c:pt>
                <c:pt idx="139">
                  <c:v>41367</c:v>
                </c:pt>
                <c:pt idx="140">
                  <c:v>41368</c:v>
                </c:pt>
                <c:pt idx="141">
                  <c:v>41369</c:v>
                </c:pt>
                <c:pt idx="142">
                  <c:v>41372</c:v>
                </c:pt>
                <c:pt idx="143">
                  <c:v>41373</c:v>
                </c:pt>
                <c:pt idx="144">
                  <c:v>41374</c:v>
                </c:pt>
                <c:pt idx="145">
                  <c:v>41375</c:v>
                </c:pt>
                <c:pt idx="146">
                  <c:v>41376</c:v>
                </c:pt>
                <c:pt idx="147">
                  <c:v>41379</c:v>
                </c:pt>
                <c:pt idx="148">
                  <c:v>41380</c:v>
                </c:pt>
                <c:pt idx="149">
                  <c:v>41381</c:v>
                </c:pt>
                <c:pt idx="150">
                  <c:v>41382</c:v>
                </c:pt>
                <c:pt idx="151">
                  <c:v>41383</c:v>
                </c:pt>
                <c:pt idx="152">
                  <c:v>41386</c:v>
                </c:pt>
                <c:pt idx="153">
                  <c:v>41387</c:v>
                </c:pt>
                <c:pt idx="154">
                  <c:v>41388</c:v>
                </c:pt>
                <c:pt idx="155">
                  <c:v>41389</c:v>
                </c:pt>
                <c:pt idx="156">
                  <c:v>41390</c:v>
                </c:pt>
                <c:pt idx="157">
                  <c:v>41393</c:v>
                </c:pt>
                <c:pt idx="158">
                  <c:v>41394</c:v>
                </c:pt>
                <c:pt idx="159">
                  <c:v>41395</c:v>
                </c:pt>
                <c:pt idx="160">
                  <c:v>41396</c:v>
                </c:pt>
                <c:pt idx="161">
                  <c:v>41397</c:v>
                </c:pt>
                <c:pt idx="162">
                  <c:v>41400</c:v>
                </c:pt>
                <c:pt idx="163">
                  <c:v>41401</c:v>
                </c:pt>
                <c:pt idx="164">
                  <c:v>41402</c:v>
                </c:pt>
                <c:pt idx="165">
                  <c:v>41403</c:v>
                </c:pt>
                <c:pt idx="166">
                  <c:v>41404</c:v>
                </c:pt>
                <c:pt idx="167">
                  <c:v>41407</c:v>
                </c:pt>
                <c:pt idx="168">
                  <c:v>41408</c:v>
                </c:pt>
                <c:pt idx="169">
                  <c:v>41409</c:v>
                </c:pt>
                <c:pt idx="170">
                  <c:v>41410</c:v>
                </c:pt>
                <c:pt idx="171">
                  <c:v>41411</c:v>
                </c:pt>
                <c:pt idx="172">
                  <c:v>41414</c:v>
                </c:pt>
                <c:pt idx="173">
                  <c:v>41415</c:v>
                </c:pt>
                <c:pt idx="174">
                  <c:v>41416</c:v>
                </c:pt>
                <c:pt idx="175">
                  <c:v>41417</c:v>
                </c:pt>
                <c:pt idx="176">
                  <c:v>41418</c:v>
                </c:pt>
                <c:pt idx="177">
                  <c:v>41421</c:v>
                </c:pt>
                <c:pt idx="178">
                  <c:v>41422</c:v>
                </c:pt>
                <c:pt idx="179">
                  <c:v>41423</c:v>
                </c:pt>
                <c:pt idx="180">
                  <c:v>41424</c:v>
                </c:pt>
                <c:pt idx="181">
                  <c:v>41425</c:v>
                </c:pt>
                <c:pt idx="182">
                  <c:v>41428</c:v>
                </c:pt>
                <c:pt idx="183">
                  <c:v>41429</c:v>
                </c:pt>
                <c:pt idx="184">
                  <c:v>41430</c:v>
                </c:pt>
                <c:pt idx="185">
                  <c:v>41431</c:v>
                </c:pt>
                <c:pt idx="186">
                  <c:v>41432</c:v>
                </c:pt>
                <c:pt idx="187">
                  <c:v>41435</c:v>
                </c:pt>
                <c:pt idx="188">
                  <c:v>41436</c:v>
                </c:pt>
                <c:pt idx="189">
                  <c:v>41437</c:v>
                </c:pt>
                <c:pt idx="190">
                  <c:v>41438</c:v>
                </c:pt>
                <c:pt idx="191">
                  <c:v>41439</c:v>
                </c:pt>
                <c:pt idx="192">
                  <c:v>41442</c:v>
                </c:pt>
                <c:pt idx="193">
                  <c:v>41443</c:v>
                </c:pt>
                <c:pt idx="194">
                  <c:v>41444</c:v>
                </c:pt>
                <c:pt idx="195">
                  <c:v>41445</c:v>
                </c:pt>
                <c:pt idx="196">
                  <c:v>41446</c:v>
                </c:pt>
                <c:pt idx="197">
                  <c:v>41449</c:v>
                </c:pt>
                <c:pt idx="198">
                  <c:v>41450</c:v>
                </c:pt>
                <c:pt idx="199">
                  <c:v>41451</c:v>
                </c:pt>
                <c:pt idx="200">
                  <c:v>41452</c:v>
                </c:pt>
                <c:pt idx="201">
                  <c:v>41453</c:v>
                </c:pt>
                <c:pt idx="202">
                  <c:v>41456</c:v>
                </c:pt>
                <c:pt idx="203">
                  <c:v>41457</c:v>
                </c:pt>
                <c:pt idx="204">
                  <c:v>41458</c:v>
                </c:pt>
                <c:pt idx="205">
                  <c:v>41459</c:v>
                </c:pt>
                <c:pt idx="206">
                  <c:v>41460</c:v>
                </c:pt>
                <c:pt idx="207">
                  <c:v>41463</c:v>
                </c:pt>
                <c:pt idx="208">
                  <c:v>41464</c:v>
                </c:pt>
                <c:pt idx="209">
                  <c:v>41465</c:v>
                </c:pt>
                <c:pt idx="210">
                  <c:v>41466</c:v>
                </c:pt>
                <c:pt idx="211">
                  <c:v>41467</c:v>
                </c:pt>
                <c:pt idx="212">
                  <c:v>41470</c:v>
                </c:pt>
                <c:pt idx="213">
                  <c:v>41471</c:v>
                </c:pt>
                <c:pt idx="214">
                  <c:v>41472</c:v>
                </c:pt>
                <c:pt idx="215">
                  <c:v>41473</c:v>
                </c:pt>
                <c:pt idx="216">
                  <c:v>41474</c:v>
                </c:pt>
                <c:pt idx="217">
                  <c:v>41477</c:v>
                </c:pt>
                <c:pt idx="218">
                  <c:v>41478</c:v>
                </c:pt>
                <c:pt idx="219">
                  <c:v>41479</c:v>
                </c:pt>
                <c:pt idx="220">
                  <c:v>41480</c:v>
                </c:pt>
                <c:pt idx="221">
                  <c:v>41481</c:v>
                </c:pt>
                <c:pt idx="222">
                  <c:v>41484</c:v>
                </c:pt>
                <c:pt idx="223">
                  <c:v>41485</c:v>
                </c:pt>
                <c:pt idx="224">
                  <c:v>41486</c:v>
                </c:pt>
                <c:pt idx="225">
                  <c:v>41487</c:v>
                </c:pt>
                <c:pt idx="226">
                  <c:v>41488</c:v>
                </c:pt>
                <c:pt idx="227">
                  <c:v>41491</c:v>
                </c:pt>
                <c:pt idx="228">
                  <c:v>41492</c:v>
                </c:pt>
                <c:pt idx="229">
                  <c:v>41493</c:v>
                </c:pt>
                <c:pt idx="230">
                  <c:v>41494</c:v>
                </c:pt>
                <c:pt idx="231">
                  <c:v>41495</c:v>
                </c:pt>
                <c:pt idx="232">
                  <c:v>41498</c:v>
                </c:pt>
                <c:pt idx="233">
                  <c:v>41499</c:v>
                </c:pt>
                <c:pt idx="234">
                  <c:v>41500</c:v>
                </c:pt>
                <c:pt idx="235">
                  <c:v>41501</c:v>
                </c:pt>
                <c:pt idx="236">
                  <c:v>41502</c:v>
                </c:pt>
                <c:pt idx="237">
                  <c:v>41505</c:v>
                </c:pt>
                <c:pt idx="238">
                  <c:v>41506</c:v>
                </c:pt>
                <c:pt idx="239">
                  <c:v>41507</c:v>
                </c:pt>
                <c:pt idx="240">
                  <c:v>41508</c:v>
                </c:pt>
                <c:pt idx="241">
                  <c:v>41509</c:v>
                </c:pt>
                <c:pt idx="242">
                  <c:v>41512</c:v>
                </c:pt>
                <c:pt idx="243">
                  <c:v>41513</c:v>
                </c:pt>
                <c:pt idx="244">
                  <c:v>41514</c:v>
                </c:pt>
                <c:pt idx="245">
                  <c:v>41515</c:v>
                </c:pt>
                <c:pt idx="246">
                  <c:v>41516</c:v>
                </c:pt>
                <c:pt idx="247">
                  <c:v>41519</c:v>
                </c:pt>
                <c:pt idx="248">
                  <c:v>41520</c:v>
                </c:pt>
                <c:pt idx="249">
                  <c:v>41521</c:v>
                </c:pt>
                <c:pt idx="250">
                  <c:v>41522</c:v>
                </c:pt>
                <c:pt idx="251">
                  <c:v>41523</c:v>
                </c:pt>
                <c:pt idx="252">
                  <c:v>41526</c:v>
                </c:pt>
                <c:pt idx="253">
                  <c:v>41527</c:v>
                </c:pt>
                <c:pt idx="254">
                  <c:v>41528</c:v>
                </c:pt>
                <c:pt idx="255">
                  <c:v>41529</c:v>
                </c:pt>
                <c:pt idx="256">
                  <c:v>41530</c:v>
                </c:pt>
                <c:pt idx="257">
                  <c:v>41533</c:v>
                </c:pt>
                <c:pt idx="258">
                  <c:v>41534</c:v>
                </c:pt>
                <c:pt idx="259">
                  <c:v>41535</c:v>
                </c:pt>
                <c:pt idx="260">
                  <c:v>41536</c:v>
                </c:pt>
                <c:pt idx="261">
                  <c:v>41537</c:v>
                </c:pt>
                <c:pt idx="262">
                  <c:v>41540</c:v>
                </c:pt>
                <c:pt idx="263">
                  <c:v>41541</c:v>
                </c:pt>
                <c:pt idx="264">
                  <c:v>41542</c:v>
                </c:pt>
                <c:pt idx="265">
                  <c:v>41543</c:v>
                </c:pt>
                <c:pt idx="266">
                  <c:v>41544</c:v>
                </c:pt>
                <c:pt idx="267">
                  <c:v>41547</c:v>
                </c:pt>
                <c:pt idx="268">
                  <c:v>41548</c:v>
                </c:pt>
                <c:pt idx="269">
                  <c:v>41550</c:v>
                </c:pt>
                <c:pt idx="270">
                  <c:v>41551</c:v>
                </c:pt>
                <c:pt idx="271">
                  <c:v>41554</c:v>
                </c:pt>
                <c:pt idx="272">
                  <c:v>41555</c:v>
                </c:pt>
                <c:pt idx="273">
                  <c:v>41556</c:v>
                </c:pt>
                <c:pt idx="274">
                  <c:v>41557</c:v>
                </c:pt>
                <c:pt idx="275">
                  <c:v>41558</c:v>
                </c:pt>
                <c:pt idx="276">
                  <c:v>41561</c:v>
                </c:pt>
                <c:pt idx="277">
                  <c:v>41562</c:v>
                </c:pt>
                <c:pt idx="278">
                  <c:v>41564</c:v>
                </c:pt>
                <c:pt idx="279">
                  <c:v>41565</c:v>
                </c:pt>
                <c:pt idx="280">
                  <c:v>41568</c:v>
                </c:pt>
                <c:pt idx="281">
                  <c:v>41569</c:v>
                </c:pt>
                <c:pt idx="282">
                  <c:v>41570</c:v>
                </c:pt>
                <c:pt idx="283">
                  <c:v>41571</c:v>
                </c:pt>
                <c:pt idx="284">
                  <c:v>41572</c:v>
                </c:pt>
                <c:pt idx="285">
                  <c:v>41575</c:v>
                </c:pt>
                <c:pt idx="286">
                  <c:v>41576</c:v>
                </c:pt>
                <c:pt idx="287">
                  <c:v>41577</c:v>
                </c:pt>
                <c:pt idx="288">
                  <c:v>41578</c:v>
                </c:pt>
                <c:pt idx="289">
                  <c:v>41579</c:v>
                </c:pt>
                <c:pt idx="290">
                  <c:v>41583</c:v>
                </c:pt>
                <c:pt idx="291">
                  <c:v>41584</c:v>
                </c:pt>
                <c:pt idx="292">
                  <c:v>41585</c:v>
                </c:pt>
                <c:pt idx="293">
                  <c:v>41586</c:v>
                </c:pt>
                <c:pt idx="294">
                  <c:v>41589</c:v>
                </c:pt>
                <c:pt idx="295">
                  <c:v>41590</c:v>
                </c:pt>
                <c:pt idx="296">
                  <c:v>41591</c:v>
                </c:pt>
                <c:pt idx="297">
                  <c:v>41592</c:v>
                </c:pt>
                <c:pt idx="298">
                  <c:v>41596</c:v>
                </c:pt>
                <c:pt idx="299">
                  <c:v>41597</c:v>
                </c:pt>
                <c:pt idx="300">
                  <c:v>41598</c:v>
                </c:pt>
                <c:pt idx="301">
                  <c:v>41599</c:v>
                </c:pt>
                <c:pt idx="302">
                  <c:v>41600</c:v>
                </c:pt>
                <c:pt idx="303">
                  <c:v>41603</c:v>
                </c:pt>
                <c:pt idx="304">
                  <c:v>41604</c:v>
                </c:pt>
                <c:pt idx="305">
                  <c:v>41605</c:v>
                </c:pt>
                <c:pt idx="306">
                  <c:v>41606</c:v>
                </c:pt>
                <c:pt idx="307">
                  <c:v>41607</c:v>
                </c:pt>
                <c:pt idx="308">
                  <c:v>41610</c:v>
                </c:pt>
                <c:pt idx="309">
                  <c:v>41611</c:v>
                </c:pt>
                <c:pt idx="310">
                  <c:v>41612</c:v>
                </c:pt>
                <c:pt idx="311">
                  <c:v>41613</c:v>
                </c:pt>
                <c:pt idx="312">
                  <c:v>41614</c:v>
                </c:pt>
                <c:pt idx="313">
                  <c:v>41617</c:v>
                </c:pt>
                <c:pt idx="314">
                  <c:v>41618</c:v>
                </c:pt>
                <c:pt idx="315">
                  <c:v>41619</c:v>
                </c:pt>
                <c:pt idx="316">
                  <c:v>41620</c:v>
                </c:pt>
                <c:pt idx="317">
                  <c:v>41621</c:v>
                </c:pt>
                <c:pt idx="318">
                  <c:v>41624</c:v>
                </c:pt>
                <c:pt idx="319">
                  <c:v>41625</c:v>
                </c:pt>
                <c:pt idx="320">
                  <c:v>41626</c:v>
                </c:pt>
                <c:pt idx="321">
                  <c:v>41627</c:v>
                </c:pt>
                <c:pt idx="322">
                  <c:v>41628</c:v>
                </c:pt>
                <c:pt idx="323">
                  <c:v>41631</c:v>
                </c:pt>
                <c:pt idx="324">
                  <c:v>41632</c:v>
                </c:pt>
                <c:pt idx="325">
                  <c:v>41634</c:v>
                </c:pt>
                <c:pt idx="326">
                  <c:v>41635</c:v>
                </c:pt>
                <c:pt idx="327">
                  <c:v>41638</c:v>
                </c:pt>
                <c:pt idx="328">
                  <c:v>41639</c:v>
                </c:pt>
                <c:pt idx="329">
                  <c:v>41641</c:v>
                </c:pt>
                <c:pt idx="330">
                  <c:v>41642</c:v>
                </c:pt>
                <c:pt idx="331">
                  <c:v>41645</c:v>
                </c:pt>
                <c:pt idx="332">
                  <c:v>41646</c:v>
                </c:pt>
                <c:pt idx="333">
                  <c:v>41647</c:v>
                </c:pt>
                <c:pt idx="334">
                  <c:v>41648</c:v>
                </c:pt>
                <c:pt idx="335">
                  <c:v>41649</c:v>
                </c:pt>
                <c:pt idx="336">
                  <c:v>41652</c:v>
                </c:pt>
                <c:pt idx="337">
                  <c:v>41653</c:v>
                </c:pt>
                <c:pt idx="338">
                  <c:v>41654</c:v>
                </c:pt>
                <c:pt idx="339">
                  <c:v>41655</c:v>
                </c:pt>
                <c:pt idx="340">
                  <c:v>41656</c:v>
                </c:pt>
                <c:pt idx="341">
                  <c:v>41659</c:v>
                </c:pt>
                <c:pt idx="342">
                  <c:v>41660</c:v>
                </c:pt>
                <c:pt idx="343">
                  <c:v>41661</c:v>
                </c:pt>
                <c:pt idx="344">
                  <c:v>41662</c:v>
                </c:pt>
                <c:pt idx="345">
                  <c:v>41663</c:v>
                </c:pt>
                <c:pt idx="346">
                  <c:v>41666</c:v>
                </c:pt>
                <c:pt idx="347">
                  <c:v>41667</c:v>
                </c:pt>
                <c:pt idx="348">
                  <c:v>41668</c:v>
                </c:pt>
                <c:pt idx="349">
                  <c:v>41669</c:v>
                </c:pt>
                <c:pt idx="350">
                  <c:v>41670</c:v>
                </c:pt>
                <c:pt idx="351">
                  <c:v>41673</c:v>
                </c:pt>
                <c:pt idx="352">
                  <c:v>41674</c:v>
                </c:pt>
                <c:pt idx="353">
                  <c:v>41675</c:v>
                </c:pt>
                <c:pt idx="354">
                  <c:v>41676</c:v>
                </c:pt>
                <c:pt idx="355">
                  <c:v>41677</c:v>
                </c:pt>
                <c:pt idx="356">
                  <c:v>41680</c:v>
                </c:pt>
                <c:pt idx="357">
                  <c:v>41681</c:v>
                </c:pt>
                <c:pt idx="358">
                  <c:v>41682</c:v>
                </c:pt>
                <c:pt idx="359">
                  <c:v>41683</c:v>
                </c:pt>
                <c:pt idx="360">
                  <c:v>41684</c:v>
                </c:pt>
                <c:pt idx="361">
                  <c:v>41687</c:v>
                </c:pt>
                <c:pt idx="362">
                  <c:v>41688</c:v>
                </c:pt>
                <c:pt idx="363">
                  <c:v>41689</c:v>
                </c:pt>
                <c:pt idx="364">
                  <c:v>41690</c:v>
                </c:pt>
                <c:pt idx="365">
                  <c:v>41691</c:v>
                </c:pt>
                <c:pt idx="366">
                  <c:v>41694</c:v>
                </c:pt>
                <c:pt idx="367">
                  <c:v>41695</c:v>
                </c:pt>
                <c:pt idx="368">
                  <c:v>41696</c:v>
                </c:pt>
                <c:pt idx="369">
                  <c:v>41698</c:v>
                </c:pt>
                <c:pt idx="370">
                  <c:v>41701</c:v>
                </c:pt>
                <c:pt idx="371">
                  <c:v>41702</c:v>
                </c:pt>
                <c:pt idx="372">
                  <c:v>41703</c:v>
                </c:pt>
                <c:pt idx="373">
                  <c:v>41704</c:v>
                </c:pt>
                <c:pt idx="374">
                  <c:v>41705</c:v>
                </c:pt>
                <c:pt idx="375">
                  <c:v>41708</c:v>
                </c:pt>
                <c:pt idx="376">
                  <c:v>41709</c:v>
                </c:pt>
                <c:pt idx="377">
                  <c:v>41710</c:v>
                </c:pt>
                <c:pt idx="378">
                  <c:v>41711</c:v>
                </c:pt>
                <c:pt idx="379">
                  <c:v>41712</c:v>
                </c:pt>
                <c:pt idx="380">
                  <c:v>41716</c:v>
                </c:pt>
                <c:pt idx="381">
                  <c:v>41717</c:v>
                </c:pt>
                <c:pt idx="382">
                  <c:v>41718</c:v>
                </c:pt>
                <c:pt idx="383">
                  <c:v>41719</c:v>
                </c:pt>
                <c:pt idx="384">
                  <c:v>41722</c:v>
                </c:pt>
                <c:pt idx="385">
                  <c:v>41723</c:v>
                </c:pt>
                <c:pt idx="386">
                  <c:v>41724</c:v>
                </c:pt>
                <c:pt idx="387">
                  <c:v>41725</c:v>
                </c:pt>
                <c:pt idx="388">
                  <c:v>41726</c:v>
                </c:pt>
                <c:pt idx="389">
                  <c:v>41729</c:v>
                </c:pt>
                <c:pt idx="390">
                  <c:v>41730</c:v>
                </c:pt>
                <c:pt idx="391">
                  <c:v>41731</c:v>
                </c:pt>
                <c:pt idx="392">
                  <c:v>41732</c:v>
                </c:pt>
                <c:pt idx="393">
                  <c:v>41733</c:v>
                </c:pt>
                <c:pt idx="394">
                  <c:v>41736</c:v>
                </c:pt>
                <c:pt idx="395">
                  <c:v>41738</c:v>
                </c:pt>
                <c:pt idx="396">
                  <c:v>41739</c:v>
                </c:pt>
                <c:pt idx="397">
                  <c:v>41740</c:v>
                </c:pt>
                <c:pt idx="398">
                  <c:v>41744</c:v>
                </c:pt>
                <c:pt idx="399">
                  <c:v>41745</c:v>
                </c:pt>
                <c:pt idx="400">
                  <c:v>41746</c:v>
                </c:pt>
                <c:pt idx="401">
                  <c:v>41750</c:v>
                </c:pt>
                <c:pt idx="402">
                  <c:v>41751</c:v>
                </c:pt>
                <c:pt idx="403">
                  <c:v>41752</c:v>
                </c:pt>
                <c:pt idx="404">
                  <c:v>41754</c:v>
                </c:pt>
                <c:pt idx="405">
                  <c:v>41757</c:v>
                </c:pt>
                <c:pt idx="406">
                  <c:v>41758</c:v>
                </c:pt>
                <c:pt idx="407">
                  <c:v>41759</c:v>
                </c:pt>
                <c:pt idx="408">
                  <c:v>41761</c:v>
                </c:pt>
                <c:pt idx="409">
                  <c:v>41764</c:v>
                </c:pt>
                <c:pt idx="410">
                  <c:v>41765</c:v>
                </c:pt>
                <c:pt idx="411">
                  <c:v>41766</c:v>
                </c:pt>
                <c:pt idx="412">
                  <c:v>41767</c:v>
                </c:pt>
                <c:pt idx="413">
                  <c:v>41768</c:v>
                </c:pt>
                <c:pt idx="414">
                  <c:v>41771</c:v>
                </c:pt>
                <c:pt idx="415">
                  <c:v>41772</c:v>
                </c:pt>
                <c:pt idx="416">
                  <c:v>41773</c:v>
                </c:pt>
                <c:pt idx="417">
                  <c:v>41774</c:v>
                </c:pt>
                <c:pt idx="418">
                  <c:v>41775</c:v>
                </c:pt>
                <c:pt idx="419">
                  <c:v>41778</c:v>
                </c:pt>
                <c:pt idx="420">
                  <c:v>41779</c:v>
                </c:pt>
                <c:pt idx="421">
                  <c:v>41780</c:v>
                </c:pt>
                <c:pt idx="422">
                  <c:v>41781</c:v>
                </c:pt>
                <c:pt idx="423">
                  <c:v>41782</c:v>
                </c:pt>
                <c:pt idx="424">
                  <c:v>41785</c:v>
                </c:pt>
                <c:pt idx="425">
                  <c:v>41786</c:v>
                </c:pt>
                <c:pt idx="426">
                  <c:v>41787</c:v>
                </c:pt>
                <c:pt idx="427">
                  <c:v>41788</c:v>
                </c:pt>
                <c:pt idx="428">
                  <c:v>41789</c:v>
                </c:pt>
                <c:pt idx="429">
                  <c:v>41792</c:v>
                </c:pt>
                <c:pt idx="430">
                  <c:v>41793</c:v>
                </c:pt>
                <c:pt idx="431">
                  <c:v>41794</c:v>
                </c:pt>
                <c:pt idx="432">
                  <c:v>41795</c:v>
                </c:pt>
                <c:pt idx="433">
                  <c:v>41796</c:v>
                </c:pt>
                <c:pt idx="434">
                  <c:v>41799</c:v>
                </c:pt>
                <c:pt idx="435">
                  <c:v>41800</c:v>
                </c:pt>
                <c:pt idx="436">
                  <c:v>41801</c:v>
                </c:pt>
                <c:pt idx="437">
                  <c:v>41802</c:v>
                </c:pt>
                <c:pt idx="438">
                  <c:v>41803</c:v>
                </c:pt>
                <c:pt idx="439">
                  <c:v>41806</c:v>
                </c:pt>
                <c:pt idx="440">
                  <c:v>41807</c:v>
                </c:pt>
                <c:pt idx="441">
                  <c:v>41808</c:v>
                </c:pt>
                <c:pt idx="442">
                  <c:v>41809</c:v>
                </c:pt>
                <c:pt idx="443">
                  <c:v>41810</c:v>
                </c:pt>
                <c:pt idx="444">
                  <c:v>41813</c:v>
                </c:pt>
                <c:pt idx="445">
                  <c:v>41814</c:v>
                </c:pt>
                <c:pt idx="446">
                  <c:v>41815</c:v>
                </c:pt>
                <c:pt idx="447">
                  <c:v>41816</c:v>
                </c:pt>
                <c:pt idx="448">
                  <c:v>41817</c:v>
                </c:pt>
                <c:pt idx="449">
                  <c:v>41820</c:v>
                </c:pt>
                <c:pt idx="450">
                  <c:v>41821</c:v>
                </c:pt>
                <c:pt idx="451">
                  <c:v>41822</c:v>
                </c:pt>
                <c:pt idx="452">
                  <c:v>41823</c:v>
                </c:pt>
                <c:pt idx="453">
                  <c:v>41824</c:v>
                </c:pt>
                <c:pt idx="454">
                  <c:v>41827</c:v>
                </c:pt>
                <c:pt idx="455">
                  <c:v>41828</c:v>
                </c:pt>
                <c:pt idx="456">
                  <c:v>41829</c:v>
                </c:pt>
                <c:pt idx="457">
                  <c:v>41830</c:v>
                </c:pt>
                <c:pt idx="458">
                  <c:v>41831</c:v>
                </c:pt>
                <c:pt idx="459">
                  <c:v>41834</c:v>
                </c:pt>
                <c:pt idx="460">
                  <c:v>41835</c:v>
                </c:pt>
                <c:pt idx="461">
                  <c:v>41836</c:v>
                </c:pt>
                <c:pt idx="462">
                  <c:v>41837</c:v>
                </c:pt>
                <c:pt idx="463">
                  <c:v>41838</c:v>
                </c:pt>
                <c:pt idx="464">
                  <c:v>41841</c:v>
                </c:pt>
                <c:pt idx="465">
                  <c:v>41842</c:v>
                </c:pt>
                <c:pt idx="466">
                  <c:v>41843</c:v>
                </c:pt>
                <c:pt idx="467">
                  <c:v>41844</c:v>
                </c:pt>
                <c:pt idx="468">
                  <c:v>41845</c:v>
                </c:pt>
                <c:pt idx="469">
                  <c:v>41848</c:v>
                </c:pt>
                <c:pt idx="470">
                  <c:v>41850</c:v>
                </c:pt>
                <c:pt idx="471">
                  <c:v>41851</c:v>
                </c:pt>
                <c:pt idx="472">
                  <c:v>41852</c:v>
                </c:pt>
                <c:pt idx="473">
                  <c:v>41855</c:v>
                </c:pt>
                <c:pt idx="474">
                  <c:v>41856</c:v>
                </c:pt>
                <c:pt idx="475">
                  <c:v>41857</c:v>
                </c:pt>
                <c:pt idx="476">
                  <c:v>41858</c:v>
                </c:pt>
                <c:pt idx="477">
                  <c:v>41859</c:v>
                </c:pt>
                <c:pt idx="478">
                  <c:v>41862</c:v>
                </c:pt>
                <c:pt idx="479">
                  <c:v>41863</c:v>
                </c:pt>
                <c:pt idx="480">
                  <c:v>41864</c:v>
                </c:pt>
                <c:pt idx="481">
                  <c:v>41865</c:v>
                </c:pt>
                <c:pt idx="482">
                  <c:v>41869</c:v>
                </c:pt>
                <c:pt idx="483">
                  <c:v>41870</c:v>
                </c:pt>
                <c:pt idx="484">
                  <c:v>41871</c:v>
                </c:pt>
                <c:pt idx="485">
                  <c:v>41872</c:v>
                </c:pt>
                <c:pt idx="486">
                  <c:v>41873</c:v>
                </c:pt>
                <c:pt idx="487">
                  <c:v>41876</c:v>
                </c:pt>
                <c:pt idx="488">
                  <c:v>41877</c:v>
                </c:pt>
                <c:pt idx="489">
                  <c:v>41878</c:v>
                </c:pt>
                <c:pt idx="490">
                  <c:v>41879</c:v>
                </c:pt>
                <c:pt idx="491">
                  <c:v>41883</c:v>
                </c:pt>
                <c:pt idx="492">
                  <c:v>41884</c:v>
                </c:pt>
                <c:pt idx="493">
                  <c:v>41885</c:v>
                </c:pt>
                <c:pt idx="494">
                  <c:v>41886</c:v>
                </c:pt>
                <c:pt idx="495">
                  <c:v>41887</c:v>
                </c:pt>
                <c:pt idx="496">
                  <c:v>41890</c:v>
                </c:pt>
                <c:pt idx="497">
                  <c:v>41891</c:v>
                </c:pt>
                <c:pt idx="498">
                  <c:v>41892</c:v>
                </c:pt>
                <c:pt idx="499">
                  <c:v>41893</c:v>
                </c:pt>
                <c:pt idx="500">
                  <c:v>41894</c:v>
                </c:pt>
                <c:pt idx="501">
                  <c:v>41897</c:v>
                </c:pt>
                <c:pt idx="502">
                  <c:v>41898</c:v>
                </c:pt>
                <c:pt idx="503">
                  <c:v>41899</c:v>
                </c:pt>
                <c:pt idx="504">
                  <c:v>41900</c:v>
                </c:pt>
                <c:pt idx="505">
                  <c:v>41901</c:v>
                </c:pt>
                <c:pt idx="506">
                  <c:v>41904</c:v>
                </c:pt>
                <c:pt idx="507">
                  <c:v>41905</c:v>
                </c:pt>
                <c:pt idx="508">
                  <c:v>41906</c:v>
                </c:pt>
                <c:pt idx="509">
                  <c:v>41907</c:v>
                </c:pt>
                <c:pt idx="510">
                  <c:v>41908</c:v>
                </c:pt>
                <c:pt idx="511">
                  <c:v>41911</c:v>
                </c:pt>
                <c:pt idx="512">
                  <c:v>41912</c:v>
                </c:pt>
                <c:pt idx="513">
                  <c:v>41913</c:v>
                </c:pt>
                <c:pt idx="514">
                  <c:v>41919</c:v>
                </c:pt>
                <c:pt idx="515">
                  <c:v>41920</c:v>
                </c:pt>
                <c:pt idx="516">
                  <c:v>41921</c:v>
                </c:pt>
                <c:pt idx="517">
                  <c:v>41922</c:v>
                </c:pt>
                <c:pt idx="518">
                  <c:v>41925</c:v>
                </c:pt>
                <c:pt idx="519">
                  <c:v>41926</c:v>
                </c:pt>
                <c:pt idx="520">
                  <c:v>41928</c:v>
                </c:pt>
                <c:pt idx="521">
                  <c:v>41929</c:v>
                </c:pt>
                <c:pt idx="522">
                  <c:v>41932</c:v>
                </c:pt>
                <c:pt idx="523">
                  <c:v>41933</c:v>
                </c:pt>
                <c:pt idx="524">
                  <c:v>41934</c:v>
                </c:pt>
                <c:pt idx="525">
                  <c:v>41935</c:v>
                </c:pt>
                <c:pt idx="526">
                  <c:v>41939</c:v>
                </c:pt>
                <c:pt idx="527">
                  <c:v>41940</c:v>
                </c:pt>
                <c:pt idx="528">
                  <c:v>41941</c:v>
                </c:pt>
                <c:pt idx="529">
                  <c:v>41942</c:v>
                </c:pt>
                <c:pt idx="530">
                  <c:v>41943</c:v>
                </c:pt>
                <c:pt idx="531">
                  <c:v>41946</c:v>
                </c:pt>
                <c:pt idx="532">
                  <c:v>41948</c:v>
                </c:pt>
                <c:pt idx="533">
                  <c:v>41950</c:v>
                </c:pt>
                <c:pt idx="534">
                  <c:v>41953</c:v>
                </c:pt>
                <c:pt idx="535">
                  <c:v>41954</c:v>
                </c:pt>
                <c:pt idx="536">
                  <c:v>41955</c:v>
                </c:pt>
                <c:pt idx="537">
                  <c:v>41956</c:v>
                </c:pt>
                <c:pt idx="538">
                  <c:v>41957</c:v>
                </c:pt>
                <c:pt idx="539">
                  <c:v>41960</c:v>
                </c:pt>
                <c:pt idx="540">
                  <c:v>41961</c:v>
                </c:pt>
                <c:pt idx="541">
                  <c:v>41962</c:v>
                </c:pt>
                <c:pt idx="542">
                  <c:v>41963</c:v>
                </c:pt>
                <c:pt idx="543">
                  <c:v>41964</c:v>
                </c:pt>
                <c:pt idx="544">
                  <c:v>41967</c:v>
                </c:pt>
                <c:pt idx="545">
                  <c:v>41968</c:v>
                </c:pt>
                <c:pt idx="546">
                  <c:v>41969</c:v>
                </c:pt>
                <c:pt idx="547">
                  <c:v>41970</c:v>
                </c:pt>
                <c:pt idx="548">
                  <c:v>41971</c:v>
                </c:pt>
                <c:pt idx="549">
                  <c:v>41974</c:v>
                </c:pt>
                <c:pt idx="550">
                  <c:v>41975</c:v>
                </c:pt>
                <c:pt idx="551">
                  <c:v>41976</c:v>
                </c:pt>
                <c:pt idx="552">
                  <c:v>41977</c:v>
                </c:pt>
                <c:pt idx="553">
                  <c:v>41978</c:v>
                </c:pt>
                <c:pt idx="554">
                  <c:v>41981</c:v>
                </c:pt>
                <c:pt idx="555">
                  <c:v>41982</c:v>
                </c:pt>
                <c:pt idx="556">
                  <c:v>41983</c:v>
                </c:pt>
                <c:pt idx="557">
                  <c:v>41984</c:v>
                </c:pt>
                <c:pt idx="558">
                  <c:v>41985</c:v>
                </c:pt>
                <c:pt idx="559">
                  <c:v>41988</c:v>
                </c:pt>
                <c:pt idx="560">
                  <c:v>41989</c:v>
                </c:pt>
                <c:pt idx="561">
                  <c:v>41990</c:v>
                </c:pt>
                <c:pt idx="562">
                  <c:v>41991</c:v>
                </c:pt>
                <c:pt idx="563">
                  <c:v>41992</c:v>
                </c:pt>
                <c:pt idx="564">
                  <c:v>41995</c:v>
                </c:pt>
                <c:pt idx="565">
                  <c:v>41996</c:v>
                </c:pt>
                <c:pt idx="566">
                  <c:v>41997</c:v>
                </c:pt>
                <c:pt idx="567">
                  <c:v>41999</c:v>
                </c:pt>
                <c:pt idx="568">
                  <c:v>42002</c:v>
                </c:pt>
                <c:pt idx="569">
                  <c:v>42003</c:v>
                </c:pt>
                <c:pt idx="570">
                  <c:v>42004</c:v>
                </c:pt>
                <c:pt idx="571">
                  <c:v>42006</c:v>
                </c:pt>
                <c:pt idx="572">
                  <c:v>42009</c:v>
                </c:pt>
                <c:pt idx="573">
                  <c:v>42010</c:v>
                </c:pt>
                <c:pt idx="574">
                  <c:v>42011</c:v>
                </c:pt>
                <c:pt idx="575">
                  <c:v>42012</c:v>
                </c:pt>
                <c:pt idx="576">
                  <c:v>42013</c:v>
                </c:pt>
                <c:pt idx="577">
                  <c:v>42016</c:v>
                </c:pt>
                <c:pt idx="578">
                  <c:v>42017</c:v>
                </c:pt>
                <c:pt idx="579">
                  <c:v>42018</c:v>
                </c:pt>
                <c:pt idx="580">
                  <c:v>42019</c:v>
                </c:pt>
                <c:pt idx="581">
                  <c:v>42020</c:v>
                </c:pt>
                <c:pt idx="582">
                  <c:v>42023</c:v>
                </c:pt>
                <c:pt idx="583">
                  <c:v>42024</c:v>
                </c:pt>
                <c:pt idx="584">
                  <c:v>42025</c:v>
                </c:pt>
                <c:pt idx="585">
                  <c:v>42026</c:v>
                </c:pt>
                <c:pt idx="586">
                  <c:v>42027</c:v>
                </c:pt>
                <c:pt idx="587">
                  <c:v>42031</c:v>
                </c:pt>
                <c:pt idx="588">
                  <c:v>42032</c:v>
                </c:pt>
                <c:pt idx="589">
                  <c:v>42033</c:v>
                </c:pt>
                <c:pt idx="590">
                  <c:v>42034</c:v>
                </c:pt>
                <c:pt idx="591">
                  <c:v>42037</c:v>
                </c:pt>
                <c:pt idx="592">
                  <c:v>42038</c:v>
                </c:pt>
                <c:pt idx="593">
                  <c:v>42039</c:v>
                </c:pt>
                <c:pt idx="594">
                  <c:v>42040</c:v>
                </c:pt>
                <c:pt idx="595">
                  <c:v>42041</c:v>
                </c:pt>
                <c:pt idx="596">
                  <c:v>42044</c:v>
                </c:pt>
                <c:pt idx="597">
                  <c:v>42045</c:v>
                </c:pt>
                <c:pt idx="598">
                  <c:v>42046</c:v>
                </c:pt>
                <c:pt idx="599">
                  <c:v>42047</c:v>
                </c:pt>
                <c:pt idx="600">
                  <c:v>42048</c:v>
                </c:pt>
                <c:pt idx="601">
                  <c:v>42051</c:v>
                </c:pt>
                <c:pt idx="602">
                  <c:v>42053</c:v>
                </c:pt>
                <c:pt idx="603">
                  <c:v>42054</c:v>
                </c:pt>
                <c:pt idx="604">
                  <c:v>42055</c:v>
                </c:pt>
                <c:pt idx="605">
                  <c:v>42058</c:v>
                </c:pt>
                <c:pt idx="606">
                  <c:v>42059</c:v>
                </c:pt>
                <c:pt idx="607">
                  <c:v>42060</c:v>
                </c:pt>
                <c:pt idx="608">
                  <c:v>42061</c:v>
                </c:pt>
                <c:pt idx="609">
                  <c:v>42062</c:v>
                </c:pt>
                <c:pt idx="610">
                  <c:v>42065</c:v>
                </c:pt>
                <c:pt idx="611">
                  <c:v>42066</c:v>
                </c:pt>
                <c:pt idx="612">
                  <c:v>42067</c:v>
                </c:pt>
                <c:pt idx="613">
                  <c:v>42068</c:v>
                </c:pt>
                <c:pt idx="614">
                  <c:v>42072</c:v>
                </c:pt>
                <c:pt idx="615">
                  <c:v>42073</c:v>
                </c:pt>
                <c:pt idx="616">
                  <c:v>42074</c:v>
                </c:pt>
                <c:pt idx="617">
                  <c:v>42075</c:v>
                </c:pt>
                <c:pt idx="618">
                  <c:v>42076</c:v>
                </c:pt>
                <c:pt idx="619">
                  <c:v>42079</c:v>
                </c:pt>
                <c:pt idx="620">
                  <c:v>42080</c:v>
                </c:pt>
                <c:pt idx="621">
                  <c:v>42081</c:v>
                </c:pt>
                <c:pt idx="622">
                  <c:v>42082</c:v>
                </c:pt>
                <c:pt idx="623">
                  <c:v>42083</c:v>
                </c:pt>
                <c:pt idx="624">
                  <c:v>42086</c:v>
                </c:pt>
                <c:pt idx="625">
                  <c:v>42087</c:v>
                </c:pt>
                <c:pt idx="626">
                  <c:v>42088</c:v>
                </c:pt>
                <c:pt idx="627">
                  <c:v>42089</c:v>
                </c:pt>
                <c:pt idx="628">
                  <c:v>42090</c:v>
                </c:pt>
                <c:pt idx="629">
                  <c:v>42093</c:v>
                </c:pt>
                <c:pt idx="630">
                  <c:v>42094</c:v>
                </c:pt>
                <c:pt idx="631">
                  <c:v>42095</c:v>
                </c:pt>
                <c:pt idx="632">
                  <c:v>42100</c:v>
                </c:pt>
                <c:pt idx="633">
                  <c:v>42101</c:v>
                </c:pt>
                <c:pt idx="634">
                  <c:v>42102</c:v>
                </c:pt>
                <c:pt idx="635">
                  <c:v>42103</c:v>
                </c:pt>
                <c:pt idx="636">
                  <c:v>42104</c:v>
                </c:pt>
                <c:pt idx="637">
                  <c:v>42107</c:v>
                </c:pt>
                <c:pt idx="638">
                  <c:v>42110</c:v>
                </c:pt>
                <c:pt idx="639">
                  <c:v>42111</c:v>
                </c:pt>
                <c:pt idx="640">
                  <c:v>42114</c:v>
                </c:pt>
                <c:pt idx="641">
                  <c:v>42115</c:v>
                </c:pt>
                <c:pt idx="642">
                  <c:v>42116</c:v>
                </c:pt>
                <c:pt idx="643">
                  <c:v>42117</c:v>
                </c:pt>
                <c:pt idx="644">
                  <c:v>42118</c:v>
                </c:pt>
                <c:pt idx="645">
                  <c:v>42121</c:v>
                </c:pt>
                <c:pt idx="646">
                  <c:v>42122</c:v>
                </c:pt>
                <c:pt idx="647">
                  <c:v>42123</c:v>
                </c:pt>
                <c:pt idx="648">
                  <c:v>42124</c:v>
                </c:pt>
                <c:pt idx="649">
                  <c:v>42128</c:v>
                </c:pt>
                <c:pt idx="650">
                  <c:v>42129</c:v>
                </c:pt>
                <c:pt idx="651">
                  <c:v>42130</c:v>
                </c:pt>
                <c:pt idx="652">
                  <c:v>42131</c:v>
                </c:pt>
                <c:pt idx="653">
                  <c:v>42132</c:v>
                </c:pt>
                <c:pt idx="654">
                  <c:v>42135</c:v>
                </c:pt>
                <c:pt idx="655">
                  <c:v>42136</c:v>
                </c:pt>
                <c:pt idx="656">
                  <c:v>42137</c:v>
                </c:pt>
                <c:pt idx="657">
                  <c:v>42138</c:v>
                </c:pt>
                <c:pt idx="658">
                  <c:v>42139</c:v>
                </c:pt>
                <c:pt idx="659">
                  <c:v>42142</c:v>
                </c:pt>
                <c:pt idx="660">
                  <c:v>42143</c:v>
                </c:pt>
                <c:pt idx="661">
                  <c:v>42144</c:v>
                </c:pt>
                <c:pt idx="662">
                  <c:v>42145</c:v>
                </c:pt>
                <c:pt idx="663">
                  <c:v>42146</c:v>
                </c:pt>
                <c:pt idx="664">
                  <c:v>42149</c:v>
                </c:pt>
                <c:pt idx="665">
                  <c:v>42150</c:v>
                </c:pt>
                <c:pt idx="666">
                  <c:v>42151</c:v>
                </c:pt>
                <c:pt idx="667">
                  <c:v>42152</c:v>
                </c:pt>
                <c:pt idx="668">
                  <c:v>42153</c:v>
                </c:pt>
                <c:pt idx="669">
                  <c:v>42156</c:v>
                </c:pt>
                <c:pt idx="670">
                  <c:v>42157</c:v>
                </c:pt>
                <c:pt idx="671">
                  <c:v>42158</c:v>
                </c:pt>
                <c:pt idx="672">
                  <c:v>42159</c:v>
                </c:pt>
                <c:pt idx="673">
                  <c:v>42160</c:v>
                </c:pt>
                <c:pt idx="674">
                  <c:v>42163</c:v>
                </c:pt>
                <c:pt idx="675">
                  <c:v>42164</c:v>
                </c:pt>
                <c:pt idx="676">
                  <c:v>42165</c:v>
                </c:pt>
                <c:pt idx="677">
                  <c:v>42166</c:v>
                </c:pt>
                <c:pt idx="678">
                  <c:v>42167</c:v>
                </c:pt>
                <c:pt idx="679">
                  <c:v>42170</c:v>
                </c:pt>
                <c:pt idx="680">
                  <c:v>42171</c:v>
                </c:pt>
                <c:pt idx="681">
                  <c:v>42172</c:v>
                </c:pt>
                <c:pt idx="682">
                  <c:v>42173</c:v>
                </c:pt>
                <c:pt idx="683">
                  <c:v>42174</c:v>
                </c:pt>
                <c:pt idx="684">
                  <c:v>42177</c:v>
                </c:pt>
                <c:pt idx="685">
                  <c:v>42178</c:v>
                </c:pt>
                <c:pt idx="686">
                  <c:v>42179</c:v>
                </c:pt>
                <c:pt idx="687">
                  <c:v>42180</c:v>
                </c:pt>
                <c:pt idx="688">
                  <c:v>42181</c:v>
                </c:pt>
                <c:pt idx="689">
                  <c:v>42184</c:v>
                </c:pt>
                <c:pt idx="690">
                  <c:v>42185</c:v>
                </c:pt>
                <c:pt idx="691">
                  <c:v>42186</c:v>
                </c:pt>
                <c:pt idx="692">
                  <c:v>42187</c:v>
                </c:pt>
                <c:pt idx="693">
                  <c:v>42188</c:v>
                </c:pt>
                <c:pt idx="694">
                  <c:v>42191</c:v>
                </c:pt>
                <c:pt idx="695">
                  <c:v>42192</c:v>
                </c:pt>
                <c:pt idx="696">
                  <c:v>42193</c:v>
                </c:pt>
                <c:pt idx="697">
                  <c:v>42194</c:v>
                </c:pt>
                <c:pt idx="698">
                  <c:v>42195</c:v>
                </c:pt>
                <c:pt idx="699">
                  <c:v>42198</c:v>
                </c:pt>
                <c:pt idx="700">
                  <c:v>42199</c:v>
                </c:pt>
                <c:pt idx="701">
                  <c:v>42200</c:v>
                </c:pt>
                <c:pt idx="702">
                  <c:v>42201</c:v>
                </c:pt>
                <c:pt idx="703">
                  <c:v>42202</c:v>
                </c:pt>
                <c:pt idx="704">
                  <c:v>42205</c:v>
                </c:pt>
                <c:pt idx="705">
                  <c:v>42206</c:v>
                </c:pt>
                <c:pt idx="706">
                  <c:v>42207</c:v>
                </c:pt>
                <c:pt idx="707">
                  <c:v>42208</c:v>
                </c:pt>
                <c:pt idx="708">
                  <c:v>42209</c:v>
                </c:pt>
                <c:pt idx="709">
                  <c:v>42212</c:v>
                </c:pt>
                <c:pt idx="710">
                  <c:v>42213</c:v>
                </c:pt>
                <c:pt idx="711">
                  <c:v>42214</c:v>
                </c:pt>
                <c:pt idx="712">
                  <c:v>42215</c:v>
                </c:pt>
                <c:pt idx="713">
                  <c:v>42216</c:v>
                </c:pt>
                <c:pt idx="714">
                  <c:v>42219</c:v>
                </c:pt>
                <c:pt idx="715">
                  <c:v>42220</c:v>
                </c:pt>
                <c:pt idx="716">
                  <c:v>42221</c:v>
                </c:pt>
                <c:pt idx="717">
                  <c:v>42222</c:v>
                </c:pt>
                <c:pt idx="718">
                  <c:v>42223</c:v>
                </c:pt>
                <c:pt idx="719">
                  <c:v>42226</c:v>
                </c:pt>
                <c:pt idx="720">
                  <c:v>42227</c:v>
                </c:pt>
                <c:pt idx="721">
                  <c:v>42228</c:v>
                </c:pt>
                <c:pt idx="722">
                  <c:v>42229</c:v>
                </c:pt>
                <c:pt idx="723">
                  <c:v>42230</c:v>
                </c:pt>
                <c:pt idx="724">
                  <c:v>42233</c:v>
                </c:pt>
                <c:pt idx="725">
                  <c:v>42234</c:v>
                </c:pt>
                <c:pt idx="726">
                  <c:v>42235</c:v>
                </c:pt>
                <c:pt idx="727">
                  <c:v>42236</c:v>
                </c:pt>
                <c:pt idx="728">
                  <c:v>42237</c:v>
                </c:pt>
                <c:pt idx="729">
                  <c:v>42240</c:v>
                </c:pt>
                <c:pt idx="730">
                  <c:v>42241</c:v>
                </c:pt>
                <c:pt idx="731">
                  <c:v>42242</c:v>
                </c:pt>
                <c:pt idx="732">
                  <c:v>42243</c:v>
                </c:pt>
                <c:pt idx="733">
                  <c:v>42244</c:v>
                </c:pt>
                <c:pt idx="734">
                  <c:v>42247</c:v>
                </c:pt>
                <c:pt idx="735">
                  <c:v>42248</c:v>
                </c:pt>
                <c:pt idx="736">
                  <c:v>42249</c:v>
                </c:pt>
                <c:pt idx="737">
                  <c:v>42250</c:v>
                </c:pt>
                <c:pt idx="738">
                  <c:v>42251</c:v>
                </c:pt>
                <c:pt idx="739">
                  <c:v>42254</c:v>
                </c:pt>
                <c:pt idx="740">
                  <c:v>42255</c:v>
                </c:pt>
                <c:pt idx="741">
                  <c:v>42256</c:v>
                </c:pt>
                <c:pt idx="742">
                  <c:v>42257</c:v>
                </c:pt>
                <c:pt idx="743">
                  <c:v>42258</c:v>
                </c:pt>
                <c:pt idx="744">
                  <c:v>42261</c:v>
                </c:pt>
                <c:pt idx="745">
                  <c:v>42262</c:v>
                </c:pt>
                <c:pt idx="746">
                  <c:v>42263</c:v>
                </c:pt>
                <c:pt idx="747">
                  <c:v>42265</c:v>
                </c:pt>
                <c:pt idx="748">
                  <c:v>42268</c:v>
                </c:pt>
                <c:pt idx="749">
                  <c:v>42269</c:v>
                </c:pt>
                <c:pt idx="750">
                  <c:v>42270</c:v>
                </c:pt>
                <c:pt idx="751">
                  <c:v>42271</c:v>
                </c:pt>
                <c:pt idx="752">
                  <c:v>42275</c:v>
                </c:pt>
                <c:pt idx="753">
                  <c:v>42276</c:v>
                </c:pt>
                <c:pt idx="754">
                  <c:v>42277</c:v>
                </c:pt>
                <c:pt idx="755">
                  <c:v>42278</c:v>
                </c:pt>
                <c:pt idx="756">
                  <c:v>42282</c:v>
                </c:pt>
                <c:pt idx="757">
                  <c:v>42283</c:v>
                </c:pt>
                <c:pt idx="758">
                  <c:v>42284</c:v>
                </c:pt>
                <c:pt idx="759">
                  <c:v>42285</c:v>
                </c:pt>
                <c:pt idx="760">
                  <c:v>42286</c:v>
                </c:pt>
                <c:pt idx="761">
                  <c:v>42289</c:v>
                </c:pt>
                <c:pt idx="762">
                  <c:v>42290</c:v>
                </c:pt>
                <c:pt idx="763">
                  <c:v>42291</c:v>
                </c:pt>
                <c:pt idx="764">
                  <c:v>42292</c:v>
                </c:pt>
                <c:pt idx="765">
                  <c:v>42293</c:v>
                </c:pt>
                <c:pt idx="766">
                  <c:v>42296</c:v>
                </c:pt>
                <c:pt idx="767">
                  <c:v>42297</c:v>
                </c:pt>
                <c:pt idx="768">
                  <c:v>42298</c:v>
                </c:pt>
                <c:pt idx="769">
                  <c:v>42300</c:v>
                </c:pt>
                <c:pt idx="770">
                  <c:v>42303</c:v>
                </c:pt>
                <c:pt idx="771">
                  <c:v>42304</c:v>
                </c:pt>
                <c:pt idx="772">
                  <c:v>42305</c:v>
                </c:pt>
                <c:pt idx="773">
                  <c:v>42306</c:v>
                </c:pt>
                <c:pt idx="774">
                  <c:v>42307</c:v>
                </c:pt>
                <c:pt idx="775">
                  <c:v>42310</c:v>
                </c:pt>
                <c:pt idx="776">
                  <c:v>42311</c:v>
                </c:pt>
                <c:pt idx="777">
                  <c:v>42312</c:v>
                </c:pt>
                <c:pt idx="778">
                  <c:v>42313</c:v>
                </c:pt>
                <c:pt idx="779">
                  <c:v>42314</c:v>
                </c:pt>
                <c:pt idx="780">
                  <c:v>42317</c:v>
                </c:pt>
                <c:pt idx="781">
                  <c:v>42318</c:v>
                </c:pt>
                <c:pt idx="782">
                  <c:v>42319</c:v>
                </c:pt>
                <c:pt idx="783">
                  <c:v>42321</c:v>
                </c:pt>
                <c:pt idx="784">
                  <c:v>42324</c:v>
                </c:pt>
                <c:pt idx="785">
                  <c:v>42325</c:v>
                </c:pt>
                <c:pt idx="786">
                  <c:v>42326</c:v>
                </c:pt>
                <c:pt idx="787">
                  <c:v>42327</c:v>
                </c:pt>
                <c:pt idx="788">
                  <c:v>42328</c:v>
                </c:pt>
                <c:pt idx="789">
                  <c:v>42331</c:v>
                </c:pt>
                <c:pt idx="790">
                  <c:v>42332</c:v>
                </c:pt>
                <c:pt idx="791">
                  <c:v>42334</c:v>
                </c:pt>
                <c:pt idx="792">
                  <c:v>42335</c:v>
                </c:pt>
                <c:pt idx="793">
                  <c:v>42338</c:v>
                </c:pt>
                <c:pt idx="794">
                  <c:v>42339</c:v>
                </c:pt>
                <c:pt idx="795">
                  <c:v>42340</c:v>
                </c:pt>
                <c:pt idx="796">
                  <c:v>42341</c:v>
                </c:pt>
                <c:pt idx="797">
                  <c:v>42342</c:v>
                </c:pt>
                <c:pt idx="798">
                  <c:v>42345</c:v>
                </c:pt>
                <c:pt idx="799">
                  <c:v>42346</c:v>
                </c:pt>
                <c:pt idx="800">
                  <c:v>42347</c:v>
                </c:pt>
                <c:pt idx="801">
                  <c:v>42348</c:v>
                </c:pt>
                <c:pt idx="802">
                  <c:v>42349</c:v>
                </c:pt>
                <c:pt idx="803">
                  <c:v>42352</c:v>
                </c:pt>
                <c:pt idx="804">
                  <c:v>42353</c:v>
                </c:pt>
                <c:pt idx="805">
                  <c:v>42354</c:v>
                </c:pt>
                <c:pt idx="806">
                  <c:v>42355</c:v>
                </c:pt>
                <c:pt idx="807">
                  <c:v>42356</c:v>
                </c:pt>
                <c:pt idx="808">
                  <c:v>42359</c:v>
                </c:pt>
                <c:pt idx="809">
                  <c:v>42360</c:v>
                </c:pt>
                <c:pt idx="810">
                  <c:v>42361</c:v>
                </c:pt>
                <c:pt idx="811">
                  <c:v>42362</c:v>
                </c:pt>
                <c:pt idx="812">
                  <c:v>42366</c:v>
                </c:pt>
                <c:pt idx="813">
                  <c:v>42367</c:v>
                </c:pt>
                <c:pt idx="814">
                  <c:v>42368</c:v>
                </c:pt>
                <c:pt idx="815">
                  <c:v>42369</c:v>
                </c:pt>
                <c:pt idx="816">
                  <c:v>42373</c:v>
                </c:pt>
                <c:pt idx="817">
                  <c:v>42374</c:v>
                </c:pt>
                <c:pt idx="818">
                  <c:v>42375</c:v>
                </c:pt>
                <c:pt idx="819">
                  <c:v>42376</c:v>
                </c:pt>
                <c:pt idx="820">
                  <c:v>42377</c:v>
                </c:pt>
                <c:pt idx="821">
                  <c:v>42380</c:v>
                </c:pt>
                <c:pt idx="822">
                  <c:v>42381</c:v>
                </c:pt>
                <c:pt idx="823">
                  <c:v>42382</c:v>
                </c:pt>
                <c:pt idx="824">
                  <c:v>42383</c:v>
                </c:pt>
                <c:pt idx="825">
                  <c:v>42384</c:v>
                </c:pt>
                <c:pt idx="826">
                  <c:v>42387</c:v>
                </c:pt>
                <c:pt idx="827">
                  <c:v>42388</c:v>
                </c:pt>
                <c:pt idx="828">
                  <c:v>42389</c:v>
                </c:pt>
                <c:pt idx="829">
                  <c:v>42390</c:v>
                </c:pt>
                <c:pt idx="830">
                  <c:v>42391</c:v>
                </c:pt>
                <c:pt idx="831">
                  <c:v>42394</c:v>
                </c:pt>
                <c:pt idx="832">
                  <c:v>42396</c:v>
                </c:pt>
                <c:pt idx="833">
                  <c:v>42397</c:v>
                </c:pt>
                <c:pt idx="834">
                  <c:v>42398</c:v>
                </c:pt>
                <c:pt idx="835">
                  <c:v>42401</c:v>
                </c:pt>
                <c:pt idx="836">
                  <c:v>42402</c:v>
                </c:pt>
                <c:pt idx="837">
                  <c:v>42403</c:v>
                </c:pt>
                <c:pt idx="838">
                  <c:v>42404</c:v>
                </c:pt>
                <c:pt idx="839">
                  <c:v>42405</c:v>
                </c:pt>
                <c:pt idx="840">
                  <c:v>42408</c:v>
                </c:pt>
                <c:pt idx="841">
                  <c:v>42409</c:v>
                </c:pt>
                <c:pt idx="842">
                  <c:v>42410</c:v>
                </c:pt>
                <c:pt idx="843">
                  <c:v>42411</c:v>
                </c:pt>
                <c:pt idx="844">
                  <c:v>42412</c:v>
                </c:pt>
                <c:pt idx="845">
                  <c:v>42415</c:v>
                </c:pt>
                <c:pt idx="846">
                  <c:v>42416</c:v>
                </c:pt>
                <c:pt idx="847">
                  <c:v>42417</c:v>
                </c:pt>
                <c:pt idx="848">
                  <c:v>42418</c:v>
                </c:pt>
                <c:pt idx="849">
                  <c:v>42419</c:v>
                </c:pt>
                <c:pt idx="850">
                  <c:v>42422</c:v>
                </c:pt>
                <c:pt idx="851">
                  <c:v>42423</c:v>
                </c:pt>
                <c:pt idx="852">
                  <c:v>42424</c:v>
                </c:pt>
                <c:pt idx="853">
                  <c:v>42425</c:v>
                </c:pt>
                <c:pt idx="854">
                  <c:v>42426</c:v>
                </c:pt>
                <c:pt idx="855">
                  <c:v>42429</c:v>
                </c:pt>
                <c:pt idx="856">
                  <c:v>42430</c:v>
                </c:pt>
                <c:pt idx="857">
                  <c:v>42431</c:v>
                </c:pt>
                <c:pt idx="858">
                  <c:v>42432</c:v>
                </c:pt>
                <c:pt idx="859">
                  <c:v>42433</c:v>
                </c:pt>
                <c:pt idx="860">
                  <c:v>42437</c:v>
                </c:pt>
                <c:pt idx="861">
                  <c:v>42438</c:v>
                </c:pt>
                <c:pt idx="862">
                  <c:v>42439</c:v>
                </c:pt>
                <c:pt idx="863">
                  <c:v>42440</c:v>
                </c:pt>
                <c:pt idx="864">
                  <c:v>42443</c:v>
                </c:pt>
                <c:pt idx="865">
                  <c:v>42444</c:v>
                </c:pt>
                <c:pt idx="866">
                  <c:v>42445</c:v>
                </c:pt>
                <c:pt idx="867">
                  <c:v>42446</c:v>
                </c:pt>
                <c:pt idx="868">
                  <c:v>42447</c:v>
                </c:pt>
                <c:pt idx="869">
                  <c:v>42450</c:v>
                </c:pt>
                <c:pt idx="870">
                  <c:v>42451</c:v>
                </c:pt>
                <c:pt idx="871">
                  <c:v>42452</c:v>
                </c:pt>
                <c:pt idx="872">
                  <c:v>42457</c:v>
                </c:pt>
                <c:pt idx="873">
                  <c:v>42458</c:v>
                </c:pt>
                <c:pt idx="874">
                  <c:v>42459</c:v>
                </c:pt>
                <c:pt idx="875">
                  <c:v>42460</c:v>
                </c:pt>
                <c:pt idx="876">
                  <c:v>42461</c:v>
                </c:pt>
                <c:pt idx="877">
                  <c:v>42464</c:v>
                </c:pt>
                <c:pt idx="878">
                  <c:v>42465</c:v>
                </c:pt>
                <c:pt idx="879">
                  <c:v>42466</c:v>
                </c:pt>
                <c:pt idx="880">
                  <c:v>42467</c:v>
                </c:pt>
                <c:pt idx="881">
                  <c:v>42468</c:v>
                </c:pt>
                <c:pt idx="882">
                  <c:v>42471</c:v>
                </c:pt>
                <c:pt idx="883">
                  <c:v>42472</c:v>
                </c:pt>
                <c:pt idx="884">
                  <c:v>42473</c:v>
                </c:pt>
                <c:pt idx="885">
                  <c:v>42478</c:v>
                </c:pt>
                <c:pt idx="886">
                  <c:v>42480</c:v>
                </c:pt>
                <c:pt idx="887">
                  <c:v>42481</c:v>
                </c:pt>
                <c:pt idx="888">
                  <c:v>42482</c:v>
                </c:pt>
                <c:pt idx="889">
                  <c:v>42485</c:v>
                </c:pt>
                <c:pt idx="890">
                  <c:v>42486</c:v>
                </c:pt>
                <c:pt idx="891">
                  <c:v>42487</c:v>
                </c:pt>
                <c:pt idx="892">
                  <c:v>42488</c:v>
                </c:pt>
                <c:pt idx="893">
                  <c:v>42489</c:v>
                </c:pt>
                <c:pt idx="894">
                  <c:v>42492</c:v>
                </c:pt>
                <c:pt idx="895">
                  <c:v>42493</c:v>
                </c:pt>
                <c:pt idx="896">
                  <c:v>42494</c:v>
                </c:pt>
                <c:pt idx="897">
                  <c:v>42495</c:v>
                </c:pt>
                <c:pt idx="898">
                  <c:v>42496</c:v>
                </c:pt>
                <c:pt idx="899">
                  <c:v>42499</c:v>
                </c:pt>
                <c:pt idx="900">
                  <c:v>42500</c:v>
                </c:pt>
                <c:pt idx="901">
                  <c:v>42501</c:v>
                </c:pt>
                <c:pt idx="902">
                  <c:v>42502</c:v>
                </c:pt>
                <c:pt idx="903">
                  <c:v>42503</c:v>
                </c:pt>
                <c:pt idx="904">
                  <c:v>42506</c:v>
                </c:pt>
                <c:pt idx="905">
                  <c:v>42507</c:v>
                </c:pt>
                <c:pt idx="906">
                  <c:v>42508</c:v>
                </c:pt>
                <c:pt idx="907">
                  <c:v>42509</c:v>
                </c:pt>
                <c:pt idx="908">
                  <c:v>42510</c:v>
                </c:pt>
                <c:pt idx="909">
                  <c:v>42513</c:v>
                </c:pt>
                <c:pt idx="910">
                  <c:v>42514</c:v>
                </c:pt>
                <c:pt idx="911">
                  <c:v>42515</c:v>
                </c:pt>
                <c:pt idx="912">
                  <c:v>42516</c:v>
                </c:pt>
                <c:pt idx="913">
                  <c:v>42517</c:v>
                </c:pt>
                <c:pt idx="914">
                  <c:v>42520</c:v>
                </c:pt>
                <c:pt idx="915">
                  <c:v>42521</c:v>
                </c:pt>
                <c:pt idx="916">
                  <c:v>42522</c:v>
                </c:pt>
                <c:pt idx="917">
                  <c:v>42523</c:v>
                </c:pt>
                <c:pt idx="918">
                  <c:v>42524</c:v>
                </c:pt>
                <c:pt idx="919">
                  <c:v>42527</c:v>
                </c:pt>
                <c:pt idx="920">
                  <c:v>42528</c:v>
                </c:pt>
                <c:pt idx="921">
                  <c:v>42529</c:v>
                </c:pt>
                <c:pt idx="922">
                  <c:v>42530</c:v>
                </c:pt>
                <c:pt idx="923">
                  <c:v>42531</c:v>
                </c:pt>
                <c:pt idx="924">
                  <c:v>42534</c:v>
                </c:pt>
                <c:pt idx="925">
                  <c:v>42535</c:v>
                </c:pt>
                <c:pt idx="926">
                  <c:v>42536</c:v>
                </c:pt>
                <c:pt idx="927">
                  <c:v>42537</c:v>
                </c:pt>
                <c:pt idx="928">
                  <c:v>42538</c:v>
                </c:pt>
                <c:pt idx="929">
                  <c:v>42541</c:v>
                </c:pt>
                <c:pt idx="930">
                  <c:v>42542</c:v>
                </c:pt>
                <c:pt idx="931">
                  <c:v>42543</c:v>
                </c:pt>
                <c:pt idx="932">
                  <c:v>42544</c:v>
                </c:pt>
                <c:pt idx="933">
                  <c:v>42545</c:v>
                </c:pt>
                <c:pt idx="934">
                  <c:v>42548</c:v>
                </c:pt>
                <c:pt idx="935">
                  <c:v>42549</c:v>
                </c:pt>
                <c:pt idx="936">
                  <c:v>42550</c:v>
                </c:pt>
                <c:pt idx="937">
                  <c:v>42551</c:v>
                </c:pt>
                <c:pt idx="938">
                  <c:v>42552</c:v>
                </c:pt>
                <c:pt idx="939">
                  <c:v>42555</c:v>
                </c:pt>
                <c:pt idx="940">
                  <c:v>42556</c:v>
                </c:pt>
                <c:pt idx="941">
                  <c:v>42558</c:v>
                </c:pt>
                <c:pt idx="942">
                  <c:v>42559</c:v>
                </c:pt>
                <c:pt idx="943">
                  <c:v>42562</c:v>
                </c:pt>
                <c:pt idx="944">
                  <c:v>42563</c:v>
                </c:pt>
                <c:pt idx="945">
                  <c:v>42564</c:v>
                </c:pt>
                <c:pt idx="946">
                  <c:v>42565</c:v>
                </c:pt>
                <c:pt idx="947">
                  <c:v>42566</c:v>
                </c:pt>
                <c:pt idx="948">
                  <c:v>42569</c:v>
                </c:pt>
                <c:pt idx="949">
                  <c:v>42570</c:v>
                </c:pt>
                <c:pt idx="950">
                  <c:v>42571</c:v>
                </c:pt>
                <c:pt idx="951">
                  <c:v>42572</c:v>
                </c:pt>
                <c:pt idx="952">
                  <c:v>42573</c:v>
                </c:pt>
                <c:pt idx="953">
                  <c:v>42576</c:v>
                </c:pt>
                <c:pt idx="954">
                  <c:v>42577</c:v>
                </c:pt>
                <c:pt idx="955">
                  <c:v>42578</c:v>
                </c:pt>
                <c:pt idx="956">
                  <c:v>42579</c:v>
                </c:pt>
                <c:pt idx="957">
                  <c:v>42580</c:v>
                </c:pt>
                <c:pt idx="958">
                  <c:v>42583</c:v>
                </c:pt>
                <c:pt idx="959">
                  <c:v>42584</c:v>
                </c:pt>
                <c:pt idx="960">
                  <c:v>42585</c:v>
                </c:pt>
                <c:pt idx="961">
                  <c:v>42586</c:v>
                </c:pt>
                <c:pt idx="962">
                  <c:v>42587</c:v>
                </c:pt>
                <c:pt idx="963">
                  <c:v>42590</c:v>
                </c:pt>
                <c:pt idx="964">
                  <c:v>42591</c:v>
                </c:pt>
                <c:pt idx="965">
                  <c:v>42592</c:v>
                </c:pt>
                <c:pt idx="966">
                  <c:v>42593</c:v>
                </c:pt>
                <c:pt idx="967">
                  <c:v>42598</c:v>
                </c:pt>
                <c:pt idx="968">
                  <c:v>42599</c:v>
                </c:pt>
                <c:pt idx="969">
                  <c:v>42600</c:v>
                </c:pt>
                <c:pt idx="970">
                  <c:v>42601</c:v>
                </c:pt>
                <c:pt idx="971">
                  <c:v>42604</c:v>
                </c:pt>
                <c:pt idx="972">
                  <c:v>42605</c:v>
                </c:pt>
                <c:pt idx="973">
                  <c:v>42606</c:v>
                </c:pt>
                <c:pt idx="974">
                  <c:v>42607</c:v>
                </c:pt>
                <c:pt idx="975">
                  <c:v>42608</c:v>
                </c:pt>
                <c:pt idx="976">
                  <c:v>42611</c:v>
                </c:pt>
                <c:pt idx="977">
                  <c:v>42612</c:v>
                </c:pt>
                <c:pt idx="978">
                  <c:v>42613</c:v>
                </c:pt>
                <c:pt idx="979">
                  <c:v>42614</c:v>
                </c:pt>
                <c:pt idx="980">
                  <c:v>42615</c:v>
                </c:pt>
                <c:pt idx="981">
                  <c:v>42619</c:v>
                </c:pt>
                <c:pt idx="982">
                  <c:v>42620</c:v>
                </c:pt>
                <c:pt idx="983">
                  <c:v>42621</c:v>
                </c:pt>
                <c:pt idx="984">
                  <c:v>42622</c:v>
                </c:pt>
                <c:pt idx="985">
                  <c:v>42625</c:v>
                </c:pt>
                <c:pt idx="986">
                  <c:v>42627</c:v>
                </c:pt>
                <c:pt idx="987">
                  <c:v>42628</c:v>
                </c:pt>
                <c:pt idx="988">
                  <c:v>42629</c:v>
                </c:pt>
                <c:pt idx="989">
                  <c:v>42632</c:v>
                </c:pt>
                <c:pt idx="990">
                  <c:v>42633</c:v>
                </c:pt>
                <c:pt idx="991">
                  <c:v>42634</c:v>
                </c:pt>
                <c:pt idx="992">
                  <c:v>42635</c:v>
                </c:pt>
                <c:pt idx="993">
                  <c:v>42636</c:v>
                </c:pt>
                <c:pt idx="994">
                  <c:v>42639</c:v>
                </c:pt>
                <c:pt idx="995">
                  <c:v>42640</c:v>
                </c:pt>
                <c:pt idx="996">
                  <c:v>42641</c:v>
                </c:pt>
                <c:pt idx="997">
                  <c:v>42642</c:v>
                </c:pt>
                <c:pt idx="998">
                  <c:v>42643</c:v>
                </c:pt>
                <c:pt idx="999">
                  <c:v>42646</c:v>
                </c:pt>
                <c:pt idx="1000">
                  <c:v>42647</c:v>
                </c:pt>
                <c:pt idx="1001">
                  <c:v>42648</c:v>
                </c:pt>
                <c:pt idx="1002">
                  <c:v>42649</c:v>
                </c:pt>
                <c:pt idx="1003">
                  <c:v>42650</c:v>
                </c:pt>
                <c:pt idx="1004">
                  <c:v>42653</c:v>
                </c:pt>
                <c:pt idx="1005">
                  <c:v>42656</c:v>
                </c:pt>
                <c:pt idx="1006">
                  <c:v>42657</c:v>
                </c:pt>
                <c:pt idx="1007">
                  <c:v>42660</c:v>
                </c:pt>
                <c:pt idx="1008">
                  <c:v>42661</c:v>
                </c:pt>
                <c:pt idx="1009">
                  <c:v>42662</c:v>
                </c:pt>
                <c:pt idx="1010">
                  <c:v>42663</c:v>
                </c:pt>
                <c:pt idx="1011">
                  <c:v>42664</c:v>
                </c:pt>
                <c:pt idx="1012">
                  <c:v>42667</c:v>
                </c:pt>
                <c:pt idx="1013">
                  <c:v>42668</c:v>
                </c:pt>
                <c:pt idx="1014">
                  <c:v>42669</c:v>
                </c:pt>
                <c:pt idx="1015">
                  <c:v>42670</c:v>
                </c:pt>
                <c:pt idx="1016">
                  <c:v>42671</c:v>
                </c:pt>
                <c:pt idx="1017">
                  <c:v>42675</c:v>
                </c:pt>
                <c:pt idx="1018">
                  <c:v>42676</c:v>
                </c:pt>
                <c:pt idx="1019">
                  <c:v>42677</c:v>
                </c:pt>
                <c:pt idx="1020">
                  <c:v>42678</c:v>
                </c:pt>
                <c:pt idx="1021">
                  <c:v>42681</c:v>
                </c:pt>
                <c:pt idx="1022">
                  <c:v>42682</c:v>
                </c:pt>
                <c:pt idx="1023">
                  <c:v>42683</c:v>
                </c:pt>
                <c:pt idx="1024">
                  <c:v>42684</c:v>
                </c:pt>
                <c:pt idx="1025">
                  <c:v>42685</c:v>
                </c:pt>
                <c:pt idx="1026">
                  <c:v>42689</c:v>
                </c:pt>
                <c:pt idx="1027">
                  <c:v>42690</c:v>
                </c:pt>
                <c:pt idx="1028">
                  <c:v>42691</c:v>
                </c:pt>
                <c:pt idx="1029">
                  <c:v>42692</c:v>
                </c:pt>
                <c:pt idx="1030">
                  <c:v>42695</c:v>
                </c:pt>
                <c:pt idx="1031">
                  <c:v>42696</c:v>
                </c:pt>
                <c:pt idx="1032">
                  <c:v>42697</c:v>
                </c:pt>
                <c:pt idx="1033">
                  <c:v>42698</c:v>
                </c:pt>
                <c:pt idx="1034">
                  <c:v>42699</c:v>
                </c:pt>
                <c:pt idx="1035">
                  <c:v>42702</c:v>
                </c:pt>
                <c:pt idx="1036">
                  <c:v>42703</c:v>
                </c:pt>
                <c:pt idx="1037">
                  <c:v>42704</c:v>
                </c:pt>
                <c:pt idx="1038">
                  <c:v>42705</c:v>
                </c:pt>
                <c:pt idx="1039">
                  <c:v>42706</c:v>
                </c:pt>
                <c:pt idx="1040">
                  <c:v>42709</c:v>
                </c:pt>
                <c:pt idx="1041">
                  <c:v>42710</c:v>
                </c:pt>
                <c:pt idx="1042">
                  <c:v>42711</c:v>
                </c:pt>
                <c:pt idx="1043">
                  <c:v>42712</c:v>
                </c:pt>
                <c:pt idx="1044">
                  <c:v>42713</c:v>
                </c:pt>
                <c:pt idx="1045">
                  <c:v>42716</c:v>
                </c:pt>
                <c:pt idx="1046">
                  <c:v>42717</c:v>
                </c:pt>
                <c:pt idx="1047">
                  <c:v>42718</c:v>
                </c:pt>
                <c:pt idx="1048">
                  <c:v>42719</c:v>
                </c:pt>
                <c:pt idx="1049">
                  <c:v>42720</c:v>
                </c:pt>
                <c:pt idx="1050">
                  <c:v>42723</c:v>
                </c:pt>
                <c:pt idx="1051">
                  <c:v>42724</c:v>
                </c:pt>
                <c:pt idx="1052">
                  <c:v>42725</c:v>
                </c:pt>
                <c:pt idx="1053">
                  <c:v>42726</c:v>
                </c:pt>
                <c:pt idx="1054">
                  <c:v>42727</c:v>
                </c:pt>
                <c:pt idx="1055">
                  <c:v>42730</c:v>
                </c:pt>
                <c:pt idx="1056">
                  <c:v>42731</c:v>
                </c:pt>
                <c:pt idx="1057">
                  <c:v>42732</c:v>
                </c:pt>
                <c:pt idx="1058">
                  <c:v>42733</c:v>
                </c:pt>
                <c:pt idx="1059">
                  <c:v>42734</c:v>
                </c:pt>
                <c:pt idx="1060">
                  <c:v>42737</c:v>
                </c:pt>
                <c:pt idx="1061">
                  <c:v>42738</c:v>
                </c:pt>
                <c:pt idx="1062">
                  <c:v>42739</c:v>
                </c:pt>
                <c:pt idx="1063">
                  <c:v>42740</c:v>
                </c:pt>
                <c:pt idx="1064">
                  <c:v>42741</c:v>
                </c:pt>
                <c:pt idx="1065">
                  <c:v>42744</c:v>
                </c:pt>
                <c:pt idx="1066">
                  <c:v>42745</c:v>
                </c:pt>
                <c:pt idx="1067">
                  <c:v>42746</c:v>
                </c:pt>
                <c:pt idx="1068">
                  <c:v>42747</c:v>
                </c:pt>
                <c:pt idx="1069">
                  <c:v>42748</c:v>
                </c:pt>
                <c:pt idx="1070">
                  <c:v>42751</c:v>
                </c:pt>
                <c:pt idx="1071">
                  <c:v>42752</c:v>
                </c:pt>
                <c:pt idx="1072">
                  <c:v>42753</c:v>
                </c:pt>
                <c:pt idx="1073">
                  <c:v>42754</c:v>
                </c:pt>
                <c:pt idx="1074">
                  <c:v>42755</c:v>
                </c:pt>
                <c:pt idx="1075">
                  <c:v>42758</c:v>
                </c:pt>
                <c:pt idx="1076">
                  <c:v>42759</c:v>
                </c:pt>
                <c:pt idx="1077">
                  <c:v>42760</c:v>
                </c:pt>
                <c:pt idx="1078">
                  <c:v>42762</c:v>
                </c:pt>
                <c:pt idx="1079">
                  <c:v>42765</c:v>
                </c:pt>
                <c:pt idx="1080">
                  <c:v>42766</c:v>
                </c:pt>
                <c:pt idx="1081">
                  <c:v>42767</c:v>
                </c:pt>
                <c:pt idx="1082">
                  <c:v>42768</c:v>
                </c:pt>
                <c:pt idx="1083">
                  <c:v>42769</c:v>
                </c:pt>
                <c:pt idx="1084">
                  <c:v>42772</c:v>
                </c:pt>
                <c:pt idx="1085">
                  <c:v>42773</c:v>
                </c:pt>
                <c:pt idx="1086">
                  <c:v>42774</c:v>
                </c:pt>
                <c:pt idx="1087">
                  <c:v>42775</c:v>
                </c:pt>
                <c:pt idx="1088">
                  <c:v>42776</c:v>
                </c:pt>
                <c:pt idx="1089">
                  <c:v>42779</c:v>
                </c:pt>
              </c:numCache>
            </c:numRef>
          </c:cat>
          <c:val>
            <c:numRef>
              <c:f>BollingerBand_Nifty!$F$2:$F$1091</c:f>
              <c:numCache>
                <c:formatCode>General</c:formatCode>
                <c:ptCount val="1090"/>
                <c:pt idx="19">
                  <c:v>5565.1340439952028</c:v>
                </c:pt>
                <c:pt idx="20">
                  <c:v>5573.468138844396</c:v>
                </c:pt>
                <c:pt idx="21">
                  <c:v>5581.4570254938544</c:v>
                </c:pt>
                <c:pt idx="22">
                  <c:v>5591.4964248004744</c:v>
                </c:pt>
                <c:pt idx="23">
                  <c:v>5622.0011065118842</c:v>
                </c:pt>
                <c:pt idx="24">
                  <c:v>5621.5276803638026</c:v>
                </c:pt>
                <c:pt idx="25">
                  <c:v>5624.145649483733</c:v>
                </c:pt>
                <c:pt idx="26">
                  <c:v>5625.7435847175748</c:v>
                </c:pt>
                <c:pt idx="27">
                  <c:v>5628.8458693924058</c:v>
                </c:pt>
                <c:pt idx="28">
                  <c:v>5635.5477059620234</c:v>
                </c:pt>
                <c:pt idx="29">
                  <c:v>5631.559910333619</c:v>
                </c:pt>
                <c:pt idx="30">
                  <c:v>5627.9357910271901</c:v>
                </c:pt>
                <c:pt idx="31">
                  <c:v>5609.8571933854</c:v>
                </c:pt>
                <c:pt idx="32">
                  <c:v>5600.7426361203588</c:v>
                </c:pt>
                <c:pt idx="33">
                  <c:v>5607.0449846603951</c:v>
                </c:pt>
                <c:pt idx="34">
                  <c:v>5611.5843682674886</c:v>
                </c:pt>
                <c:pt idx="35">
                  <c:v>5611.7209099891897</c:v>
                </c:pt>
                <c:pt idx="36">
                  <c:v>5610.3844340385385</c:v>
                </c:pt>
                <c:pt idx="37">
                  <c:v>5607.6924464091462</c:v>
                </c:pt>
                <c:pt idx="38">
                  <c:v>5605.9414253064551</c:v>
                </c:pt>
                <c:pt idx="39">
                  <c:v>5606.5597241472133</c:v>
                </c:pt>
                <c:pt idx="40">
                  <c:v>5606.3839532922893</c:v>
                </c:pt>
                <c:pt idx="41">
                  <c:v>5608.7721532881069</c:v>
                </c:pt>
                <c:pt idx="42">
                  <c:v>5609.5224390466201</c:v>
                </c:pt>
                <c:pt idx="43">
                  <c:v>5602.9040846845828</c:v>
                </c:pt>
                <c:pt idx="44">
                  <c:v>5583.847885616161</c:v>
                </c:pt>
                <c:pt idx="45">
                  <c:v>5567.5148605846252</c:v>
                </c:pt>
                <c:pt idx="46">
                  <c:v>5553.225882138865</c:v>
                </c:pt>
                <c:pt idx="47">
                  <c:v>5548.1870117428589</c:v>
                </c:pt>
                <c:pt idx="48">
                  <c:v>5545.6348857787425</c:v>
                </c:pt>
                <c:pt idx="49">
                  <c:v>5543.0870080118702</c:v>
                </c:pt>
                <c:pt idx="50">
                  <c:v>5541.4761767744849</c:v>
                </c:pt>
                <c:pt idx="51">
                  <c:v>5546.1943884200373</c:v>
                </c:pt>
                <c:pt idx="52">
                  <c:v>5549.1547520289569</c:v>
                </c:pt>
                <c:pt idx="53">
                  <c:v>5538.0219124649784</c:v>
                </c:pt>
                <c:pt idx="54">
                  <c:v>5518.595632847514</c:v>
                </c:pt>
                <c:pt idx="55">
                  <c:v>5506.4951460713828</c:v>
                </c:pt>
                <c:pt idx="56">
                  <c:v>5494.6806253874065</c:v>
                </c:pt>
                <c:pt idx="57">
                  <c:v>5483.9363247224828</c:v>
                </c:pt>
                <c:pt idx="58">
                  <c:v>5471.9470048502462</c:v>
                </c:pt>
                <c:pt idx="59">
                  <c:v>5468.9017280365406</c:v>
                </c:pt>
                <c:pt idx="60">
                  <c:v>5468.6037670425958</c:v>
                </c:pt>
                <c:pt idx="61">
                  <c:v>5473.1518998533675</c:v>
                </c:pt>
                <c:pt idx="62">
                  <c:v>5480.4176399573025</c:v>
                </c:pt>
                <c:pt idx="63">
                  <c:v>5495.5581464998531</c:v>
                </c:pt>
                <c:pt idx="64">
                  <c:v>5523.293231305096</c:v>
                </c:pt>
                <c:pt idx="65">
                  <c:v>5556.4243994864819</c:v>
                </c:pt>
                <c:pt idx="66">
                  <c:v>5594.6599283937021</c:v>
                </c:pt>
                <c:pt idx="67">
                  <c:v>5626.7609601761915</c:v>
                </c:pt>
                <c:pt idx="68">
                  <c:v>5662.3582669117313</c:v>
                </c:pt>
                <c:pt idx="69">
                  <c:v>5705.284919342158</c:v>
                </c:pt>
                <c:pt idx="70">
                  <c:v>5757.5282216258574</c:v>
                </c:pt>
                <c:pt idx="71">
                  <c:v>5787.6858370749751</c:v>
                </c:pt>
                <c:pt idx="72">
                  <c:v>5828.6793060618011</c:v>
                </c:pt>
                <c:pt idx="73">
                  <c:v>5839.724822926386</c:v>
                </c:pt>
                <c:pt idx="74">
                  <c:v>5840.7589750188745</c:v>
                </c:pt>
                <c:pt idx="75">
                  <c:v>5830.1301034742746</c:v>
                </c:pt>
                <c:pt idx="76">
                  <c:v>5819.5539198254282</c:v>
                </c:pt>
                <c:pt idx="77">
                  <c:v>5811.2624849178565</c:v>
                </c:pt>
                <c:pt idx="78">
                  <c:v>5808.1978449279104</c:v>
                </c:pt>
                <c:pt idx="79">
                  <c:v>5805.4272604918879</c:v>
                </c:pt>
                <c:pt idx="80">
                  <c:v>5805.9550068801564</c:v>
                </c:pt>
                <c:pt idx="81">
                  <c:v>5807.8547733526138</c:v>
                </c:pt>
                <c:pt idx="82">
                  <c:v>5811.6006801584654</c:v>
                </c:pt>
                <c:pt idx="83">
                  <c:v>5817.9631883073616</c:v>
                </c:pt>
                <c:pt idx="84">
                  <c:v>5817.9665074151098</c:v>
                </c:pt>
                <c:pt idx="85">
                  <c:v>5829.4404973869669</c:v>
                </c:pt>
                <c:pt idx="86">
                  <c:v>5833.2679554950591</c:v>
                </c:pt>
                <c:pt idx="87">
                  <c:v>5832.1592781261734</c:v>
                </c:pt>
                <c:pt idx="88">
                  <c:v>5832.6700502613367</c:v>
                </c:pt>
                <c:pt idx="89">
                  <c:v>5852.0511633154601</c:v>
                </c:pt>
                <c:pt idx="90">
                  <c:v>5872.9817358869705</c:v>
                </c:pt>
                <c:pt idx="91">
                  <c:v>5885.529052494996</c:v>
                </c:pt>
                <c:pt idx="92">
                  <c:v>5908.4372308658221</c:v>
                </c:pt>
                <c:pt idx="93">
                  <c:v>5924.5730019339799</c:v>
                </c:pt>
                <c:pt idx="94">
                  <c:v>5947.3925797805732</c:v>
                </c:pt>
                <c:pt idx="95">
                  <c:v>5950.7876009737929</c:v>
                </c:pt>
                <c:pt idx="96">
                  <c:v>5952.4765693406744</c:v>
                </c:pt>
                <c:pt idx="97">
                  <c:v>5950.6250628717798</c:v>
                </c:pt>
                <c:pt idx="98">
                  <c:v>5950.4419991312943</c:v>
                </c:pt>
                <c:pt idx="99">
                  <c:v>5942.6176877667995</c:v>
                </c:pt>
                <c:pt idx="100">
                  <c:v>5940.1515739758042</c:v>
                </c:pt>
                <c:pt idx="101">
                  <c:v>5933.5852525301734</c:v>
                </c:pt>
                <c:pt idx="102">
                  <c:v>5921.1362871057954</c:v>
                </c:pt>
                <c:pt idx="103">
                  <c:v>5900.6631872834541</c:v>
                </c:pt>
                <c:pt idx="104">
                  <c:v>5888.6382597992897</c:v>
                </c:pt>
                <c:pt idx="105">
                  <c:v>5880.540260940792</c:v>
                </c:pt>
                <c:pt idx="106">
                  <c:v>5865.6778465559655</c:v>
                </c:pt>
                <c:pt idx="107">
                  <c:v>5852.0175228179742</c:v>
                </c:pt>
                <c:pt idx="108">
                  <c:v>5844.5309408958155</c:v>
                </c:pt>
                <c:pt idx="109">
                  <c:v>5842.0395172804765</c:v>
                </c:pt>
                <c:pt idx="110">
                  <c:v>5841.4033513921904</c:v>
                </c:pt>
                <c:pt idx="111">
                  <c:v>5825.3607251447811</c:v>
                </c:pt>
                <c:pt idx="112">
                  <c:v>5816.9099045580106</c:v>
                </c:pt>
                <c:pt idx="113">
                  <c:v>5813.5733852362</c:v>
                </c:pt>
                <c:pt idx="114">
                  <c:v>5787.399436206053</c:v>
                </c:pt>
                <c:pt idx="115">
                  <c:v>5778.1808855202207</c:v>
                </c:pt>
                <c:pt idx="116">
                  <c:v>5741.7509454384744</c:v>
                </c:pt>
                <c:pt idx="117">
                  <c:v>5717.5641218141654</c:v>
                </c:pt>
                <c:pt idx="118">
                  <c:v>5697.5574769409359</c:v>
                </c:pt>
                <c:pt idx="119">
                  <c:v>5679.3003771671856</c:v>
                </c:pt>
                <c:pt idx="120">
                  <c:v>5664.7660511145368</c:v>
                </c:pt>
                <c:pt idx="121">
                  <c:v>5651.8261022530469</c:v>
                </c:pt>
                <c:pt idx="122">
                  <c:v>5639.3774640844094</c:v>
                </c:pt>
                <c:pt idx="123">
                  <c:v>5636.7135842261268</c:v>
                </c:pt>
                <c:pt idx="124">
                  <c:v>5637.1810564245134</c:v>
                </c:pt>
                <c:pt idx="125">
                  <c:v>5639.6590127711224</c:v>
                </c:pt>
                <c:pt idx="126">
                  <c:v>5639.1046443057803</c:v>
                </c:pt>
                <c:pt idx="127">
                  <c:v>5639.3939337393149</c:v>
                </c:pt>
                <c:pt idx="128">
                  <c:v>5639.8405190647909</c:v>
                </c:pt>
                <c:pt idx="129">
                  <c:v>5637.4457901135902</c:v>
                </c:pt>
                <c:pt idx="130">
                  <c:v>5630.6414549294159</c:v>
                </c:pt>
                <c:pt idx="131">
                  <c:v>5612.6676223637496</c:v>
                </c:pt>
                <c:pt idx="132">
                  <c:v>5595.7818873986816</c:v>
                </c:pt>
                <c:pt idx="133">
                  <c:v>5578.327694645971</c:v>
                </c:pt>
                <c:pt idx="134">
                  <c:v>5564.4335664373766</c:v>
                </c:pt>
                <c:pt idx="135">
                  <c:v>5550.8762903803281</c:v>
                </c:pt>
                <c:pt idx="136">
                  <c:v>5549.6636659923688</c:v>
                </c:pt>
                <c:pt idx="137">
                  <c:v>5548.3002926265272</c:v>
                </c:pt>
                <c:pt idx="138">
                  <c:v>5550.1882482177189</c:v>
                </c:pt>
                <c:pt idx="139">
                  <c:v>5545.2641452909938</c:v>
                </c:pt>
                <c:pt idx="140">
                  <c:v>5523.889662147606</c:v>
                </c:pt>
                <c:pt idx="141">
                  <c:v>5499.9560794791414</c:v>
                </c:pt>
                <c:pt idx="142">
                  <c:v>5476.1306204257253</c:v>
                </c:pt>
                <c:pt idx="143">
                  <c:v>5456.2019693975044</c:v>
                </c:pt>
                <c:pt idx="144">
                  <c:v>5452.2947517825842</c:v>
                </c:pt>
                <c:pt idx="145">
                  <c:v>5450.3822249875566</c:v>
                </c:pt>
                <c:pt idx="146">
                  <c:v>5453.4630006163452</c:v>
                </c:pt>
                <c:pt idx="147">
                  <c:v>5464.7901496656723</c:v>
                </c:pt>
                <c:pt idx="148">
                  <c:v>5482.5497378673572</c:v>
                </c:pt>
                <c:pt idx="149">
                  <c:v>5487.2696705608705</c:v>
                </c:pt>
                <c:pt idx="150">
                  <c:v>5477.5793210477113</c:v>
                </c:pt>
                <c:pt idx="151">
                  <c:v>5469.534480786604</c:v>
                </c:pt>
                <c:pt idx="152">
                  <c:v>5456.7403657580035</c:v>
                </c:pt>
                <c:pt idx="153">
                  <c:v>5448.709255452346</c:v>
                </c:pt>
                <c:pt idx="154">
                  <c:v>5443.4982385579842</c:v>
                </c:pt>
                <c:pt idx="155">
                  <c:v>5431.1399125999123</c:v>
                </c:pt>
                <c:pt idx="156">
                  <c:v>5426.1691834792209</c:v>
                </c:pt>
                <c:pt idx="157">
                  <c:v>5419.0820997381952</c:v>
                </c:pt>
                <c:pt idx="158">
                  <c:v>5410.1999450905323</c:v>
                </c:pt>
                <c:pt idx="159">
                  <c:v>5407.6492259828046</c:v>
                </c:pt>
                <c:pt idx="160">
                  <c:v>5413.4453962063226</c:v>
                </c:pt>
                <c:pt idx="161">
                  <c:v>5433.8281210017976</c:v>
                </c:pt>
                <c:pt idx="162">
                  <c:v>5459.5125923865007</c:v>
                </c:pt>
                <c:pt idx="163">
                  <c:v>5496.9205014044855</c:v>
                </c:pt>
                <c:pt idx="164">
                  <c:v>5525.67467986869</c:v>
                </c:pt>
                <c:pt idx="165">
                  <c:v>5556.4582552478532</c:v>
                </c:pt>
                <c:pt idx="166">
                  <c:v>5610.0351140904031</c:v>
                </c:pt>
                <c:pt idx="167">
                  <c:v>5672.295717923027</c:v>
                </c:pt>
                <c:pt idx="168">
                  <c:v>5708.6414219753451</c:v>
                </c:pt>
                <c:pt idx="169">
                  <c:v>5739.2771556304078</c:v>
                </c:pt>
                <c:pt idx="170">
                  <c:v>5750.597700975748</c:v>
                </c:pt>
                <c:pt idx="171">
                  <c:v>5767.0047908279021</c:v>
                </c:pt>
                <c:pt idx="172">
                  <c:v>5782.519622398082</c:v>
                </c:pt>
                <c:pt idx="173">
                  <c:v>5805.396257709298</c:v>
                </c:pt>
                <c:pt idx="174">
                  <c:v>5833.3533766861292</c:v>
                </c:pt>
                <c:pt idx="175">
                  <c:v>5840.7746547968864</c:v>
                </c:pt>
                <c:pt idx="176">
                  <c:v>5860.0610034582824</c:v>
                </c:pt>
                <c:pt idx="177">
                  <c:v>5879.4585410245909</c:v>
                </c:pt>
                <c:pt idx="178">
                  <c:v>5895.3950165982305</c:v>
                </c:pt>
                <c:pt idx="179">
                  <c:v>5914.0150394474458</c:v>
                </c:pt>
                <c:pt idx="180">
                  <c:v>5921.0883554083948</c:v>
                </c:pt>
                <c:pt idx="181">
                  <c:v>5929.6084449776217</c:v>
                </c:pt>
                <c:pt idx="182">
                  <c:v>5922.6775108066049</c:v>
                </c:pt>
                <c:pt idx="183">
                  <c:v>5902.0295339261993</c:v>
                </c:pt>
                <c:pt idx="184">
                  <c:v>5883.1293314985742</c:v>
                </c:pt>
                <c:pt idx="185">
                  <c:v>5866.4311322298181</c:v>
                </c:pt>
                <c:pt idx="186">
                  <c:v>5842.2886270432336</c:v>
                </c:pt>
                <c:pt idx="187">
                  <c:v>5825.7190244905414</c:v>
                </c:pt>
                <c:pt idx="188">
                  <c:v>5788.5372952930575</c:v>
                </c:pt>
                <c:pt idx="189">
                  <c:v>5749.0327767407498</c:v>
                </c:pt>
                <c:pt idx="190">
                  <c:v>5703.764283799549</c:v>
                </c:pt>
                <c:pt idx="191">
                  <c:v>5692.4474776244324</c:v>
                </c:pt>
                <c:pt idx="192">
                  <c:v>5689.0884576029885</c:v>
                </c:pt>
                <c:pt idx="193">
                  <c:v>5680.1453640687232</c:v>
                </c:pt>
                <c:pt idx="194">
                  <c:v>5674.2414349911469</c:v>
                </c:pt>
                <c:pt idx="195">
                  <c:v>5633.4184144685232</c:v>
                </c:pt>
                <c:pt idx="196">
                  <c:v>5601.0466482385727</c:v>
                </c:pt>
                <c:pt idx="197">
                  <c:v>5562.972600816769</c:v>
                </c:pt>
                <c:pt idx="198">
                  <c:v>5541.5944172284608</c:v>
                </c:pt>
                <c:pt idx="199">
                  <c:v>5524.1066504603205</c:v>
                </c:pt>
                <c:pt idx="200">
                  <c:v>5537.5252162695633</c:v>
                </c:pt>
                <c:pt idx="201">
                  <c:v>5546.2786400732775</c:v>
                </c:pt>
                <c:pt idx="202">
                  <c:v>5549.2940695238494</c:v>
                </c:pt>
                <c:pt idx="203">
                  <c:v>5552.4965359124099</c:v>
                </c:pt>
                <c:pt idx="204">
                  <c:v>5555.764215533477</c:v>
                </c:pt>
                <c:pt idx="205">
                  <c:v>5561.076948076462</c:v>
                </c:pt>
                <c:pt idx="206">
                  <c:v>5561.9101619254425</c:v>
                </c:pt>
                <c:pt idx="207">
                  <c:v>5564.333432363007</c:v>
                </c:pt>
                <c:pt idx="208">
                  <c:v>5563.3118154098775</c:v>
                </c:pt>
                <c:pt idx="209">
                  <c:v>5564.8167097334826</c:v>
                </c:pt>
                <c:pt idx="210">
                  <c:v>5566.1586392600047</c:v>
                </c:pt>
                <c:pt idx="211">
                  <c:v>5552.8092273411849</c:v>
                </c:pt>
                <c:pt idx="212">
                  <c:v>5539.3237897937133</c:v>
                </c:pt>
                <c:pt idx="213">
                  <c:v>5537.0674379740485</c:v>
                </c:pt>
                <c:pt idx="214">
                  <c:v>5534.3175303673006</c:v>
                </c:pt>
                <c:pt idx="215">
                  <c:v>5546.446602723272</c:v>
                </c:pt>
                <c:pt idx="216">
                  <c:v>5562.5776121076378</c:v>
                </c:pt>
                <c:pt idx="217">
                  <c:v>5601.3512854117744</c:v>
                </c:pt>
                <c:pt idx="218">
                  <c:v>5639.9578826001907</c:v>
                </c:pt>
                <c:pt idx="219">
                  <c:v>5701.8758489984239</c:v>
                </c:pt>
                <c:pt idx="220">
                  <c:v>5743.2827576087366</c:v>
                </c:pt>
                <c:pt idx="221">
                  <c:v>5748.7332228242458</c:v>
                </c:pt>
                <c:pt idx="222">
                  <c:v>5740.5562022480772</c:v>
                </c:pt>
                <c:pt idx="223">
                  <c:v>5722.2748027781072</c:v>
                </c:pt>
                <c:pt idx="224">
                  <c:v>5715.8774083165736</c:v>
                </c:pt>
                <c:pt idx="225">
                  <c:v>5695.7999869486484</c:v>
                </c:pt>
                <c:pt idx="226">
                  <c:v>5662.6052785756192</c:v>
                </c:pt>
                <c:pt idx="227">
                  <c:v>5640.0665469856922</c:v>
                </c:pt>
                <c:pt idx="228">
                  <c:v>5579.1818837679339</c:v>
                </c:pt>
                <c:pt idx="229">
                  <c:v>5524.1887724646567</c:v>
                </c:pt>
                <c:pt idx="230">
                  <c:v>5482.1184390961434</c:v>
                </c:pt>
                <c:pt idx="231">
                  <c:v>5447.3382710579845</c:v>
                </c:pt>
                <c:pt idx="232">
                  <c:v>5427.6778391653352</c:v>
                </c:pt>
                <c:pt idx="233">
                  <c:v>5418.8851595054557</c:v>
                </c:pt>
                <c:pt idx="234">
                  <c:v>5416.6361043346706</c:v>
                </c:pt>
                <c:pt idx="235">
                  <c:v>5422.2537805627735</c:v>
                </c:pt>
                <c:pt idx="236">
                  <c:v>5400.9911883267214</c:v>
                </c:pt>
                <c:pt idx="237">
                  <c:v>5369.4425834899257</c:v>
                </c:pt>
                <c:pt idx="238">
                  <c:v>5355.8386470523492</c:v>
                </c:pt>
                <c:pt idx="239">
                  <c:v>5315.9981783741005</c:v>
                </c:pt>
                <c:pt idx="240">
                  <c:v>5300.5448537161574</c:v>
                </c:pt>
                <c:pt idx="241">
                  <c:v>5300.6201516895562</c:v>
                </c:pt>
                <c:pt idx="242">
                  <c:v>5300.3997609486232</c:v>
                </c:pt>
                <c:pt idx="243">
                  <c:v>5261.4695232977692</c:v>
                </c:pt>
                <c:pt idx="244">
                  <c:v>5229.0241669244087</c:v>
                </c:pt>
                <c:pt idx="245">
                  <c:v>5223.1440284723531</c:v>
                </c:pt>
                <c:pt idx="246">
                  <c:v>5222.5079465285526</c:v>
                </c:pt>
                <c:pt idx="247">
                  <c:v>5227.6308834425136</c:v>
                </c:pt>
                <c:pt idx="248">
                  <c:v>5209.6108578835892</c:v>
                </c:pt>
                <c:pt idx="249">
                  <c:v>5205.8788765283834</c:v>
                </c:pt>
                <c:pt idx="250">
                  <c:v>5205.3289414847704</c:v>
                </c:pt>
                <c:pt idx="251">
                  <c:v>5199.8191448913794</c:v>
                </c:pt>
                <c:pt idx="252">
                  <c:v>5195.8545257452643</c:v>
                </c:pt>
                <c:pt idx="253">
                  <c:v>5167.0066054325653</c:v>
                </c:pt>
                <c:pt idx="254">
                  <c:v>5143.3179046147543</c:v>
                </c:pt>
                <c:pt idx="255">
                  <c:v>5131.9098060235383</c:v>
                </c:pt>
                <c:pt idx="256">
                  <c:v>5121.8749353419435</c:v>
                </c:pt>
                <c:pt idx="257">
                  <c:v>5126.1599028296032</c:v>
                </c:pt>
                <c:pt idx="258">
                  <c:v>5136.3838557497602</c:v>
                </c:pt>
                <c:pt idx="259">
                  <c:v>5164.6328147556524</c:v>
                </c:pt>
                <c:pt idx="260">
                  <c:v>5157.2578361525821</c:v>
                </c:pt>
                <c:pt idx="261">
                  <c:v>5165.3574271740281</c:v>
                </c:pt>
                <c:pt idx="262">
                  <c:v>5185.9944204823614</c:v>
                </c:pt>
                <c:pt idx="263">
                  <c:v>5246.9184870588251</c:v>
                </c:pt>
                <c:pt idx="264">
                  <c:v>5319.6421235065618</c:v>
                </c:pt>
                <c:pt idx="265">
                  <c:v>5371.6250219383774</c:v>
                </c:pt>
                <c:pt idx="266">
                  <c:v>5415.5397851528478</c:v>
                </c:pt>
                <c:pt idx="267">
                  <c:v>5441.1373796506223</c:v>
                </c:pt>
                <c:pt idx="268">
                  <c:v>5534.8556790339908</c:v>
                </c:pt>
                <c:pt idx="269">
                  <c:v>5616.8286039392306</c:v>
                </c:pt>
                <c:pt idx="270">
                  <c:v>5665.2715127916908</c:v>
                </c:pt>
                <c:pt idx="271">
                  <c:v>5695.8570722753229</c:v>
                </c:pt>
                <c:pt idx="272">
                  <c:v>5732.4222829161272</c:v>
                </c:pt>
                <c:pt idx="273">
                  <c:v>5729.098964498332</c:v>
                </c:pt>
                <c:pt idx="274">
                  <c:v>5725.0579163131752</c:v>
                </c:pt>
                <c:pt idx="275">
                  <c:v>5718.2074281752448</c:v>
                </c:pt>
                <c:pt idx="276">
                  <c:v>5713.9631251660685</c:v>
                </c:pt>
                <c:pt idx="277">
                  <c:v>5718.1308591971256</c:v>
                </c:pt>
                <c:pt idx="278">
                  <c:v>5726.7817552303513</c:v>
                </c:pt>
                <c:pt idx="279">
                  <c:v>5717.528025372364</c:v>
                </c:pt>
                <c:pt idx="280">
                  <c:v>5707.2662403209088</c:v>
                </c:pt>
                <c:pt idx="281">
                  <c:v>5696.3644408577102</c:v>
                </c:pt>
                <c:pt idx="282">
                  <c:v>5699.8073107402397</c:v>
                </c:pt>
                <c:pt idx="283">
                  <c:v>5707.1944697841955</c:v>
                </c:pt>
                <c:pt idx="284">
                  <c:v>5720.9032864905239</c:v>
                </c:pt>
                <c:pt idx="285">
                  <c:v>5736.6719005955529</c:v>
                </c:pt>
                <c:pt idx="286">
                  <c:v>5759.028076855674</c:v>
                </c:pt>
                <c:pt idx="287">
                  <c:v>5811.2088271902512</c:v>
                </c:pt>
                <c:pt idx="288">
                  <c:v>5857.3389526538631</c:v>
                </c:pt>
                <c:pt idx="289">
                  <c:v>5877.4052467296888</c:v>
                </c:pt>
                <c:pt idx="290">
                  <c:v>5909.4237444220726</c:v>
                </c:pt>
                <c:pt idx="291">
                  <c:v>5950.1795194757251</c:v>
                </c:pt>
                <c:pt idx="292">
                  <c:v>5992.3790715908717</c:v>
                </c:pt>
                <c:pt idx="293">
                  <c:v>6015.0824473814864</c:v>
                </c:pt>
                <c:pt idx="294">
                  <c:v>6027.8671418147869</c:v>
                </c:pt>
                <c:pt idx="295">
                  <c:v>6011.5433769582996</c:v>
                </c:pt>
                <c:pt idx="296">
                  <c:v>5987.4546325801184</c:v>
                </c:pt>
                <c:pt idx="297">
                  <c:v>5982.2888527075002</c:v>
                </c:pt>
                <c:pt idx="298">
                  <c:v>5997.7720317504663</c:v>
                </c:pt>
                <c:pt idx="299">
                  <c:v>5998.0204266225737</c:v>
                </c:pt>
                <c:pt idx="300">
                  <c:v>5993.4817695875408</c:v>
                </c:pt>
                <c:pt idx="301">
                  <c:v>5968.9396989225406</c:v>
                </c:pt>
                <c:pt idx="302">
                  <c:v>5946.9474782944808</c:v>
                </c:pt>
                <c:pt idx="303">
                  <c:v>5944.1973158999481</c:v>
                </c:pt>
                <c:pt idx="304">
                  <c:v>5936.3043432803606</c:v>
                </c:pt>
                <c:pt idx="305">
                  <c:v>5931.3978253205623</c:v>
                </c:pt>
                <c:pt idx="306">
                  <c:v>5927.8119860229326</c:v>
                </c:pt>
                <c:pt idx="307">
                  <c:v>5930.7277582399965</c:v>
                </c:pt>
                <c:pt idx="308">
                  <c:v>5938.5608094485515</c:v>
                </c:pt>
                <c:pt idx="309">
                  <c:v>5950.0476836724456</c:v>
                </c:pt>
                <c:pt idx="310">
                  <c:v>5956.2746510041479</c:v>
                </c:pt>
                <c:pt idx="311">
                  <c:v>5953.6768336463492</c:v>
                </c:pt>
                <c:pt idx="312">
                  <c:v>5947.4985306572044</c:v>
                </c:pt>
                <c:pt idx="313">
                  <c:v>5926.5377759046823</c:v>
                </c:pt>
                <c:pt idx="314">
                  <c:v>5921.6892956946213</c:v>
                </c:pt>
                <c:pt idx="315">
                  <c:v>5932.5767327277599</c:v>
                </c:pt>
                <c:pt idx="316">
                  <c:v>5956.8505827558929</c:v>
                </c:pt>
                <c:pt idx="317">
                  <c:v>5969.2372709826941</c:v>
                </c:pt>
                <c:pt idx="318">
                  <c:v>5967.440112103387</c:v>
                </c:pt>
                <c:pt idx="319">
                  <c:v>5964.190414051649</c:v>
                </c:pt>
                <c:pt idx="320">
                  <c:v>5969.1392483114532</c:v>
                </c:pt>
                <c:pt idx="321">
                  <c:v>5994.737155875584</c:v>
                </c:pt>
                <c:pt idx="322">
                  <c:v>6026.7778534463723</c:v>
                </c:pt>
                <c:pt idx="323">
                  <c:v>6035.5399882886959</c:v>
                </c:pt>
                <c:pt idx="324">
                  <c:v>6058.6782810218347</c:v>
                </c:pt>
                <c:pt idx="325">
                  <c:v>6086.5727128558538</c:v>
                </c:pt>
                <c:pt idx="326">
                  <c:v>6107.981982528353</c:v>
                </c:pt>
                <c:pt idx="327">
                  <c:v>6115.1402942737022</c:v>
                </c:pt>
                <c:pt idx="328">
                  <c:v>6117.3871806853385</c:v>
                </c:pt>
                <c:pt idx="329">
                  <c:v>6119.5149067159491</c:v>
                </c:pt>
                <c:pt idx="330">
                  <c:v>6127.387703781902</c:v>
                </c:pt>
                <c:pt idx="331">
                  <c:v>6122.0577351495194</c:v>
                </c:pt>
                <c:pt idx="332">
                  <c:v>6111.5181339642104</c:v>
                </c:pt>
                <c:pt idx="333">
                  <c:v>6111.2311306340134</c:v>
                </c:pt>
                <c:pt idx="334">
                  <c:v>6108.662539533424</c:v>
                </c:pt>
                <c:pt idx="335">
                  <c:v>6105.8861637091923</c:v>
                </c:pt>
                <c:pt idx="336">
                  <c:v>6105.4460096111588</c:v>
                </c:pt>
                <c:pt idx="337">
                  <c:v>6111.5940768856472</c:v>
                </c:pt>
                <c:pt idx="338">
                  <c:v>6117.3886945684262</c:v>
                </c:pt>
                <c:pt idx="339">
                  <c:v>6129.4182242914703</c:v>
                </c:pt>
                <c:pt idx="340">
                  <c:v>6132.0069414586615</c:v>
                </c:pt>
                <c:pt idx="341">
                  <c:v>6142.2602171636363</c:v>
                </c:pt>
                <c:pt idx="342">
                  <c:v>6141.143599302919</c:v>
                </c:pt>
                <c:pt idx="343">
                  <c:v>6138.242547400826</c:v>
                </c:pt>
                <c:pt idx="344">
                  <c:v>6135.5952062412616</c:v>
                </c:pt>
                <c:pt idx="345">
                  <c:v>6135.2504442522049</c:v>
                </c:pt>
                <c:pt idx="346">
                  <c:v>6117.5031998505592</c:v>
                </c:pt>
                <c:pt idx="347">
                  <c:v>6099.7038851877323</c:v>
                </c:pt>
                <c:pt idx="348">
                  <c:v>6083.6774749421265</c:v>
                </c:pt>
                <c:pt idx="349">
                  <c:v>6060.1193897917356</c:v>
                </c:pt>
                <c:pt idx="350">
                  <c:v>6043.1763994115272</c:v>
                </c:pt>
                <c:pt idx="351">
                  <c:v>6008.6808309034232</c:v>
                </c:pt>
                <c:pt idx="352">
                  <c:v>5980.5890418436256</c:v>
                </c:pt>
                <c:pt idx="353">
                  <c:v>5958.9632356603479</c:v>
                </c:pt>
                <c:pt idx="354">
                  <c:v>5942.074847615555</c:v>
                </c:pt>
                <c:pt idx="355">
                  <c:v>5930.4308155566741</c:v>
                </c:pt>
                <c:pt idx="356">
                  <c:v>5916.884146520526</c:v>
                </c:pt>
                <c:pt idx="357">
                  <c:v>5905.7101590424645</c:v>
                </c:pt>
                <c:pt idx="358">
                  <c:v>5902.8532914837078</c:v>
                </c:pt>
                <c:pt idx="359">
                  <c:v>5891.5755863073819</c:v>
                </c:pt>
                <c:pt idx="360">
                  <c:v>5885.6071545617533</c:v>
                </c:pt>
                <c:pt idx="361">
                  <c:v>5888.7466797181496</c:v>
                </c:pt>
                <c:pt idx="362">
                  <c:v>5900.0350359526956</c:v>
                </c:pt>
                <c:pt idx="363">
                  <c:v>5921.32225903371</c:v>
                </c:pt>
                <c:pt idx="364">
                  <c:v>5955.354377462093</c:v>
                </c:pt>
                <c:pt idx="365">
                  <c:v>5977.3729619528922</c:v>
                </c:pt>
                <c:pt idx="366">
                  <c:v>5971.2791590371398</c:v>
                </c:pt>
                <c:pt idx="367">
                  <c:v>5963.5762527268134</c:v>
                </c:pt>
                <c:pt idx="368">
                  <c:v>5951.078792571263</c:v>
                </c:pt>
                <c:pt idx="369">
                  <c:v>5937.6326612070452</c:v>
                </c:pt>
                <c:pt idx="370">
                  <c:v>5935.1667158565797</c:v>
                </c:pt>
                <c:pt idx="371">
                  <c:v>5936.6847043144471</c:v>
                </c:pt>
                <c:pt idx="372">
                  <c:v>5939.6536692828922</c:v>
                </c:pt>
                <c:pt idx="373">
                  <c:v>5933.3292693943695</c:v>
                </c:pt>
                <c:pt idx="374">
                  <c:v>5909.8593153823094</c:v>
                </c:pt>
                <c:pt idx="375">
                  <c:v>5895.9093909051389</c:v>
                </c:pt>
                <c:pt idx="376">
                  <c:v>5898.1763069093895</c:v>
                </c:pt>
                <c:pt idx="377">
                  <c:v>5905.980062139688</c:v>
                </c:pt>
                <c:pt idx="378">
                  <c:v>5919.1140383440106</c:v>
                </c:pt>
                <c:pt idx="379">
                  <c:v>5953.2292033842914</c:v>
                </c:pt>
                <c:pt idx="380">
                  <c:v>5983.5563219241913</c:v>
                </c:pt>
                <c:pt idx="381">
                  <c:v>6014.8611105922155</c:v>
                </c:pt>
                <c:pt idx="382">
                  <c:v>6043.0069149359597</c:v>
                </c:pt>
                <c:pt idx="383">
                  <c:v>6070.1424766632408</c:v>
                </c:pt>
                <c:pt idx="384">
                  <c:v>6112.2488095168892</c:v>
                </c:pt>
                <c:pt idx="385">
                  <c:v>6146.3457843810156</c:v>
                </c:pt>
                <c:pt idx="386">
                  <c:v>6179.5260530530832</c:v>
                </c:pt>
                <c:pt idx="387">
                  <c:v>6213.3646441072024</c:v>
                </c:pt>
                <c:pt idx="388">
                  <c:v>6239.4973405719475</c:v>
                </c:pt>
                <c:pt idx="389">
                  <c:v>6263.553044841492</c:v>
                </c:pt>
                <c:pt idx="390">
                  <c:v>6310.9637433677062</c:v>
                </c:pt>
                <c:pt idx="391">
                  <c:v>6342.3425056882115</c:v>
                </c:pt>
                <c:pt idx="392">
                  <c:v>6376.8743368333598</c:v>
                </c:pt>
                <c:pt idx="393">
                  <c:v>6403.0791658444286</c:v>
                </c:pt>
                <c:pt idx="394">
                  <c:v>6408.6471769800883</c:v>
                </c:pt>
                <c:pt idx="395">
                  <c:v>6405.0677819406255</c:v>
                </c:pt>
                <c:pt idx="396">
                  <c:v>6409.6276516885955</c:v>
                </c:pt>
                <c:pt idx="397">
                  <c:v>6419.3195260162875</c:v>
                </c:pt>
                <c:pt idx="398">
                  <c:v>6438.9732517529592</c:v>
                </c:pt>
                <c:pt idx="399">
                  <c:v>6459.083984470778</c:v>
                </c:pt>
                <c:pt idx="400">
                  <c:v>6477.5200264371424</c:v>
                </c:pt>
                <c:pt idx="401">
                  <c:v>6495.4168522662339</c:v>
                </c:pt>
                <c:pt idx="402">
                  <c:v>6530.0575903040944</c:v>
                </c:pt>
                <c:pt idx="403">
                  <c:v>6568.1746805865268</c:v>
                </c:pt>
                <c:pt idx="404">
                  <c:v>6590.6650229801207</c:v>
                </c:pt>
                <c:pt idx="405">
                  <c:v>6615.7727213465396</c:v>
                </c:pt>
                <c:pt idx="406">
                  <c:v>6639.0623316391393</c:v>
                </c:pt>
                <c:pt idx="407">
                  <c:v>6650.5935707978206</c:v>
                </c:pt>
                <c:pt idx="408">
                  <c:v>6650.4121604257452</c:v>
                </c:pt>
                <c:pt idx="409">
                  <c:v>6649.6818617224872</c:v>
                </c:pt>
                <c:pt idx="410">
                  <c:v>6649.0213587542212</c:v>
                </c:pt>
                <c:pt idx="411">
                  <c:v>6635.1951372843223</c:v>
                </c:pt>
                <c:pt idx="412">
                  <c:v>6625.0843112800185</c:v>
                </c:pt>
                <c:pt idx="413">
                  <c:v>6623.8644206671097</c:v>
                </c:pt>
                <c:pt idx="414">
                  <c:v>6594.6965492348081</c:v>
                </c:pt>
                <c:pt idx="415">
                  <c:v>6550.6612947635149</c:v>
                </c:pt>
                <c:pt idx="416">
                  <c:v>6522.972275108521</c:v>
                </c:pt>
                <c:pt idx="417">
                  <c:v>6503.6940940294571</c:v>
                </c:pt>
                <c:pt idx="418">
                  <c:v>6484.1810245895986</c:v>
                </c:pt>
                <c:pt idx="419">
                  <c:v>6474.0849912949816</c:v>
                </c:pt>
                <c:pt idx="420">
                  <c:v>6460.8515169109178</c:v>
                </c:pt>
                <c:pt idx="421">
                  <c:v>6454.9105454722057</c:v>
                </c:pt>
                <c:pt idx="422">
                  <c:v>6452.710542931819</c:v>
                </c:pt>
                <c:pt idx="423">
                  <c:v>6444.5190322832532</c:v>
                </c:pt>
                <c:pt idx="424">
                  <c:v>6451.4973059841495</c:v>
                </c:pt>
                <c:pt idx="425">
                  <c:v>6471.6862637483591</c:v>
                </c:pt>
                <c:pt idx="426">
                  <c:v>6505.0269501583589</c:v>
                </c:pt>
                <c:pt idx="427">
                  <c:v>6552.480882239679</c:v>
                </c:pt>
                <c:pt idx="428">
                  <c:v>6607.2922326016214</c:v>
                </c:pt>
                <c:pt idx="429">
                  <c:v>6665.9775330448692</c:v>
                </c:pt>
                <c:pt idx="430">
                  <c:v>6729.3877632523499</c:v>
                </c:pt>
                <c:pt idx="431">
                  <c:v>6829.24682222302</c:v>
                </c:pt>
                <c:pt idx="432">
                  <c:v>6951.9265693160041</c:v>
                </c:pt>
                <c:pt idx="433">
                  <c:v>7012.7882277299304</c:v>
                </c:pt>
                <c:pt idx="434">
                  <c:v>7028.829285774128</c:v>
                </c:pt>
                <c:pt idx="435">
                  <c:v>7036.2417139695835</c:v>
                </c:pt>
                <c:pt idx="436">
                  <c:v>7058.5384508295556</c:v>
                </c:pt>
                <c:pt idx="437">
                  <c:v>7083.8596163541133</c:v>
                </c:pt>
                <c:pt idx="438">
                  <c:v>7108.3780837909417</c:v>
                </c:pt>
                <c:pt idx="439">
                  <c:v>7125.9977342945713</c:v>
                </c:pt>
                <c:pt idx="440">
                  <c:v>7139.5051414715235</c:v>
                </c:pt>
                <c:pt idx="441">
                  <c:v>7164.8593916971768</c:v>
                </c:pt>
                <c:pt idx="442">
                  <c:v>7189.2870257236318</c:v>
                </c:pt>
                <c:pt idx="443">
                  <c:v>7200.5861446050149</c:v>
                </c:pt>
                <c:pt idx="444">
                  <c:v>7213.2108322247841</c:v>
                </c:pt>
                <c:pt idx="445">
                  <c:v>7235.5235557484575</c:v>
                </c:pt>
                <c:pt idx="446">
                  <c:v>7258.6122725611631</c:v>
                </c:pt>
                <c:pt idx="447">
                  <c:v>7306.975336144933</c:v>
                </c:pt>
                <c:pt idx="448">
                  <c:v>7370.314410228365</c:v>
                </c:pt>
                <c:pt idx="449">
                  <c:v>7402.0471584910592</c:v>
                </c:pt>
                <c:pt idx="450">
                  <c:v>7423.1959284817476</c:v>
                </c:pt>
                <c:pt idx="451">
                  <c:v>7442.879560941743</c:v>
                </c:pt>
                <c:pt idx="452">
                  <c:v>7451.4269331722644</c:v>
                </c:pt>
                <c:pt idx="453">
                  <c:v>7442.5581876776723</c:v>
                </c:pt>
                <c:pt idx="454">
                  <c:v>7429.4072866551651</c:v>
                </c:pt>
                <c:pt idx="455">
                  <c:v>7429.1223372652403</c:v>
                </c:pt>
                <c:pt idx="456">
                  <c:v>7427.1611688299363</c:v>
                </c:pt>
                <c:pt idx="457">
                  <c:v>7423.9062454205141</c:v>
                </c:pt>
                <c:pt idx="458">
                  <c:v>7410.5330493287975</c:v>
                </c:pt>
                <c:pt idx="459">
                  <c:v>7397.8257038339534</c:v>
                </c:pt>
                <c:pt idx="460">
                  <c:v>7391.6248383970096</c:v>
                </c:pt>
                <c:pt idx="461">
                  <c:v>7394.5865152006609</c:v>
                </c:pt>
                <c:pt idx="462">
                  <c:v>7399.5784737042723</c:v>
                </c:pt>
                <c:pt idx="463">
                  <c:v>7408.7404480424502</c:v>
                </c:pt>
                <c:pt idx="464">
                  <c:v>7421.8163347068885</c:v>
                </c:pt>
                <c:pt idx="465">
                  <c:v>7419.2006711289614</c:v>
                </c:pt>
                <c:pt idx="466">
                  <c:v>7417.3564150065649</c:v>
                </c:pt>
                <c:pt idx="467">
                  <c:v>7426.8772559794124</c:v>
                </c:pt>
                <c:pt idx="468">
                  <c:v>7442.3781100913966</c:v>
                </c:pt>
                <c:pt idx="469">
                  <c:v>7447.3237726592079</c:v>
                </c:pt>
                <c:pt idx="470">
                  <c:v>7449.2309038972426</c:v>
                </c:pt>
                <c:pt idx="471">
                  <c:v>7449.2048545286016</c:v>
                </c:pt>
                <c:pt idx="472">
                  <c:v>7442.0471600350656</c:v>
                </c:pt>
                <c:pt idx="473">
                  <c:v>7441.7018392719356</c:v>
                </c:pt>
                <c:pt idx="474">
                  <c:v>7443.50705395355</c:v>
                </c:pt>
                <c:pt idx="475">
                  <c:v>7446.8320315015808</c:v>
                </c:pt>
                <c:pt idx="476">
                  <c:v>7453.2707545781805</c:v>
                </c:pt>
                <c:pt idx="477">
                  <c:v>7453.3903390181531</c:v>
                </c:pt>
                <c:pt idx="478">
                  <c:v>7484.1791943178705</c:v>
                </c:pt>
                <c:pt idx="479">
                  <c:v>7528.3557568249498</c:v>
                </c:pt>
                <c:pt idx="480">
                  <c:v>7557.8449338763203</c:v>
                </c:pt>
                <c:pt idx="481">
                  <c:v>7566.1719094745895</c:v>
                </c:pt>
                <c:pt idx="482">
                  <c:v>7565.1166657206068</c:v>
                </c:pt>
                <c:pt idx="483">
                  <c:v>7561.6782390820517</c:v>
                </c:pt>
                <c:pt idx="484">
                  <c:v>7562.3106555680915</c:v>
                </c:pt>
                <c:pt idx="485">
                  <c:v>7557.2570831046824</c:v>
                </c:pt>
                <c:pt idx="486">
                  <c:v>7550.7265149126506</c:v>
                </c:pt>
                <c:pt idx="487">
                  <c:v>7546.2178826541031</c:v>
                </c:pt>
                <c:pt idx="488">
                  <c:v>7542.7204476276593</c:v>
                </c:pt>
                <c:pt idx="489">
                  <c:v>7539.8811857573164</c:v>
                </c:pt>
                <c:pt idx="490">
                  <c:v>7534.8916148188528</c:v>
                </c:pt>
                <c:pt idx="491">
                  <c:v>7529.6281002428077</c:v>
                </c:pt>
                <c:pt idx="492">
                  <c:v>7542.1068796238878</c:v>
                </c:pt>
                <c:pt idx="493">
                  <c:v>7543.4295612844298</c:v>
                </c:pt>
                <c:pt idx="494">
                  <c:v>7544.8412712057852</c:v>
                </c:pt>
                <c:pt idx="495">
                  <c:v>7563.7524188107382</c:v>
                </c:pt>
                <c:pt idx="496">
                  <c:v>7584.7340893146757</c:v>
                </c:pt>
                <c:pt idx="497">
                  <c:v>7638.8777633403115</c:v>
                </c:pt>
                <c:pt idx="498">
                  <c:v>7693.6090097506258</c:v>
                </c:pt>
                <c:pt idx="499">
                  <c:v>7730.3756755348932</c:v>
                </c:pt>
                <c:pt idx="500">
                  <c:v>7770.1462411088423</c:v>
                </c:pt>
                <c:pt idx="501">
                  <c:v>7803.8983865943728</c:v>
                </c:pt>
                <c:pt idx="502">
                  <c:v>7813.4209952738602</c:v>
                </c:pt>
                <c:pt idx="503">
                  <c:v>7823.9186322654123</c:v>
                </c:pt>
                <c:pt idx="504">
                  <c:v>7843.4705136916018</c:v>
                </c:pt>
                <c:pt idx="505">
                  <c:v>7862.7172825822399</c:v>
                </c:pt>
                <c:pt idx="506">
                  <c:v>7879.1564183053279</c:v>
                </c:pt>
                <c:pt idx="507">
                  <c:v>7897.8432860150224</c:v>
                </c:pt>
                <c:pt idx="508">
                  <c:v>7917.0996549186102</c:v>
                </c:pt>
                <c:pt idx="509">
                  <c:v>7911.1324702588463</c:v>
                </c:pt>
                <c:pt idx="510">
                  <c:v>7913.910029329455</c:v>
                </c:pt>
                <c:pt idx="511">
                  <c:v>7904.0217014992977</c:v>
                </c:pt>
                <c:pt idx="512">
                  <c:v>7893.0017369687457</c:v>
                </c:pt>
                <c:pt idx="513">
                  <c:v>7880.3775373948311</c:v>
                </c:pt>
                <c:pt idx="514">
                  <c:v>7849.1601949819078</c:v>
                </c:pt>
                <c:pt idx="515">
                  <c:v>7820.3856263380858</c:v>
                </c:pt>
                <c:pt idx="516">
                  <c:v>7821.7645889384366</c:v>
                </c:pt>
                <c:pt idx="517">
                  <c:v>7808.4113882778602</c:v>
                </c:pt>
                <c:pt idx="518">
                  <c:v>7797.7383307329474</c:v>
                </c:pt>
                <c:pt idx="519">
                  <c:v>7785.5829064742011</c:v>
                </c:pt>
                <c:pt idx="520">
                  <c:v>7753.1500621920477</c:v>
                </c:pt>
                <c:pt idx="521">
                  <c:v>7729.8424566461135</c:v>
                </c:pt>
                <c:pt idx="522">
                  <c:v>7725.3154774827344</c:v>
                </c:pt>
                <c:pt idx="523">
                  <c:v>7723.5314234655862</c:v>
                </c:pt>
                <c:pt idx="524">
                  <c:v>7732.2015269598614</c:v>
                </c:pt>
                <c:pt idx="525">
                  <c:v>7743.2201496197831</c:v>
                </c:pt>
                <c:pt idx="526">
                  <c:v>7763.7316955693987</c:v>
                </c:pt>
                <c:pt idx="527">
                  <c:v>7762.8223494737467</c:v>
                </c:pt>
                <c:pt idx="528">
                  <c:v>7753.0185161632653</c:v>
                </c:pt>
                <c:pt idx="529">
                  <c:v>7733.7457160504518</c:v>
                </c:pt>
                <c:pt idx="530">
                  <c:v>7687.8157775257205</c:v>
                </c:pt>
                <c:pt idx="531">
                  <c:v>7658.746530880946</c:v>
                </c:pt>
                <c:pt idx="532">
                  <c:v>7637.352910626727</c:v>
                </c:pt>
                <c:pt idx="533">
                  <c:v>7625.5545643744599</c:v>
                </c:pt>
                <c:pt idx="534">
                  <c:v>7630.3392593056424</c:v>
                </c:pt>
                <c:pt idx="535">
                  <c:v>7641.8339104636379</c:v>
                </c:pt>
                <c:pt idx="536">
                  <c:v>7642.2007290117999</c:v>
                </c:pt>
                <c:pt idx="537">
                  <c:v>7663.7194685722216</c:v>
                </c:pt>
                <c:pt idx="538">
                  <c:v>7684.8645295951028</c:v>
                </c:pt>
                <c:pt idx="539">
                  <c:v>7712.9878141679746</c:v>
                </c:pt>
                <c:pt idx="540">
                  <c:v>7776.7490294374502</c:v>
                </c:pt>
                <c:pt idx="541">
                  <c:v>7847.9681730944703</c:v>
                </c:pt>
                <c:pt idx="542">
                  <c:v>7903.6172078217178</c:v>
                </c:pt>
                <c:pt idx="543">
                  <c:v>7952.4339950732356</c:v>
                </c:pt>
                <c:pt idx="544">
                  <c:v>7989.2026908362413</c:v>
                </c:pt>
                <c:pt idx="545">
                  <c:v>8035.7053700652414</c:v>
                </c:pt>
                <c:pt idx="546">
                  <c:v>8099.5806303156896</c:v>
                </c:pt>
                <c:pt idx="547">
                  <c:v>8166.623374213571</c:v>
                </c:pt>
                <c:pt idx="548">
                  <c:v>8217.3112794416338</c:v>
                </c:pt>
                <c:pt idx="549">
                  <c:v>8258.9833956847106</c:v>
                </c:pt>
                <c:pt idx="550">
                  <c:v>8269.3399419460529</c:v>
                </c:pt>
                <c:pt idx="551">
                  <c:v>8281.091303478177</c:v>
                </c:pt>
                <c:pt idx="552">
                  <c:v>8290.7163895495833</c:v>
                </c:pt>
                <c:pt idx="553">
                  <c:v>8305.8049582971689</c:v>
                </c:pt>
                <c:pt idx="554">
                  <c:v>8320.0185968755177</c:v>
                </c:pt>
                <c:pt idx="555">
                  <c:v>8315.3619279645427</c:v>
                </c:pt>
                <c:pt idx="556">
                  <c:v>8310.3343807655638</c:v>
                </c:pt>
                <c:pt idx="557">
                  <c:v>8295.3489797356215</c:v>
                </c:pt>
                <c:pt idx="558">
                  <c:v>8258.0443562655346</c:v>
                </c:pt>
                <c:pt idx="559">
                  <c:v>8221.3766518874836</c:v>
                </c:pt>
                <c:pt idx="560">
                  <c:v>8147.0248393114198</c:v>
                </c:pt>
                <c:pt idx="561">
                  <c:v>8078.13874133233</c:v>
                </c:pt>
                <c:pt idx="562">
                  <c:v>8047.9167824430042</c:v>
                </c:pt>
                <c:pt idx="563">
                  <c:v>8029.7830710307126</c:v>
                </c:pt>
                <c:pt idx="564">
                  <c:v>8025.824362718763</c:v>
                </c:pt>
                <c:pt idx="565">
                  <c:v>8015.897963930991</c:v>
                </c:pt>
                <c:pt idx="566">
                  <c:v>7995.5770418194916</c:v>
                </c:pt>
                <c:pt idx="567">
                  <c:v>7982.4404662495563</c:v>
                </c:pt>
                <c:pt idx="568">
                  <c:v>7985.397238724976</c:v>
                </c:pt>
                <c:pt idx="569">
                  <c:v>7989.3825695307169</c:v>
                </c:pt>
                <c:pt idx="570">
                  <c:v>7996.0948519187868</c:v>
                </c:pt>
                <c:pt idx="571">
                  <c:v>8008.5133271573222</c:v>
                </c:pt>
                <c:pt idx="572">
                  <c:v>8029.2217338964829</c:v>
                </c:pt>
                <c:pt idx="573">
                  <c:v>8036.3314869121677</c:v>
                </c:pt>
                <c:pt idx="574">
                  <c:v>8029.2612500507876</c:v>
                </c:pt>
                <c:pt idx="575">
                  <c:v>8030.3298201240696</c:v>
                </c:pt>
                <c:pt idx="576">
                  <c:v>8034.04574928084</c:v>
                </c:pt>
                <c:pt idx="577">
                  <c:v>8032.804598527604</c:v>
                </c:pt>
                <c:pt idx="578">
                  <c:v>8033.7820217484013</c:v>
                </c:pt>
                <c:pt idx="579">
                  <c:v>8035.5816941797502</c:v>
                </c:pt>
                <c:pt idx="580">
                  <c:v>8040.3362518259855</c:v>
                </c:pt>
                <c:pt idx="581">
                  <c:v>8061.6863416959904</c:v>
                </c:pt>
                <c:pt idx="582">
                  <c:v>8056.9633534792774</c:v>
                </c:pt>
                <c:pt idx="583">
                  <c:v>8024.7014284030156</c:v>
                </c:pt>
                <c:pt idx="584">
                  <c:v>7993.1429933589407</c:v>
                </c:pt>
                <c:pt idx="585">
                  <c:v>7972.770236836277</c:v>
                </c:pt>
                <c:pt idx="586">
                  <c:v>7964.6731676562158</c:v>
                </c:pt>
                <c:pt idx="587">
                  <c:v>7954.7838407119243</c:v>
                </c:pt>
                <c:pt idx="588">
                  <c:v>7951.7376705755605</c:v>
                </c:pt>
                <c:pt idx="589">
                  <c:v>7954.9796493298018</c:v>
                </c:pt>
                <c:pt idx="590">
                  <c:v>7975.3605322896756</c:v>
                </c:pt>
                <c:pt idx="591">
                  <c:v>7986.8325662228581</c:v>
                </c:pt>
                <c:pt idx="592">
                  <c:v>8004.5435458457669</c:v>
                </c:pt>
                <c:pt idx="593">
                  <c:v>8070.6719552895338</c:v>
                </c:pt>
                <c:pt idx="594">
                  <c:v>8154.0639336566664</c:v>
                </c:pt>
                <c:pt idx="595">
                  <c:v>8213.1229398278156</c:v>
                </c:pt>
                <c:pt idx="596">
                  <c:v>8255.4759270127288</c:v>
                </c:pt>
                <c:pt idx="597">
                  <c:v>8296.7689788397147</c:v>
                </c:pt>
                <c:pt idx="598">
                  <c:v>8355.6317527038027</c:v>
                </c:pt>
                <c:pt idx="599">
                  <c:v>8439.5556794807617</c:v>
                </c:pt>
                <c:pt idx="600">
                  <c:v>8472.5850996488771</c:v>
                </c:pt>
                <c:pt idx="601">
                  <c:v>8506.0206118593014</c:v>
                </c:pt>
                <c:pt idx="602">
                  <c:v>8533.7923043140781</c:v>
                </c:pt>
                <c:pt idx="603">
                  <c:v>8537.9105005962811</c:v>
                </c:pt>
                <c:pt idx="604">
                  <c:v>8542.1397443156984</c:v>
                </c:pt>
                <c:pt idx="605">
                  <c:v>8541.7262953227673</c:v>
                </c:pt>
                <c:pt idx="606">
                  <c:v>8539.8708998162219</c:v>
                </c:pt>
                <c:pt idx="607">
                  <c:v>8542.4333879427813</c:v>
                </c:pt>
                <c:pt idx="608">
                  <c:v>8540.3966613956163</c:v>
                </c:pt>
                <c:pt idx="609">
                  <c:v>8551.8221978430138</c:v>
                </c:pt>
                <c:pt idx="610">
                  <c:v>8538.8825632163025</c:v>
                </c:pt>
                <c:pt idx="611">
                  <c:v>8523.2599286312743</c:v>
                </c:pt>
                <c:pt idx="612">
                  <c:v>8521.2430547320419</c:v>
                </c:pt>
                <c:pt idx="613">
                  <c:v>8522.4104300447361</c:v>
                </c:pt>
                <c:pt idx="614">
                  <c:v>8526.4595998479763</c:v>
                </c:pt>
                <c:pt idx="615">
                  <c:v>8533.1687974176784</c:v>
                </c:pt>
                <c:pt idx="616">
                  <c:v>8568.949454007392</c:v>
                </c:pt>
                <c:pt idx="617">
                  <c:v>8606.5153681117263</c:v>
                </c:pt>
                <c:pt idx="618">
                  <c:v>8611.1948960071022</c:v>
                </c:pt>
                <c:pt idx="619">
                  <c:v>8596.3882722653361</c:v>
                </c:pt>
                <c:pt idx="620">
                  <c:v>8589.2238785935187</c:v>
                </c:pt>
                <c:pt idx="621">
                  <c:v>8577.1404502757505</c:v>
                </c:pt>
                <c:pt idx="622">
                  <c:v>8557.5091867694427</c:v>
                </c:pt>
                <c:pt idx="623">
                  <c:v>8529.3895533735467</c:v>
                </c:pt>
                <c:pt idx="624">
                  <c:v>8499.2081125496316</c:v>
                </c:pt>
                <c:pt idx="625">
                  <c:v>8472.0193000795643</c:v>
                </c:pt>
                <c:pt idx="626">
                  <c:v>8444.9224253304437</c:v>
                </c:pt>
                <c:pt idx="627">
                  <c:v>8376.1260726447781</c:v>
                </c:pt>
                <c:pt idx="628">
                  <c:v>8320.6886162993396</c:v>
                </c:pt>
                <c:pt idx="629">
                  <c:v>8300.4597919555472</c:v>
                </c:pt>
                <c:pt idx="630">
                  <c:v>8294.0997281094424</c:v>
                </c:pt>
                <c:pt idx="631">
                  <c:v>8312.6912844525614</c:v>
                </c:pt>
                <c:pt idx="632">
                  <c:v>8330.6271465762056</c:v>
                </c:pt>
                <c:pt idx="633">
                  <c:v>8358.8087284143621</c:v>
                </c:pt>
                <c:pt idx="634">
                  <c:v>8361.6830445608211</c:v>
                </c:pt>
                <c:pt idx="635">
                  <c:v>8356.7212070961541</c:v>
                </c:pt>
                <c:pt idx="636">
                  <c:v>8351.6336220661979</c:v>
                </c:pt>
                <c:pt idx="637">
                  <c:v>8345.3130377410471</c:v>
                </c:pt>
                <c:pt idx="638">
                  <c:v>8345.1972501986238</c:v>
                </c:pt>
                <c:pt idx="639">
                  <c:v>8343.9950368035788</c:v>
                </c:pt>
                <c:pt idx="640">
                  <c:v>8326.143830128849</c:v>
                </c:pt>
                <c:pt idx="641">
                  <c:v>8297.1486904555422</c:v>
                </c:pt>
                <c:pt idx="642">
                  <c:v>8280.1519805925345</c:v>
                </c:pt>
                <c:pt idx="643">
                  <c:v>8261.3364820779734</c:v>
                </c:pt>
                <c:pt idx="644">
                  <c:v>8227.6753368913141</c:v>
                </c:pt>
                <c:pt idx="645">
                  <c:v>8177.6901900114162</c:v>
                </c:pt>
                <c:pt idx="646">
                  <c:v>8148.4175127463477</c:v>
                </c:pt>
                <c:pt idx="647">
                  <c:v>8130.3242335420528</c:v>
                </c:pt>
                <c:pt idx="648">
                  <c:v>8101.0030604494987</c:v>
                </c:pt>
                <c:pt idx="649">
                  <c:v>8085.3437568504551</c:v>
                </c:pt>
                <c:pt idx="650">
                  <c:v>8069.5837243290462</c:v>
                </c:pt>
                <c:pt idx="651">
                  <c:v>8012.5068501255555</c:v>
                </c:pt>
                <c:pt idx="652">
                  <c:v>7956.678392321749</c:v>
                </c:pt>
                <c:pt idx="653">
                  <c:v>7933.0494870187986</c:v>
                </c:pt>
                <c:pt idx="654">
                  <c:v>7933.4524833044325</c:v>
                </c:pt>
                <c:pt idx="655">
                  <c:v>7923.158054094034</c:v>
                </c:pt>
                <c:pt idx="656">
                  <c:v>7939.377136165951</c:v>
                </c:pt>
                <c:pt idx="657">
                  <c:v>7983.41145127034</c:v>
                </c:pt>
                <c:pt idx="658">
                  <c:v>8022.2858030607904</c:v>
                </c:pt>
                <c:pt idx="659">
                  <c:v>8054.143704973324</c:v>
                </c:pt>
                <c:pt idx="660">
                  <c:v>8061.2876929636659</c:v>
                </c:pt>
                <c:pt idx="661">
                  <c:v>8057.517334051855</c:v>
                </c:pt>
                <c:pt idx="662">
                  <c:v>8058.4327137968257</c:v>
                </c:pt>
                <c:pt idx="663">
                  <c:v>8052.1092376654915</c:v>
                </c:pt>
                <c:pt idx="664">
                  <c:v>8051.4244588002202</c:v>
                </c:pt>
                <c:pt idx="665">
                  <c:v>8057.9464312845685</c:v>
                </c:pt>
                <c:pt idx="666">
                  <c:v>8059.151446564767</c:v>
                </c:pt>
                <c:pt idx="667">
                  <c:v>8063.6216241747452</c:v>
                </c:pt>
                <c:pt idx="668">
                  <c:v>8073.1597600374225</c:v>
                </c:pt>
                <c:pt idx="669">
                  <c:v>8070.9069239464297</c:v>
                </c:pt>
                <c:pt idx="670">
                  <c:v>8064.6723572361961</c:v>
                </c:pt>
                <c:pt idx="671">
                  <c:v>8072.9767808292036</c:v>
                </c:pt>
                <c:pt idx="672">
                  <c:v>8091.2658729553859</c:v>
                </c:pt>
                <c:pt idx="673">
                  <c:v>8076.3206807977313</c:v>
                </c:pt>
                <c:pt idx="674">
                  <c:v>8034.847109611781</c:v>
                </c:pt>
                <c:pt idx="675">
                  <c:v>8011.9000003803067</c:v>
                </c:pt>
                <c:pt idx="676">
                  <c:v>7997.7918266790721</c:v>
                </c:pt>
                <c:pt idx="677">
                  <c:v>7952.3327975851607</c:v>
                </c:pt>
                <c:pt idx="678">
                  <c:v>7913.8040223563294</c:v>
                </c:pt>
                <c:pt idx="679">
                  <c:v>7885.0689057572154</c:v>
                </c:pt>
                <c:pt idx="680">
                  <c:v>7865.5107229791247</c:v>
                </c:pt>
                <c:pt idx="681">
                  <c:v>7858.6108754094112</c:v>
                </c:pt>
                <c:pt idx="682">
                  <c:v>7862.2717072855739</c:v>
                </c:pt>
                <c:pt idx="683">
                  <c:v>7875.5531159948687</c:v>
                </c:pt>
                <c:pt idx="684">
                  <c:v>7876.9221734825533</c:v>
                </c:pt>
                <c:pt idx="685">
                  <c:v>7873.6367225301819</c:v>
                </c:pt>
                <c:pt idx="686">
                  <c:v>7871.9000097958506</c:v>
                </c:pt>
                <c:pt idx="687">
                  <c:v>7866.4229278081848</c:v>
                </c:pt>
                <c:pt idx="688">
                  <c:v>7871.7555002026647</c:v>
                </c:pt>
                <c:pt idx="689">
                  <c:v>7881.9218222451827</c:v>
                </c:pt>
                <c:pt idx="690">
                  <c:v>7876.9827718537563</c:v>
                </c:pt>
                <c:pt idx="691">
                  <c:v>7870.7382492848456</c:v>
                </c:pt>
                <c:pt idx="692">
                  <c:v>7870.1868144332393</c:v>
                </c:pt>
                <c:pt idx="693">
                  <c:v>7871.5739325457698</c:v>
                </c:pt>
                <c:pt idx="694">
                  <c:v>7884.6289469851345</c:v>
                </c:pt>
                <c:pt idx="695">
                  <c:v>7909.4107678043511</c:v>
                </c:pt>
                <c:pt idx="696">
                  <c:v>7927.121658297965</c:v>
                </c:pt>
                <c:pt idx="697">
                  <c:v>7979.1586958484368</c:v>
                </c:pt>
                <c:pt idx="698">
                  <c:v>8035.7095708310553</c:v>
                </c:pt>
                <c:pt idx="699">
                  <c:v>8093.2016053500975</c:v>
                </c:pt>
                <c:pt idx="700">
                  <c:v>8153.3861890511034</c:v>
                </c:pt>
                <c:pt idx="701">
                  <c:v>8208.8134880803864</c:v>
                </c:pt>
                <c:pt idx="702">
                  <c:v>8236.9486416573964</c:v>
                </c:pt>
                <c:pt idx="703">
                  <c:v>8259.5115139918889</c:v>
                </c:pt>
                <c:pt idx="704">
                  <c:v>8260.9850121872023</c:v>
                </c:pt>
                <c:pt idx="705">
                  <c:v>8267.5372159911567</c:v>
                </c:pt>
                <c:pt idx="706">
                  <c:v>8270.3488377213052</c:v>
                </c:pt>
                <c:pt idx="707">
                  <c:v>8275.6267778330803</c:v>
                </c:pt>
                <c:pt idx="708">
                  <c:v>8287.0300473913849</c:v>
                </c:pt>
                <c:pt idx="709">
                  <c:v>8295.8985271786605</c:v>
                </c:pt>
                <c:pt idx="710">
                  <c:v>8289.7518516243308</c:v>
                </c:pt>
                <c:pt idx="711">
                  <c:v>8280.1347277425448</c:v>
                </c:pt>
                <c:pt idx="712">
                  <c:v>8277.8421529961561</c:v>
                </c:pt>
                <c:pt idx="713">
                  <c:v>8278.8568144988967</c:v>
                </c:pt>
                <c:pt idx="714">
                  <c:v>8278.8280728551454</c:v>
                </c:pt>
                <c:pt idx="715">
                  <c:v>8278.9425805685878</c:v>
                </c:pt>
                <c:pt idx="716">
                  <c:v>8294.1518693315829</c:v>
                </c:pt>
                <c:pt idx="717">
                  <c:v>8318.9643020992808</c:v>
                </c:pt>
                <c:pt idx="718">
                  <c:v>8340.8262478013094</c:v>
                </c:pt>
                <c:pt idx="719">
                  <c:v>8346.1936380887964</c:v>
                </c:pt>
                <c:pt idx="720">
                  <c:v>8347.229198307441</c:v>
                </c:pt>
                <c:pt idx="721">
                  <c:v>8322.3809800407034</c:v>
                </c:pt>
                <c:pt idx="722">
                  <c:v>8303.2122419418647</c:v>
                </c:pt>
                <c:pt idx="723">
                  <c:v>8305.3217950555409</c:v>
                </c:pt>
                <c:pt idx="724">
                  <c:v>8305.9500228039415</c:v>
                </c:pt>
                <c:pt idx="725">
                  <c:v>8303.6012966494891</c:v>
                </c:pt>
                <c:pt idx="726">
                  <c:v>8310.3829287270491</c:v>
                </c:pt>
                <c:pt idx="727">
                  <c:v>8301.7600935848404</c:v>
                </c:pt>
                <c:pt idx="728">
                  <c:v>8276.8070640968363</c:v>
                </c:pt>
                <c:pt idx="729">
                  <c:v>8089.1703007313708</c:v>
                </c:pt>
                <c:pt idx="730">
                  <c:v>7988.0912870660832</c:v>
                </c:pt>
                <c:pt idx="731">
                  <c:v>7876.5516079877671</c:v>
                </c:pt>
                <c:pt idx="732">
                  <c:v>7818.3322280000666</c:v>
                </c:pt>
                <c:pt idx="733">
                  <c:v>7776.8052144457633</c:v>
                </c:pt>
                <c:pt idx="734">
                  <c:v>7736.2280658814743</c:v>
                </c:pt>
                <c:pt idx="735">
                  <c:v>7665.4954782692284</c:v>
                </c:pt>
                <c:pt idx="736">
                  <c:v>7594.2047087411975</c:v>
                </c:pt>
                <c:pt idx="737">
                  <c:v>7557.4196469751951</c:v>
                </c:pt>
                <c:pt idx="738">
                  <c:v>7497.2737812527357</c:v>
                </c:pt>
                <c:pt idx="739">
                  <c:v>7427.281106948818</c:v>
                </c:pt>
                <c:pt idx="740">
                  <c:v>7390.4522557339005</c:v>
                </c:pt>
                <c:pt idx="741">
                  <c:v>7372.275240361324</c:v>
                </c:pt>
                <c:pt idx="742">
                  <c:v>7355.8388398214329</c:v>
                </c:pt>
                <c:pt idx="743">
                  <c:v>7363.970720575353</c:v>
                </c:pt>
                <c:pt idx="744">
                  <c:v>7386.0631628715282</c:v>
                </c:pt>
                <c:pt idx="745">
                  <c:v>7416.6352013403421</c:v>
                </c:pt>
                <c:pt idx="746">
                  <c:v>7478.9326012861848</c:v>
                </c:pt>
                <c:pt idx="747">
                  <c:v>7535.5294006030381</c:v>
                </c:pt>
                <c:pt idx="748">
                  <c:v>7594.5120433548545</c:v>
                </c:pt>
                <c:pt idx="749">
                  <c:v>7594.7129709850969</c:v>
                </c:pt>
                <c:pt idx="750">
                  <c:v>7594.0586490621254</c:v>
                </c:pt>
                <c:pt idx="751">
                  <c:v>7597.8575704703035</c:v>
                </c:pt>
                <c:pt idx="752">
                  <c:v>7596.4274003167075</c:v>
                </c:pt>
                <c:pt idx="753">
                  <c:v>7604.0992279135962</c:v>
                </c:pt>
                <c:pt idx="754">
                  <c:v>7606.22303450659</c:v>
                </c:pt>
                <c:pt idx="755">
                  <c:v>7606.4120748725927</c:v>
                </c:pt>
                <c:pt idx="756">
                  <c:v>7595.5445620200489</c:v>
                </c:pt>
                <c:pt idx="757">
                  <c:v>7576.3541494297715</c:v>
                </c:pt>
                <c:pt idx="758">
                  <c:v>7586.0986155664241</c:v>
                </c:pt>
                <c:pt idx="759">
                  <c:v>7637.9996379555614</c:v>
                </c:pt>
                <c:pt idx="760">
                  <c:v>7658.5106649779309</c:v>
                </c:pt>
                <c:pt idx="761">
                  <c:v>7666.7164414877006</c:v>
                </c:pt>
                <c:pt idx="762">
                  <c:v>7685.0023368371812</c:v>
                </c:pt>
                <c:pt idx="763">
                  <c:v>7708.5501833808485</c:v>
                </c:pt>
                <c:pt idx="764">
                  <c:v>7717.2159906956804</c:v>
                </c:pt>
                <c:pt idx="765">
                  <c:v>7731.9617694980907</c:v>
                </c:pt>
                <c:pt idx="766">
                  <c:v>7736.746254060703</c:v>
                </c:pt>
                <c:pt idx="767">
                  <c:v>7737.3270238544173</c:v>
                </c:pt>
                <c:pt idx="768">
                  <c:v>7742.1319584012199</c:v>
                </c:pt>
                <c:pt idx="769">
                  <c:v>7775.5659706102251</c:v>
                </c:pt>
                <c:pt idx="770">
                  <c:v>7810.9472207372592</c:v>
                </c:pt>
                <c:pt idx="771">
                  <c:v>7848.5042845719472</c:v>
                </c:pt>
                <c:pt idx="772">
                  <c:v>7915.7017673081655</c:v>
                </c:pt>
                <c:pt idx="773">
                  <c:v>7977.4338285107551</c:v>
                </c:pt>
                <c:pt idx="774">
                  <c:v>8005.7054570026394</c:v>
                </c:pt>
                <c:pt idx="775">
                  <c:v>8034.33668249123</c:v>
                </c:pt>
                <c:pt idx="776">
                  <c:v>8024.1816662806496</c:v>
                </c:pt>
                <c:pt idx="777">
                  <c:v>8007.1304879987856</c:v>
                </c:pt>
                <c:pt idx="778">
                  <c:v>7970.1293057325347</c:v>
                </c:pt>
                <c:pt idx="779">
                  <c:v>7940.6223036941019</c:v>
                </c:pt>
                <c:pt idx="780">
                  <c:v>7903.3686529878159</c:v>
                </c:pt>
                <c:pt idx="781">
                  <c:v>7837.1403871860211</c:v>
                </c:pt>
                <c:pt idx="782">
                  <c:v>7793.0424231043426</c:v>
                </c:pt>
                <c:pt idx="783">
                  <c:v>7740.5109511133505</c:v>
                </c:pt>
                <c:pt idx="784">
                  <c:v>7703.5994738943837</c:v>
                </c:pt>
                <c:pt idx="785">
                  <c:v>7679.3947307836816</c:v>
                </c:pt>
                <c:pt idx="786">
                  <c:v>7643.3318078080838</c:v>
                </c:pt>
                <c:pt idx="787">
                  <c:v>7632.8613002424099</c:v>
                </c:pt>
                <c:pt idx="788">
                  <c:v>7628.53076910238</c:v>
                </c:pt>
                <c:pt idx="789">
                  <c:v>7635.8322711552892</c:v>
                </c:pt>
                <c:pt idx="790">
                  <c:v>7644.3296125145198</c:v>
                </c:pt>
                <c:pt idx="791">
                  <c:v>7662.7683130592086</c:v>
                </c:pt>
                <c:pt idx="792">
                  <c:v>7680.657852516908</c:v>
                </c:pt>
                <c:pt idx="793">
                  <c:v>7693.1028558066791</c:v>
                </c:pt>
                <c:pt idx="794">
                  <c:v>7701.4079119031985</c:v>
                </c:pt>
                <c:pt idx="795">
                  <c:v>7709.6372727672997</c:v>
                </c:pt>
                <c:pt idx="796">
                  <c:v>7720.442713811125</c:v>
                </c:pt>
                <c:pt idx="797">
                  <c:v>7723.185985665802</c:v>
                </c:pt>
                <c:pt idx="798">
                  <c:v>7714.5176347776805</c:v>
                </c:pt>
                <c:pt idx="799">
                  <c:v>7694.9583988379463</c:v>
                </c:pt>
                <c:pt idx="800">
                  <c:v>7652.2697680247838</c:v>
                </c:pt>
                <c:pt idx="801">
                  <c:v>7636.714439814059</c:v>
                </c:pt>
                <c:pt idx="802">
                  <c:v>7603.4839897778211</c:v>
                </c:pt>
                <c:pt idx="803">
                  <c:v>7586.6636304297663</c:v>
                </c:pt>
                <c:pt idx="804">
                  <c:v>7576.5829921027998</c:v>
                </c:pt>
                <c:pt idx="805">
                  <c:v>7572.0859622626595</c:v>
                </c:pt>
                <c:pt idx="806">
                  <c:v>7578.6547040852402</c:v>
                </c:pt>
                <c:pt idx="807">
                  <c:v>7574.9753781276213</c:v>
                </c:pt>
                <c:pt idx="808">
                  <c:v>7574.9356849482574</c:v>
                </c:pt>
                <c:pt idx="809">
                  <c:v>7573.2793103169442</c:v>
                </c:pt>
                <c:pt idx="810">
                  <c:v>7573.1304237056011</c:v>
                </c:pt>
                <c:pt idx="811">
                  <c:v>7573.7393316463194</c:v>
                </c:pt>
                <c:pt idx="812">
                  <c:v>7575.286251084166</c:v>
                </c:pt>
                <c:pt idx="813">
                  <c:v>7575.8406173321864</c:v>
                </c:pt>
                <c:pt idx="814">
                  <c:v>7580.88445278374</c:v>
                </c:pt>
                <c:pt idx="815">
                  <c:v>7579.3485654525293</c:v>
                </c:pt>
                <c:pt idx="816">
                  <c:v>7578.7298864609984</c:v>
                </c:pt>
                <c:pt idx="817">
                  <c:v>7578.8722753079965</c:v>
                </c:pt>
                <c:pt idx="818">
                  <c:v>7576.8746751229155</c:v>
                </c:pt>
                <c:pt idx="819">
                  <c:v>7551.3206602972068</c:v>
                </c:pt>
                <c:pt idx="820">
                  <c:v>7549.0034251102843</c:v>
                </c:pt>
                <c:pt idx="821">
                  <c:v>7527.0150570388323</c:v>
                </c:pt>
                <c:pt idx="822">
                  <c:v>7504.6453225407768</c:v>
                </c:pt>
                <c:pt idx="823">
                  <c:v>7489.3735787904579</c:v>
                </c:pt>
                <c:pt idx="824">
                  <c:v>7464.1275178351834</c:v>
                </c:pt>
                <c:pt idx="825">
                  <c:v>7415.88711244154</c:v>
                </c:pt>
                <c:pt idx="826">
                  <c:v>7352.4062586219161</c:v>
                </c:pt>
                <c:pt idx="827">
                  <c:v>7316.3514761579263</c:v>
                </c:pt>
                <c:pt idx="828">
                  <c:v>7258.9622796785488</c:v>
                </c:pt>
                <c:pt idx="829">
                  <c:v>7201.8670568908001</c:v>
                </c:pt>
                <c:pt idx="830">
                  <c:v>7181.9338673545935</c:v>
                </c:pt>
                <c:pt idx="831">
                  <c:v>7168.2075004992985</c:v>
                </c:pt>
                <c:pt idx="832">
                  <c:v>7166.3077352321843</c:v>
                </c:pt>
                <c:pt idx="833">
                  <c:v>7171.2977651025849</c:v>
                </c:pt>
                <c:pt idx="834">
                  <c:v>7190.7208102257564</c:v>
                </c:pt>
                <c:pt idx="835">
                  <c:v>7230.1639051391357</c:v>
                </c:pt>
                <c:pt idx="836">
                  <c:v>7243.8057447746178</c:v>
                </c:pt>
                <c:pt idx="837">
                  <c:v>7254.3337931536489</c:v>
                </c:pt>
                <c:pt idx="838">
                  <c:v>7273.173585379277</c:v>
                </c:pt>
                <c:pt idx="839">
                  <c:v>7275.5371740102473</c:v>
                </c:pt>
                <c:pt idx="840">
                  <c:v>7275.8269794140242</c:v>
                </c:pt>
                <c:pt idx="841">
                  <c:v>7259.8035671261077</c:v>
                </c:pt>
                <c:pt idx="842">
                  <c:v>7223.9774850062859</c:v>
                </c:pt>
                <c:pt idx="843">
                  <c:v>7122.7830559498534</c:v>
                </c:pt>
                <c:pt idx="844">
                  <c:v>7048.0932373329078</c:v>
                </c:pt>
                <c:pt idx="845">
                  <c:v>7024.5680827638653</c:v>
                </c:pt>
                <c:pt idx="846">
                  <c:v>6982.8626834187689</c:v>
                </c:pt>
                <c:pt idx="847">
                  <c:v>6956.4079914036629</c:v>
                </c:pt>
                <c:pt idx="848">
                  <c:v>6946.2658146987324</c:v>
                </c:pt>
                <c:pt idx="849">
                  <c:v>6940.5067970622995</c:v>
                </c:pt>
                <c:pt idx="850">
                  <c:v>6933.9997504568</c:v>
                </c:pt>
                <c:pt idx="851">
                  <c:v>6914.6216674911757</c:v>
                </c:pt>
                <c:pt idx="852">
                  <c:v>6883.6524044989083</c:v>
                </c:pt>
                <c:pt idx="853">
                  <c:v>6848.2273273701176</c:v>
                </c:pt>
                <c:pt idx="854">
                  <c:v>6843.171123713003</c:v>
                </c:pt>
                <c:pt idx="855">
                  <c:v>6840.1279138960881</c:v>
                </c:pt>
                <c:pt idx="856">
                  <c:v>6852.6877951745655</c:v>
                </c:pt>
                <c:pt idx="857">
                  <c:v>6852.1317916459375</c:v>
                </c:pt>
                <c:pt idx="858">
                  <c:v>6843.3094295858236</c:v>
                </c:pt>
                <c:pt idx="859">
                  <c:v>6843.8692299060694</c:v>
                </c:pt>
                <c:pt idx="860">
                  <c:v>6832.9222410422035</c:v>
                </c:pt>
                <c:pt idx="861">
                  <c:v>6813.3204938108602</c:v>
                </c:pt>
                <c:pt idx="862">
                  <c:v>6804.3645211422463</c:v>
                </c:pt>
                <c:pt idx="863">
                  <c:v>6823.9038432883135</c:v>
                </c:pt>
                <c:pt idx="864">
                  <c:v>6847.4997421394501</c:v>
                </c:pt>
                <c:pt idx="865">
                  <c:v>6855.507918226509</c:v>
                </c:pt>
                <c:pt idx="866">
                  <c:v>6880.6439647695815</c:v>
                </c:pt>
                <c:pt idx="867">
                  <c:v>6899.9987597007066</c:v>
                </c:pt>
                <c:pt idx="868">
                  <c:v>6906.0153372706254</c:v>
                </c:pt>
                <c:pt idx="869">
                  <c:v>6905.3818549289845</c:v>
                </c:pt>
                <c:pt idx="870">
                  <c:v>6907.5494023420952</c:v>
                </c:pt>
                <c:pt idx="871">
                  <c:v>6934.679005124106</c:v>
                </c:pt>
                <c:pt idx="872">
                  <c:v>6995.2443345224929</c:v>
                </c:pt>
                <c:pt idx="873">
                  <c:v>7081.9966799400045</c:v>
                </c:pt>
                <c:pt idx="874">
                  <c:v>7162.0450056966429</c:v>
                </c:pt>
                <c:pt idx="875">
                  <c:v>7286.4582565404507</c:v>
                </c:pt>
                <c:pt idx="876">
                  <c:v>7351.1630235743114</c:v>
                </c:pt>
                <c:pt idx="877">
                  <c:v>7378.3442501509589</c:v>
                </c:pt>
                <c:pt idx="878">
                  <c:v>7392.059368578296</c:v>
                </c:pt>
                <c:pt idx="879">
                  <c:v>7405.6521130911469</c:v>
                </c:pt>
                <c:pt idx="880">
                  <c:v>7414.7221285386158</c:v>
                </c:pt>
                <c:pt idx="881">
                  <c:v>7417.5922335111773</c:v>
                </c:pt>
                <c:pt idx="882">
                  <c:v>7434.4669213848929</c:v>
                </c:pt>
                <c:pt idx="883">
                  <c:v>7448.0037061124995</c:v>
                </c:pt>
                <c:pt idx="884">
                  <c:v>7444.3080842872314</c:v>
                </c:pt>
                <c:pt idx="885">
                  <c:v>7453.116149612536</c:v>
                </c:pt>
                <c:pt idx="886">
                  <c:v>7462.9521262852213</c:v>
                </c:pt>
                <c:pt idx="887">
                  <c:v>7478.2108789350332</c:v>
                </c:pt>
                <c:pt idx="888">
                  <c:v>7483.7438590784768</c:v>
                </c:pt>
                <c:pt idx="889">
                  <c:v>7484.5547323791552</c:v>
                </c:pt>
                <c:pt idx="890">
                  <c:v>7476.5085941068783</c:v>
                </c:pt>
                <c:pt idx="891">
                  <c:v>7470.1882053514437</c:v>
                </c:pt>
                <c:pt idx="892">
                  <c:v>7487.2828268367084</c:v>
                </c:pt>
                <c:pt idx="893">
                  <c:v>7509.893227338991</c:v>
                </c:pt>
                <c:pt idx="894">
                  <c:v>7514.1283854416206</c:v>
                </c:pt>
                <c:pt idx="895">
                  <c:v>7514.843167605788</c:v>
                </c:pt>
                <c:pt idx="896">
                  <c:v>7514.1364872906734</c:v>
                </c:pt>
                <c:pt idx="897">
                  <c:v>7512.2945549546039</c:v>
                </c:pt>
                <c:pt idx="898">
                  <c:v>7531.0884957225326</c:v>
                </c:pt>
                <c:pt idx="899">
                  <c:v>7555.5086476840643</c:v>
                </c:pt>
                <c:pt idx="900">
                  <c:v>7601.7261681686905</c:v>
                </c:pt>
                <c:pt idx="901">
                  <c:v>7655.4042739429215</c:v>
                </c:pt>
                <c:pt idx="902">
                  <c:v>7682.203105369178</c:v>
                </c:pt>
                <c:pt idx="903">
                  <c:v>7699.7907690332513</c:v>
                </c:pt>
                <c:pt idx="904">
                  <c:v>7700.252529493333</c:v>
                </c:pt>
                <c:pt idx="905">
                  <c:v>7700.7642135191663</c:v>
                </c:pt>
                <c:pt idx="906">
                  <c:v>7701.2239610038905</c:v>
                </c:pt>
                <c:pt idx="907">
                  <c:v>7695.2031713832457</c:v>
                </c:pt>
                <c:pt idx="908">
                  <c:v>7684.7487310233137</c:v>
                </c:pt>
                <c:pt idx="909">
                  <c:v>7671.9700618581401</c:v>
                </c:pt>
                <c:pt idx="910">
                  <c:v>7670.9181489425628</c:v>
                </c:pt>
                <c:pt idx="911">
                  <c:v>7678.0302671393219</c:v>
                </c:pt>
                <c:pt idx="912">
                  <c:v>7648.4707188093416</c:v>
                </c:pt>
                <c:pt idx="913">
                  <c:v>7610.6011779342971</c:v>
                </c:pt>
                <c:pt idx="914">
                  <c:v>7585.6380075848874</c:v>
                </c:pt>
                <c:pt idx="915">
                  <c:v>7581.349485689374</c:v>
                </c:pt>
                <c:pt idx="916">
                  <c:v>7588.8419193021846</c:v>
                </c:pt>
                <c:pt idx="917">
                  <c:v>7594.237586498477</c:v>
                </c:pt>
                <c:pt idx="918">
                  <c:v>7607.8438156605071</c:v>
                </c:pt>
                <c:pt idx="919">
                  <c:v>7610.2918294720994</c:v>
                </c:pt>
                <c:pt idx="920">
                  <c:v>7608.2910702294093</c:v>
                </c:pt>
                <c:pt idx="921">
                  <c:v>7615.4490553167434</c:v>
                </c:pt>
                <c:pt idx="922">
                  <c:v>7625.1658503838971</c:v>
                </c:pt>
                <c:pt idx="923">
                  <c:v>7650.8548008686776</c:v>
                </c:pt>
                <c:pt idx="924">
                  <c:v>7672.0169698344698</c:v>
                </c:pt>
                <c:pt idx="925">
                  <c:v>7690.3571961426223</c:v>
                </c:pt>
                <c:pt idx="926">
                  <c:v>7714.1784362643639</c:v>
                </c:pt>
                <c:pt idx="927">
                  <c:v>7759.6496064707508</c:v>
                </c:pt>
                <c:pt idx="928">
                  <c:v>7822.6280199274643</c:v>
                </c:pt>
                <c:pt idx="929">
                  <c:v>7907.4915802267369</c:v>
                </c:pt>
                <c:pt idx="930">
                  <c:v>8019.7044156581105</c:v>
                </c:pt>
                <c:pt idx="931">
                  <c:v>8081.4258235512589</c:v>
                </c:pt>
                <c:pt idx="932">
                  <c:v>8099.927970894395</c:v>
                </c:pt>
                <c:pt idx="933">
                  <c:v>8086.4161149083338</c:v>
                </c:pt>
                <c:pt idx="934">
                  <c:v>8073.7037107481956</c:v>
                </c:pt>
                <c:pt idx="935">
                  <c:v>8069.5761782116242</c:v>
                </c:pt>
                <c:pt idx="936">
                  <c:v>8070.5329156245989</c:v>
                </c:pt>
                <c:pt idx="937">
                  <c:v>8066.1829397776337</c:v>
                </c:pt>
                <c:pt idx="938">
                  <c:v>8057.4954705951423</c:v>
                </c:pt>
                <c:pt idx="939">
                  <c:v>8045.3327392108622</c:v>
                </c:pt>
                <c:pt idx="940">
                  <c:v>8040.268348939655</c:v>
                </c:pt>
                <c:pt idx="941">
                  <c:v>8035.8466508829142</c:v>
                </c:pt>
                <c:pt idx="942">
                  <c:v>8034.8534307531327</c:v>
                </c:pt>
                <c:pt idx="943">
                  <c:v>8019.6537865643395</c:v>
                </c:pt>
                <c:pt idx="944">
                  <c:v>8012.0127931979987</c:v>
                </c:pt>
                <c:pt idx="945">
                  <c:v>8014.6620795968302</c:v>
                </c:pt>
                <c:pt idx="946">
                  <c:v>8003.8068235673982</c:v>
                </c:pt>
                <c:pt idx="947">
                  <c:v>8012.2407922110688</c:v>
                </c:pt>
                <c:pt idx="948">
                  <c:v>8024.3930087986409</c:v>
                </c:pt>
                <c:pt idx="949">
                  <c:v>8029.2816434991801</c:v>
                </c:pt>
                <c:pt idx="950">
                  <c:v>8036.96054508815</c:v>
                </c:pt>
                <c:pt idx="951">
                  <c:v>8054.3497442348726</c:v>
                </c:pt>
                <c:pt idx="952">
                  <c:v>8063.6154582444251</c:v>
                </c:pt>
                <c:pt idx="953">
                  <c:v>8105.4618818370109</c:v>
                </c:pt>
                <c:pt idx="954">
                  <c:v>8160.4978421384558</c:v>
                </c:pt>
                <c:pt idx="955">
                  <c:v>8216.3485654303859</c:v>
                </c:pt>
                <c:pt idx="956">
                  <c:v>8256.2230362226765</c:v>
                </c:pt>
                <c:pt idx="957">
                  <c:v>8284.7605133799061</c:v>
                </c:pt>
                <c:pt idx="958">
                  <c:v>8309.4334585294309</c:v>
                </c:pt>
                <c:pt idx="959">
                  <c:v>8329.8477064562576</c:v>
                </c:pt>
                <c:pt idx="960">
                  <c:v>8362.7811343538833</c:v>
                </c:pt>
                <c:pt idx="961">
                  <c:v>8401.6001808128585</c:v>
                </c:pt>
                <c:pt idx="962">
                  <c:v>8453.2672667187053</c:v>
                </c:pt>
                <c:pt idx="963">
                  <c:v>8460.891422100045</c:v>
                </c:pt>
                <c:pt idx="964">
                  <c:v>8465.8988474396174</c:v>
                </c:pt>
                <c:pt idx="965">
                  <c:v>8473.0953151898757</c:v>
                </c:pt>
                <c:pt idx="966">
                  <c:v>8475.2799496222106</c:v>
                </c:pt>
                <c:pt idx="967">
                  <c:v>8481.6520552380662</c:v>
                </c:pt>
                <c:pt idx="968">
                  <c:v>8495.4544340789016</c:v>
                </c:pt>
                <c:pt idx="969">
                  <c:v>8505.5633673217708</c:v>
                </c:pt>
                <c:pt idx="970">
                  <c:v>8510.8351069363216</c:v>
                </c:pt>
                <c:pt idx="971">
                  <c:v>8529.8172588747766</c:v>
                </c:pt>
                <c:pt idx="972">
                  <c:v>8543.0549434807235</c:v>
                </c:pt>
                <c:pt idx="973">
                  <c:v>8543.3633824362205</c:v>
                </c:pt>
                <c:pt idx="974">
                  <c:v>8543.5890543622736</c:v>
                </c:pt>
                <c:pt idx="975">
                  <c:v>8537.7578460463737</c:v>
                </c:pt>
                <c:pt idx="976">
                  <c:v>8536.0634755395222</c:v>
                </c:pt>
                <c:pt idx="977">
                  <c:v>8527.0435151994989</c:v>
                </c:pt>
                <c:pt idx="978">
                  <c:v>8513.6692063998271</c:v>
                </c:pt>
                <c:pt idx="979">
                  <c:v>8507.7278109542749</c:v>
                </c:pt>
                <c:pt idx="980">
                  <c:v>8511.6427579336996</c:v>
                </c:pt>
                <c:pt idx="981">
                  <c:v>8493.0696512689228</c:v>
                </c:pt>
                <c:pt idx="982">
                  <c:v>8476.4127549467139</c:v>
                </c:pt>
                <c:pt idx="983">
                  <c:v>8458.6938319664805</c:v>
                </c:pt>
                <c:pt idx="984">
                  <c:v>8457.865281876564</c:v>
                </c:pt>
                <c:pt idx="985">
                  <c:v>8473.2155383380596</c:v>
                </c:pt>
                <c:pt idx="986">
                  <c:v>8487.3621761004579</c:v>
                </c:pt>
                <c:pt idx="987">
                  <c:v>8495.586111929897</c:v>
                </c:pt>
                <c:pt idx="988">
                  <c:v>8508.0619329926176</c:v>
                </c:pt>
                <c:pt idx="989">
                  <c:v>8515.035414290438</c:v>
                </c:pt>
                <c:pt idx="990">
                  <c:v>8523.2126191047118</c:v>
                </c:pt>
                <c:pt idx="991">
                  <c:v>8537.8207255842717</c:v>
                </c:pt>
                <c:pt idx="992">
                  <c:v>8552.8665126702508</c:v>
                </c:pt>
                <c:pt idx="993">
                  <c:v>8568.0010129330913</c:v>
                </c:pt>
                <c:pt idx="994">
                  <c:v>8591.5313856672365</c:v>
                </c:pt>
                <c:pt idx="995">
                  <c:v>8621.3157391472105</c:v>
                </c:pt>
                <c:pt idx="996">
                  <c:v>8649.8450285779654</c:v>
                </c:pt>
                <c:pt idx="997">
                  <c:v>8616.7940348487791</c:v>
                </c:pt>
                <c:pt idx="998">
                  <c:v>8590.2292534837416</c:v>
                </c:pt>
                <c:pt idx="999">
                  <c:v>8587.3669350138262</c:v>
                </c:pt>
                <c:pt idx="1000">
                  <c:v>8585.7338966452244</c:v>
                </c:pt>
                <c:pt idx="1001">
                  <c:v>8591.3248759021262</c:v>
                </c:pt>
                <c:pt idx="1002">
                  <c:v>8593.5244052731632</c:v>
                </c:pt>
                <c:pt idx="1003">
                  <c:v>8606.1651596601205</c:v>
                </c:pt>
                <c:pt idx="1004">
                  <c:v>8609.4691841868771</c:v>
                </c:pt>
                <c:pt idx="1005">
                  <c:v>8582.8387111265911</c:v>
                </c:pt>
                <c:pt idx="1006">
                  <c:v>8561.5765457108973</c:v>
                </c:pt>
                <c:pt idx="1007">
                  <c:v>8527.0831215858234</c:v>
                </c:pt>
                <c:pt idx="1008">
                  <c:v>8524.1145980504098</c:v>
                </c:pt>
                <c:pt idx="1009">
                  <c:v>8521.7636082296231</c:v>
                </c:pt>
                <c:pt idx="1010">
                  <c:v>8521.491802783099</c:v>
                </c:pt>
                <c:pt idx="1011">
                  <c:v>8521.4296052884711</c:v>
                </c:pt>
                <c:pt idx="1012">
                  <c:v>8534.2002677557011</c:v>
                </c:pt>
                <c:pt idx="1013">
                  <c:v>8543.898098617683</c:v>
                </c:pt>
                <c:pt idx="1014">
                  <c:v>8537.5428340400777</c:v>
                </c:pt>
                <c:pt idx="1015">
                  <c:v>8531.7005068518356</c:v>
                </c:pt>
                <c:pt idx="1016">
                  <c:v>8530.8412208876507</c:v>
                </c:pt>
                <c:pt idx="1017">
                  <c:v>8535.6762138000304</c:v>
                </c:pt>
                <c:pt idx="1018">
                  <c:v>8515.906959467764</c:v>
                </c:pt>
                <c:pt idx="1019">
                  <c:v>8488.6338929827325</c:v>
                </c:pt>
                <c:pt idx="1020">
                  <c:v>8456.2440781928417</c:v>
                </c:pt>
                <c:pt idx="1021">
                  <c:v>8442.9912479028426</c:v>
                </c:pt>
                <c:pt idx="1022">
                  <c:v>8437.3845642948909</c:v>
                </c:pt>
                <c:pt idx="1023">
                  <c:v>8412.2588604642606</c:v>
                </c:pt>
                <c:pt idx="1024">
                  <c:v>8408.6638808541102</c:v>
                </c:pt>
                <c:pt idx="1025">
                  <c:v>8352.3857451350013</c:v>
                </c:pt>
                <c:pt idx="1026">
                  <c:v>8246.4348846738994</c:v>
                </c:pt>
                <c:pt idx="1027">
                  <c:v>8168.1522034912496</c:v>
                </c:pt>
                <c:pt idx="1028">
                  <c:v>8093.9295380620497</c:v>
                </c:pt>
                <c:pt idx="1029">
                  <c:v>8030.3894368357587</c:v>
                </c:pt>
                <c:pt idx="1030">
                  <c:v>7944.2480906760311</c:v>
                </c:pt>
                <c:pt idx="1031">
                  <c:v>7890.3777584221189</c:v>
                </c:pt>
                <c:pt idx="1032">
                  <c:v>7854.2461053581501</c:v>
                </c:pt>
                <c:pt idx="1033">
                  <c:v>7813.1501167948727</c:v>
                </c:pt>
                <c:pt idx="1034">
                  <c:v>7798.6885834791265</c:v>
                </c:pt>
                <c:pt idx="1035">
                  <c:v>7791.3373782290655</c:v>
                </c:pt>
                <c:pt idx="1036">
                  <c:v>7794.3493403887478</c:v>
                </c:pt>
                <c:pt idx="1037">
                  <c:v>7809.4999434470901</c:v>
                </c:pt>
                <c:pt idx="1038">
                  <c:v>7814.7013419036412</c:v>
                </c:pt>
                <c:pt idx="1039">
                  <c:v>7811.85063335625</c:v>
                </c:pt>
                <c:pt idx="1040">
                  <c:v>7812.4489978142301</c:v>
                </c:pt>
                <c:pt idx="1041">
                  <c:v>7826.0604809597453</c:v>
                </c:pt>
                <c:pt idx="1042">
                  <c:v>7854.9356571807257</c:v>
                </c:pt>
                <c:pt idx="1043">
                  <c:v>7874.8336994700667</c:v>
                </c:pt>
                <c:pt idx="1044">
                  <c:v>7928.4308423024395</c:v>
                </c:pt>
                <c:pt idx="1045">
                  <c:v>7939.3549080170433</c:v>
                </c:pt>
                <c:pt idx="1046">
                  <c:v>7938.2500675908923</c:v>
                </c:pt>
                <c:pt idx="1047">
                  <c:v>7939.5382255361574</c:v>
                </c:pt>
                <c:pt idx="1048">
                  <c:v>7943.7786147372663</c:v>
                </c:pt>
                <c:pt idx="1049">
                  <c:v>7948.5704413488193</c:v>
                </c:pt>
                <c:pt idx="1050">
                  <c:v>7982.9726858138811</c:v>
                </c:pt>
                <c:pt idx="1051">
                  <c:v>7997.9577221389245</c:v>
                </c:pt>
                <c:pt idx="1052">
                  <c:v>8003.3049443257214</c:v>
                </c:pt>
                <c:pt idx="1053">
                  <c:v>8007.5377862440928</c:v>
                </c:pt>
                <c:pt idx="1054">
                  <c:v>7984.2114508044069</c:v>
                </c:pt>
                <c:pt idx="1055">
                  <c:v>7942.1355120852122</c:v>
                </c:pt>
                <c:pt idx="1056">
                  <c:v>7932.2565889975594</c:v>
                </c:pt>
                <c:pt idx="1057">
                  <c:v>7925.7625654485573</c:v>
                </c:pt>
                <c:pt idx="1058">
                  <c:v>7925.3540767875493</c:v>
                </c:pt>
                <c:pt idx="1059">
                  <c:v>7927.1863318001633</c:v>
                </c:pt>
                <c:pt idx="1060">
                  <c:v>7927.3380503199178</c:v>
                </c:pt>
                <c:pt idx="1061">
                  <c:v>7926.9083141272531</c:v>
                </c:pt>
                <c:pt idx="1062">
                  <c:v>7928.6357357894231</c:v>
                </c:pt>
                <c:pt idx="1063">
                  <c:v>7925.9294123075315</c:v>
                </c:pt>
                <c:pt idx="1064">
                  <c:v>7927.5708084492844</c:v>
                </c:pt>
                <c:pt idx="1065">
                  <c:v>7925.2083741437491</c:v>
                </c:pt>
                <c:pt idx="1066">
                  <c:v>7919.6503093625588</c:v>
                </c:pt>
                <c:pt idx="1067">
                  <c:v>7901.6422277239799</c:v>
                </c:pt>
                <c:pt idx="1068">
                  <c:v>7885.307404607529</c:v>
                </c:pt>
                <c:pt idx="1069">
                  <c:v>7875.922682310601</c:v>
                </c:pt>
                <c:pt idx="1070">
                  <c:v>7872.264737179813</c:v>
                </c:pt>
                <c:pt idx="1071">
                  <c:v>7876.699433867705</c:v>
                </c:pt>
                <c:pt idx="1072">
                  <c:v>7886.2313773644919</c:v>
                </c:pt>
                <c:pt idx="1073">
                  <c:v>7914.0224813638815</c:v>
                </c:pt>
                <c:pt idx="1074">
                  <c:v>7951.0706578485961</c:v>
                </c:pt>
                <c:pt idx="1075">
                  <c:v>8017.0506384506389</c:v>
                </c:pt>
                <c:pt idx="1076">
                  <c:v>8051.8215698706672</c:v>
                </c:pt>
                <c:pt idx="1077">
                  <c:v>8077.9239445304538</c:v>
                </c:pt>
                <c:pt idx="1078">
                  <c:v>8091.2608435659995</c:v>
                </c:pt>
                <c:pt idx="1079">
                  <c:v>8098.6950286628908</c:v>
                </c:pt>
                <c:pt idx="1080">
                  <c:v>8122.6119741405937</c:v>
                </c:pt>
                <c:pt idx="1081">
                  <c:v>8131.3756680340566</c:v>
                </c:pt>
                <c:pt idx="1082">
                  <c:v>8148.5085165990713</c:v>
                </c:pt>
                <c:pt idx="1083">
                  <c:v>8157.2878559908959</c:v>
                </c:pt>
                <c:pt idx="1084">
                  <c:v>8172.3416305354867</c:v>
                </c:pt>
                <c:pt idx="1085">
                  <c:v>8203.1680704099963</c:v>
                </c:pt>
                <c:pt idx="1086">
                  <c:v>8230.6220538849666</c:v>
                </c:pt>
                <c:pt idx="1087">
                  <c:v>8245.9038184002038</c:v>
                </c:pt>
                <c:pt idx="1088">
                  <c:v>8260.5020096742701</c:v>
                </c:pt>
                <c:pt idx="1089">
                  <c:v>8280.3280766130956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455040"/>
        <c:axId val="797459352"/>
      </c:lineChart>
      <c:dateAx>
        <c:axId val="797455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 sz="1200"/>
                  <a:t>Dates</a:t>
                </a:r>
              </a:p>
            </c:rich>
          </c:tx>
          <c:layout/>
          <c:overlay val="0"/>
        </c:title>
        <c:numFmt formatCode="m/d/yyyy" sourceLinked="1"/>
        <c:majorTickMark val="out"/>
        <c:minorTickMark val="none"/>
        <c:tickLblPos val="nextTo"/>
        <c:crossAx val="797459352"/>
        <c:crosses val="autoZero"/>
        <c:auto val="0"/>
        <c:lblOffset val="100"/>
        <c:baseTimeUnit val="days"/>
        <c:majorUnit val="4"/>
        <c:majorTimeUnit val="months"/>
      </c:dateAx>
      <c:valAx>
        <c:axId val="797459352"/>
        <c:scaling>
          <c:orientation val="minMax"/>
          <c:max val="9200"/>
          <c:min val="5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IN" sz="1200"/>
                  <a:t>Closing Price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974550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effectLst>
      <a:softEdge rad="127000"/>
    </a:effectLst>
  </c:sp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57151</xdr:colOff>
      <xdr:row>23</xdr:row>
      <xdr:rowOff>61911</xdr:rowOff>
    </xdr:from>
    <xdr:to>
      <xdr:col>14</xdr:col>
      <xdr:colOff>323851</xdr:colOff>
      <xdr:row>44</xdr:row>
      <xdr:rowOff>123825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95250</xdr:colOff>
      <xdr:row>23</xdr:row>
      <xdr:rowOff>133349</xdr:rowOff>
    </xdr:from>
    <xdr:to>
      <xdr:col>19</xdr:col>
      <xdr:colOff>581024</xdr:colOff>
      <xdr:row>49</xdr:row>
      <xdr:rowOff>28575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95250</xdr:colOff>
      <xdr:row>50</xdr:row>
      <xdr:rowOff>61912</xdr:rowOff>
    </xdr:from>
    <xdr:to>
      <xdr:col>20</xdr:col>
      <xdr:colOff>9525</xdr:colOff>
      <xdr:row>71</xdr:row>
      <xdr:rowOff>19050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142</xdr:col>
      <xdr:colOff>57150</xdr:colOff>
      <xdr:row>11</xdr:row>
      <xdr:rowOff>147637</xdr:rowOff>
    </xdr:from>
    <xdr:to>
      <xdr:col>149</xdr:col>
      <xdr:colOff>361950</xdr:colOff>
      <xdr:row>26</xdr:row>
      <xdr:rowOff>33337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85724</xdr:colOff>
      <xdr:row>1</xdr:row>
      <xdr:rowOff>42862</xdr:rowOff>
    </xdr:from>
    <xdr:to>
      <xdr:col>16</xdr:col>
      <xdr:colOff>571499</xdr:colOff>
      <xdr:row>19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4"/>
  <sheetViews>
    <sheetView tabSelected="1" zoomScaleNormal="100" workbookViewId="0">
      <pane ySplit="2" topLeftCell="A3" activePane="bottomLeft" state="frozen"/>
      <selection pane="bottomLeft" activeCell="D9" sqref="D9"/>
    </sheetView>
  </sheetViews>
  <sheetFormatPr defaultRowHeight="14.4" x14ac:dyDescent="0.3"/>
  <cols>
    <col min="1" max="1" width="10.44140625" bestFit="1" customWidth="1"/>
    <col min="4" max="5" width="12.6640625" bestFit="1" customWidth="1"/>
    <col min="6" max="6" width="11.88671875" bestFit="1" customWidth="1"/>
    <col min="7" max="7" width="12.88671875" bestFit="1" customWidth="1"/>
    <col min="8" max="8" width="10.109375" bestFit="1" customWidth="1"/>
    <col min="14" max="15" width="12.6640625" bestFit="1" customWidth="1"/>
    <col min="16" max="16" width="10.44140625" style="1" bestFit="1" customWidth="1"/>
    <col min="18" max="18" width="15.109375" bestFit="1" customWidth="1"/>
    <col min="19" max="19" width="11.33203125" bestFit="1" customWidth="1"/>
  </cols>
  <sheetData>
    <row r="1" spans="1:19" s="8" customFormat="1" x14ac:dyDescent="0.3">
      <c r="B1" s="19" t="s">
        <v>2</v>
      </c>
      <c r="C1" s="19" t="s">
        <v>3</v>
      </c>
      <c r="D1" s="8" t="s">
        <v>42</v>
      </c>
      <c r="E1" s="8" t="s">
        <v>42</v>
      </c>
      <c r="P1" s="9"/>
    </row>
    <row r="2" spans="1:19" s="20" customFormat="1" x14ac:dyDescent="0.3">
      <c r="A2" s="20" t="s">
        <v>0</v>
      </c>
      <c r="B2" s="20" t="s">
        <v>1</v>
      </c>
      <c r="C2" s="20" t="s">
        <v>1</v>
      </c>
      <c r="D2" s="20" t="s">
        <v>6</v>
      </c>
      <c r="E2" s="20" t="s">
        <v>7</v>
      </c>
      <c r="F2" s="20" t="s">
        <v>4</v>
      </c>
      <c r="G2" s="20" t="s">
        <v>5</v>
      </c>
      <c r="H2" s="20" t="s">
        <v>8</v>
      </c>
      <c r="I2" s="20" t="s">
        <v>9</v>
      </c>
      <c r="J2" s="20" t="s">
        <v>11</v>
      </c>
      <c r="K2" s="20" t="s">
        <v>12</v>
      </c>
      <c r="L2" s="20" t="s">
        <v>10</v>
      </c>
      <c r="M2" s="20" t="s">
        <v>13</v>
      </c>
      <c r="N2" s="20" t="s">
        <v>17</v>
      </c>
      <c r="O2" s="20" t="s">
        <v>14</v>
      </c>
      <c r="P2" s="21" t="s">
        <v>15</v>
      </c>
      <c r="Q2" s="20" t="s">
        <v>16</v>
      </c>
      <c r="R2" s="20" t="s">
        <v>19</v>
      </c>
      <c r="S2" s="20" t="s">
        <v>18</v>
      </c>
    </row>
    <row r="3" spans="1:19" s="6" customFormat="1" x14ac:dyDescent="0.3">
      <c r="A3" s="11">
        <v>42776</v>
      </c>
      <c r="B3" s="6">
        <v>276.35000000000002</v>
      </c>
      <c r="C3" s="6">
        <v>145.19999999999999</v>
      </c>
      <c r="D3" s="6">
        <f t="shared" ref="D3:D22" si="0">(B3/B4)-1</f>
        <v>1.8125793003442858E-3</v>
      </c>
      <c r="E3" s="6">
        <f t="shared" ref="E3:E22" si="1">(C3/C4)-1</f>
        <v>3.8022813688212143E-3</v>
      </c>
      <c r="F3" s="6">
        <f>AVERAGE($D$3:$D$22)</f>
        <v>4.9477100117309991E-3</v>
      </c>
      <c r="G3" s="6">
        <f>AVERAGE($E$3:$E$22)</f>
        <v>7.6981092806769737E-3</v>
      </c>
      <c r="H3" s="6">
        <f t="shared" ref="H3:H22" si="2">D3-F3</f>
        <v>-3.1351307113867133E-3</v>
      </c>
      <c r="I3" s="6">
        <f t="shared" ref="I3:I22" si="3">E3-G3</f>
        <v>-3.8958279118557594E-3</v>
      </c>
      <c r="J3" s="6">
        <f t="shared" ref="J3:J22" si="4">H3^2</f>
        <v>9.8290445774801589E-6</v>
      </c>
      <c r="K3" s="6">
        <f t="shared" ref="K3:K22" si="5">I3^2</f>
        <v>1.5177475118794407E-5</v>
      </c>
      <c r="L3" s="6">
        <f t="shared" ref="L3:L22" si="6">SQRT(SUM($J$4:$J$23)/(COUNT($J$4:$J$23)-1))</f>
        <v>1.5331928518557719E-2</v>
      </c>
      <c r="M3" s="6">
        <f t="shared" ref="M3:M22" si="7">SQRT(SUM($K$4:$K$23)/(COUNT($K$4:$K$23)-1))</f>
        <v>2.2168061654600554E-2</v>
      </c>
      <c r="N3" s="6">
        <f t="shared" ref="N3:N22" si="8">H3*I3</f>
        <v>1.221392973273656E-5</v>
      </c>
      <c r="O3" s="6">
        <f t="shared" ref="O3:O22" si="9">(SUM($N$4:$N$23)/(COUNT($N$4:$N$23)-1))</f>
        <v>2.7354893120099238E-4</v>
      </c>
      <c r="P3" s="7">
        <f t="shared" ref="P3:P23" ca="1" si="10">RAND()</f>
        <v>0.27513063159079842</v>
      </c>
      <c r="Q3" s="6">
        <f t="shared" ref="Q3:Q23" ca="1" si="11">1-P3</f>
        <v>0.72486936840920158</v>
      </c>
      <c r="R3" s="6">
        <f t="shared" ref="R3:R66" ca="1" si="12">SQRT((P3*L$22)^2+(Q3*M$22)^2+2*O$22*P3*Q3)</f>
        <v>1.962434248112924E-2</v>
      </c>
      <c r="S3" s="6">
        <f t="shared" ref="S3:S21" ca="1" si="13">(P3*F3+Q3*G3)</f>
        <v>6.9413901926849968E-3</v>
      </c>
    </row>
    <row r="4" spans="1:19" s="6" customFormat="1" x14ac:dyDescent="0.3">
      <c r="A4" s="11">
        <v>42775</v>
      </c>
      <c r="B4" s="6">
        <v>275.85000000000002</v>
      </c>
      <c r="C4" s="6">
        <v>144.65</v>
      </c>
      <c r="D4" s="6">
        <f t="shared" si="0"/>
        <v>-4.8701298701298024E-3</v>
      </c>
      <c r="E4" s="6">
        <f t="shared" si="1"/>
        <v>-3.5023348899266171E-2</v>
      </c>
      <c r="F4" s="6">
        <f t="shared" ref="F4:F22" si="14">AVERAGE($D$3:$D$22)</f>
        <v>4.9477100117309991E-3</v>
      </c>
      <c r="G4" s="6">
        <f t="shared" ref="G4:G22" si="15">AVERAGE($E$3:$E$22)</f>
        <v>7.6981092806769737E-3</v>
      </c>
      <c r="H4" s="6">
        <f t="shared" si="2"/>
        <v>-9.8178398818608015E-3</v>
      </c>
      <c r="I4" s="6">
        <f t="shared" si="3"/>
        <v>-4.2721458179943148E-2</v>
      </c>
      <c r="J4" s="6">
        <f t="shared" si="4"/>
        <v>9.6389979945856518E-5</v>
      </c>
      <c r="K4" s="6">
        <f t="shared" si="5"/>
        <v>1.8251229890206312E-3</v>
      </c>
      <c r="L4" s="6">
        <f t="shared" si="6"/>
        <v>1.5331928518557719E-2</v>
      </c>
      <c r="M4" s="6">
        <f t="shared" si="7"/>
        <v>2.2168061654600554E-2</v>
      </c>
      <c r="N4" s="6">
        <f t="shared" si="8"/>
        <v>4.1943243593029421E-4</v>
      </c>
      <c r="O4" s="6">
        <f t="shared" si="9"/>
        <v>2.7354893120099238E-4</v>
      </c>
      <c r="P4" s="7">
        <f t="shared" ca="1" si="10"/>
        <v>0.6321795958083064</v>
      </c>
      <c r="Q4" s="6">
        <f t="shared" ca="1" si="11"/>
        <v>0.3678204041916936</v>
      </c>
      <c r="R4" s="6">
        <f t="shared" ca="1" si="12"/>
        <v>1.6960146810492394E-2</v>
      </c>
      <c r="S4" s="6">
        <f t="shared" ca="1" si="13"/>
        <v>5.9593629825232461E-3</v>
      </c>
    </row>
    <row r="5" spans="1:19" s="6" customFormat="1" x14ac:dyDescent="0.3">
      <c r="A5" s="11">
        <v>42774</v>
      </c>
      <c r="B5" s="6">
        <v>277.2</v>
      </c>
      <c r="C5" s="6">
        <v>149.9</v>
      </c>
      <c r="D5" s="6">
        <f t="shared" si="0"/>
        <v>-2.5188916876573986E-3</v>
      </c>
      <c r="E5" s="6">
        <f t="shared" si="1"/>
        <v>-1.1539729640619889E-2</v>
      </c>
      <c r="F5" s="6">
        <f t="shared" si="14"/>
        <v>4.9477100117309991E-3</v>
      </c>
      <c r="G5" s="6">
        <f t="shared" si="15"/>
        <v>7.6981092806769737E-3</v>
      </c>
      <c r="H5" s="6">
        <f t="shared" si="2"/>
        <v>-7.4666016993883977E-3</v>
      </c>
      <c r="I5" s="6">
        <f t="shared" si="3"/>
        <v>-1.9237838921296862E-2</v>
      </c>
      <c r="J5" s="6">
        <f t="shared" si="4"/>
        <v>5.5750140937309708E-5</v>
      </c>
      <c r="K5" s="6">
        <f t="shared" si="5"/>
        <v>3.700944463617644E-4</v>
      </c>
      <c r="L5" s="6">
        <f t="shared" si="6"/>
        <v>1.5331928518557719E-2</v>
      </c>
      <c r="M5" s="6">
        <f t="shared" si="7"/>
        <v>2.2168061654600554E-2</v>
      </c>
      <c r="N5" s="6">
        <f t="shared" si="8"/>
        <v>1.4364128078231541E-4</v>
      </c>
      <c r="O5" s="6">
        <f t="shared" si="9"/>
        <v>2.7354893120099238E-4</v>
      </c>
      <c r="P5" s="7">
        <f t="shared" ca="1" si="10"/>
        <v>0.81647001149761422</v>
      </c>
      <c r="Q5" s="6">
        <f t="shared" ca="1" si="11"/>
        <v>0.18352998850238578</v>
      </c>
      <c r="R5" s="6">
        <f t="shared" ca="1" si="12"/>
        <v>1.5976087593295114E-2</v>
      </c>
      <c r="S5" s="6">
        <f t="shared" ca="1" si="13"/>
        <v>5.4524907579376241E-3</v>
      </c>
    </row>
    <row r="6" spans="1:19" s="6" customFormat="1" x14ac:dyDescent="0.3">
      <c r="A6" s="11">
        <v>42773</v>
      </c>
      <c r="B6" s="6">
        <v>277.89999999999998</v>
      </c>
      <c r="C6" s="6">
        <v>151.65</v>
      </c>
      <c r="D6" s="6">
        <f t="shared" si="0"/>
        <v>3.0680382602417122E-3</v>
      </c>
      <c r="E6" s="6">
        <f t="shared" si="1"/>
        <v>1.6420911528150173E-2</v>
      </c>
      <c r="F6" s="6">
        <f t="shared" si="14"/>
        <v>4.9477100117309991E-3</v>
      </c>
      <c r="G6" s="6">
        <f t="shared" si="15"/>
        <v>7.6981092806769737E-3</v>
      </c>
      <c r="H6" s="6">
        <f t="shared" si="2"/>
        <v>-1.8796717514892869E-3</v>
      </c>
      <c r="I6" s="6">
        <f t="shared" si="3"/>
        <v>8.7228022474731999E-3</v>
      </c>
      <c r="J6" s="6">
        <f t="shared" si="4"/>
        <v>3.5331658933468034E-6</v>
      </c>
      <c r="K6" s="6">
        <f t="shared" si="5"/>
        <v>7.6087279048523511E-5</v>
      </c>
      <c r="L6" s="6">
        <f t="shared" si="6"/>
        <v>1.5331928518557719E-2</v>
      </c>
      <c r="M6" s="6">
        <f t="shared" si="7"/>
        <v>2.2168061654600554E-2</v>
      </c>
      <c r="N6" s="6">
        <f t="shared" si="8"/>
        <v>-1.6396004978402639E-5</v>
      </c>
      <c r="O6" s="6">
        <f t="shared" si="9"/>
        <v>2.7354893120099238E-4</v>
      </c>
      <c r="P6" s="7">
        <f t="shared" ca="1" si="10"/>
        <v>0.94316401159691754</v>
      </c>
      <c r="Q6" s="6">
        <f t="shared" ca="1" si="11"/>
        <v>5.683598840308246E-2</v>
      </c>
      <c r="R6" s="6">
        <f t="shared" ca="1" si="12"/>
        <v>1.5492634730521471E-2</v>
      </c>
      <c r="S6" s="6">
        <f t="shared" ca="1" si="13"/>
        <v>5.104031672684659E-3</v>
      </c>
    </row>
    <row r="7" spans="1:19" s="6" customFormat="1" x14ac:dyDescent="0.3">
      <c r="A7" s="11">
        <v>42772</v>
      </c>
      <c r="B7" s="6">
        <v>277.05</v>
      </c>
      <c r="C7" s="6">
        <v>149.19999999999999</v>
      </c>
      <c r="D7" s="6">
        <f t="shared" si="0"/>
        <v>-1.801477211313296E-3</v>
      </c>
      <c r="E7" s="6">
        <f t="shared" si="1"/>
        <v>-6.3270063270064458E-3</v>
      </c>
      <c r="F7" s="6">
        <f t="shared" si="14"/>
        <v>4.9477100117309991E-3</v>
      </c>
      <c r="G7" s="6">
        <f t="shared" si="15"/>
        <v>7.6981092806769737E-3</v>
      </c>
      <c r="H7" s="6">
        <f t="shared" si="2"/>
        <v>-6.7491872230442951E-3</v>
      </c>
      <c r="I7" s="6">
        <f t="shared" si="3"/>
        <v>-1.4025115607683419E-2</v>
      </c>
      <c r="J7" s="6">
        <f t="shared" si="4"/>
        <v>4.5551528171704362E-5</v>
      </c>
      <c r="K7" s="6">
        <f t="shared" si="5"/>
        <v>1.9670386780888503E-4</v>
      </c>
      <c r="L7" s="6">
        <f t="shared" si="6"/>
        <v>1.5331928518557719E-2</v>
      </c>
      <c r="M7" s="6">
        <f t="shared" si="7"/>
        <v>2.2168061654600554E-2</v>
      </c>
      <c r="N7" s="6">
        <f t="shared" si="8"/>
        <v>9.4658131061096059E-5</v>
      </c>
      <c r="O7" s="6">
        <f t="shared" si="9"/>
        <v>2.7354893120099238E-4</v>
      </c>
      <c r="P7" s="7">
        <f t="shared" ca="1" si="10"/>
        <v>0.47179927036901281</v>
      </c>
      <c r="Q7" s="6">
        <f t="shared" ca="1" si="11"/>
        <v>0.52820072963098719</v>
      </c>
      <c r="R7" s="6">
        <f t="shared" ca="1" si="12"/>
        <v>1.8049079669608063E-2</v>
      </c>
      <c r="S7" s="6">
        <f t="shared" ca="1" si="13"/>
        <v>6.4004729123647956E-3</v>
      </c>
    </row>
    <row r="8" spans="1:19" s="6" customFormat="1" x14ac:dyDescent="0.3">
      <c r="A8" s="11">
        <v>42769</v>
      </c>
      <c r="B8" s="6">
        <v>277.55</v>
      </c>
      <c r="C8" s="6">
        <v>150.15</v>
      </c>
      <c r="D8" s="6">
        <f t="shared" si="0"/>
        <v>1.5550676911818551E-2</v>
      </c>
      <c r="E8" s="6">
        <f t="shared" si="1"/>
        <v>5.294530154277699E-2</v>
      </c>
      <c r="F8" s="6">
        <f t="shared" si="14"/>
        <v>4.9477100117309991E-3</v>
      </c>
      <c r="G8" s="6">
        <f t="shared" si="15"/>
        <v>7.6981092806769737E-3</v>
      </c>
      <c r="H8" s="6">
        <f t="shared" si="2"/>
        <v>1.0602966900087551E-2</v>
      </c>
      <c r="I8" s="6">
        <f t="shared" si="3"/>
        <v>4.5247192262100014E-2</v>
      </c>
      <c r="J8" s="6">
        <f t="shared" si="4"/>
        <v>1.1242290708435223E-4</v>
      </c>
      <c r="K8" s="6">
        <f t="shared" si="5"/>
        <v>2.0473084076034435E-3</v>
      </c>
      <c r="L8" s="6">
        <f t="shared" si="6"/>
        <v>1.5331928518557719E-2</v>
      </c>
      <c r="M8" s="6">
        <f t="shared" si="7"/>
        <v>2.2168061654600554E-2</v>
      </c>
      <c r="N8" s="6">
        <f t="shared" si="8"/>
        <v>4.7975448187694404E-4</v>
      </c>
      <c r="O8" s="6">
        <f t="shared" si="9"/>
        <v>2.7354893120099238E-4</v>
      </c>
      <c r="P8" s="7">
        <f t="shared" ca="1" si="10"/>
        <v>0.54376918866418711</v>
      </c>
      <c r="Q8" s="6">
        <f t="shared" ca="1" si="11"/>
        <v>0.45623081133581289</v>
      </c>
      <c r="R8" s="6">
        <f t="shared" ca="1" si="12"/>
        <v>1.7536260628647125E-2</v>
      </c>
      <c r="S8" s="6">
        <f t="shared" ca="1" si="13"/>
        <v>6.2025269016996471E-3</v>
      </c>
    </row>
    <row r="9" spans="1:19" s="6" customFormat="1" x14ac:dyDescent="0.3">
      <c r="A9" s="11">
        <v>42768</v>
      </c>
      <c r="B9" s="6">
        <v>273.3</v>
      </c>
      <c r="C9" s="6">
        <v>142.6</v>
      </c>
      <c r="D9" s="6">
        <f t="shared" si="0"/>
        <v>9.6047284817142309E-3</v>
      </c>
      <c r="E9" s="6">
        <f t="shared" si="1"/>
        <v>1.4585556741373074E-2</v>
      </c>
      <c r="F9" s="6">
        <f t="shared" si="14"/>
        <v>4.9477100117309991E-3</v>
      </c>
      <c r="G9" s="6">
        <f t="shared" si="15"/>
        <v>7.6981092806769737E-3</v>
      </c>
      <c r="H9" s="6">
        <f t="shared" si="2"/>
        <v>4.6570184699832318E-3</v>
      </c>
      <c r="I9" s="6">
        <f t="shared" si="3"/>
        <v>6.8874474606960999E-3</v>
      </c>
      <c r="J9" s="6">
        <f t="shared" si="4"/>
        <v>2.1687821029764961E-5</v>
      </c>
      <c r="K9" s="6">
        <f t="shared" si="5"/>
        <v>4.7436932523849153E-5</v>
      </c>
      <c r="L9" s="6">
        <f t="shared" si="6"/>
        <v>1.5331928518557719E-2</v>
      </c>
      <c r="M9" s="6">
        <f t="shared" si="7"/>
        <v>2.2168061654600554E-2</v>
      </c>
      <c r="N9" s="6">
        <f t="shared" si="8"/>
        <v>3.2074970035500843E-5</v>
      </c>
      <c r="O9" s="6">
        <f t="shared" si="9"/>
        <v>2.7354893120099238E-4</v>
      </c>
      <c r="P9" s="7">
        <f t="shared" ca="1" si="10"/>
        <v>6.8556063463360628E-2</v>
      </c>
      <c r="Q9" s="6">
        <f t="shared" ca="1" si="11"/>
        <v>0.93144393653663937</v>
      </c>
      <c r="R9" s="6">
        <f t="shared" ca="1" si="12"/>
        <v>2.150332351521576E-2</v>
      </c>
      <c r="S9" s="6">
        <f t="shared" ca="1" si="13"/>
        <v>7.509552733845533E-3</v>
      </c>
    </row>
    <row r="10" spans="1:19" s="6" customFormat="1" x14ac:dyDescent="0.3">
      <c r="A10" s="11">
        <v>42767</v>
      </c>
      <c r="B10" s="6">
        <v>270.7</v>
      </c>
      <c r="C10" s="6">
        <v>140.55000000000001</v>
      </c>
      <c r="D10" s="6">
        <f t="shared" si="0"/>
        <v>3.975417706932971E-2</v>
      </c>
      <c r="E10" s="6">
        <f t="shared" si="1"/>
        <v>3.6886757654002178E-2</v>
      </c>
      <c r="F10" s="6">
        <f t="shared" si="14"/>
        <v>4.9477100117309991E-3</v>
      </c>
      <c r="G10" s="6">
        <f t="shared" si="15"/>
        <v>7.6981092806769737E-3</v>
      </c>
      <c r="H10" s="6">
        <f t="shared" si="2"/>
        <v>3.4806467057598711E-2</v>
      </c>
      <c r="I10" s="6">
        <f t="shared" si="3"/>
        <v>2.9188648373325205E-2</v>
      </c>
      <c r="J10" s="6">
        <f t="shared" si="4"/>
        <v>1.2114901490317043E-3</v>
      </c>
      <c r="K10" s="6">
        <f t="shared" si="5"/>
        <v>8.5197719386162019E-4</v>
      </c>
      <c r="L10" s="6">
        <f t="shared" si="6"/>
        <v>1.5331928518557719E-2</v>
      </c>
      <c r="M10" s="6">
        <f t="shared" si="7"/>
        <v>2.2168061654600554E-2</v>
      </c>
      <c r="N10" s="6">
        <f t="shared" si="8"/>
        <v>1.0159537280619759E-3</v>
      </c>
      <c r="O10" s="6">
        <f t="shared" si="9"/>
        <v>2.7354893120099238E-4</v>
      </c>
      <c r="P10" s="7">
        <f t="shared" ca="1" si="10"/>
        <v>0.36962861195356633</v>
      </c>
      <c r="Q10" s="6">
        <f t="shared" ca="1" si="11"/>
        <v>0.63037138804643367</v>
      </c>
      <c r="R10" s="6">
        <f t="shared" ca="1" si="12"/>
        <v>1.8837931187356084E-2</v>
      </c>
      <c r="S10" s="6">
        <f t="shared" ca="1" si="13"/>
        <v>6.6814830165783691E-3</v>
      </c>
    </row>
    <row r="11" spans="1:19" s="6" customFormat="1" x14ac:dyDescent="0.3">
      <c r="A11" s="11">
        <v>42766</v>
      </c>
      <c r="B11" s="6">
        <v>260.35000000000002</v>
      </c>
      <c r="C11" s="6">
        <v>135.55000000000001</v>
      </c>
      <c r="D11" s="6">
        <f t="shared" si="0"/>
        <v>-1.3638946770221483E-2</v>
      </c>
      <c r="E11" s="6">
        <f t="shared" si="1"/>
        <v>-1.5256084271703552E-2</v>
      </c>
      <c r="F11" s="6">
        <f t="shared" si="14"/>
        <v>4.9477100117309991E-3</v>
      </c>
      <c r="G11" s="6">
        <f t="shared" si="15"/>
        <v>7.6981092806769737E-3</v>
      </c>
      <c r="H11" s="6">
        <f t="shared" si="2"/>
        <v>-1.8586656781952482E-2</v>
      </c>
      <c r="I11" s="6">
        <f t="shared" si="3"/>
        <v>-2.2954193552380524E-2</v>
      </c>
      <c r="J11" s="6">
        <f t="shared" si="4"/>
        <v>3.4546381033010018E-4</v>
      </c>
      <c r="K11" s="6">
        <f t="shared" si="5"/>
        <v>5.2689500164014764E-4</v>
      </c>
      <c r="L11" s="6">
        <f t="shared" si="6"/>
        <v>1.5331928518557719E-2</v>
      </c>
      <c r="M11" s="6">
        <f t="shared" si="7"/>
        <v>2.2168061654600554E-2</v>
      </c>
      <c r="N11" s="6">
        <f t="shared" si="8"/>
        <v>4.2664171726460341E-4</v>
      </c>
      <c r="O11" s="6">
        <f t="shared" si="9"/>
        <v>2.7354893120099238E-4</v>
      </c>
      <c r="P11" s="7">
        <f t="shared" ca="1" si="10"/>
        <v>0.83113312363637537</v>
      </c>
      <c r="Q11" s="6">
        <f t="shared" ca="1" si="11"/>
        <v>0.16886687636362463</v>
      </c>
      <c r="R11" s="6">
        <f t="shared" ca="1" si="12"/>
        <v>1.5911628103711887E-2</v>
      </c>
      <c r="S11" s="6">
        <f t="shared" ca="1" si="13"/>
        <v>5.4121613450307023E-3</v>
      </c>
    </row>
    <row r="12" spans="1:19" s="6" customFormat="1" x14ac:dyDescent="0.3">
      <c r="A12" s="11">
        <v>42765</v>
      </c>
      <c r="B12" s="6">
        <v>263.95</v>
      </c>
      <c r="C12" s="6">
        <v>137.65</v>
      </c>
      <c r="D12" s="6">
        <f t="shared" si="0"/>
        <v>-9.3826233814974236E-3</v>
      </c>
      <c r="E12" s="6">
        <f t="shared" si="1"/>
        <v>2.1842009464871914E-3</v>
      </c>
      <c r="F12" s="6">
        <f t="shared" si="14"/>
        <v>4.9477100117309991E-3</v>
      </c>
      <c r="G12" s="6">
        <f t="shared" si="15"/>
        <v>7.6981092806769737E-3</v>
      </c>
      <c r="H12" s="6">
        <f t="shared" si="2"/>
        <v>-1.4330333393228423E-2</v>
      </c>
      <c r="I12" s="6">
        <f t="shared" si="3"/>
        <v>-5.5139083341897823E-3</v>
      </c>
      <c r="J12" s="6">
        <f t="shared" si="4"/>
        <v>2.0535845516107763E-4</v>
      </c>
      <c r="K12" s="6">
        <f t="shared" si="5"/>
        <v>3.0403185117847541E-5</v>
      </c>
      <c r="L12" s="6">
        <f t="shared" si="6"/>
        <v>1.5331928518557719E-2</v>
      </c>
      <c r="M12" s="6">
        <f t="shared" si="7"/>
        <v>2.2168061654600554E-2</v>
      </c>
      <c r="N12" s="6">
        <f t="shared" si="8"/>
        <v>7.9016144728640344E-5</v>
      </c>
      <c r="O12" s="6">
        <f t="shared" si="9"/>
        <v>2.7354893120099238E-4</v>
      </c>
      <c r="P12" s="7">
        <f t="shared" ca="1" si="10"/>
        <v>0.18227568955621831</v>
      </c>
      <c r="Q12" s="6">
        <f t="shared" ca="1" si="11"/>
        <v>0.81772431044378169</v>
      </c>
      <c r="R12" s="6">
        <f t="shared" ca="1" si="12"/>
        <v>2.0443994585553658E-2</v>
      </c>
      <c r="S12" s="6">
        <f t="shared" ca="1" si="13"/>
        <v>7.1967783573749274E-3</v>
      </c>
    </row>
    <row r="13" spans="1:19" s="6" customFormat="1" x14ac:dyDescent="0.3">
      <c r="A13" s="11">
        <v>42762</v>
      </c>
      <c r="B13" s="6">
        <v>266.45</v>
      </c>
      <c r="C13" s="6">
        <v>137.35</v>
      </c>
      <c r="D13" s="6">
        <f t="shared" si="0"/>
        <v>2.7970679012345734E-2</v>
      </c>
      <c r="E13" s="6">
        <f t="shared" si="1"/>
        <v>3.076923076923066E-2</v>
      </c>
      <c r="F13" s="6">
        <f t="shared" si="14"/>
        <v>4.9477100117309991E-3</v>
      </c>
      <c r="G13" s="6">
        <f t="shared" si="15"/>
        <v>7.6981092806769737E-3</v>
      </c>
      <c r="H13" s="6">
        <f t="shared" si="2"/>
        <v>2.3022969000614735E-2</v>
      </c>
      <c r="I13" s="6">
        <f t="shared" si="3"/>
        <v>2.3071121488553687E-2</v>
      </c>
      <c r="J13" s="6">
        <f t="shared" si="4"/>
        <v>5.3005710160326704E-4</v>
      </c>
      <c r="K13" s="6">
        <f t="shared" si="5"/>
        <v>5.3227664673960375E-4</v>
      </c>
      <c r="L13" s="6">
        <f t="shared" si="6"/>
        <v>1.5331928518557719E-2</v>
      </c>
      <c r="M13" s="6">
        <f t="shared" si="7"/>
        <v>2.2168061654600554E-2</v>
      </c>
      <c r="N13" s="6">
        <f t="shared" si="8"/>
        <v>5.3116571484038806E-4</v>
      </c>
      <c r="O13" s="6">
        <f t="shared" si="9"/>
        <v>2.7354893120099238E-4</v>
      </c>
      <c r="P13" s="7">
        <f t="shared" ca="1" si="10"/>
        <v>0.52737373290058243</v>
      </c>
      <c r="Q13" s="6">
        <f t="shared" ca="1" si="11"/>
        <v>0.47262626709941757</v>
      </c>
      <c r="R13" s="6">
        <f t="shared" ca="1" si="12"/>
        <v>1.7649766141003838E-2</v>
      </c>
      <c r="S13" s="6">
        <f t="shared" ca="1" si="13"/>
        <v>6.2476209512459021E-3</v>
      </c>
    </row>
    <row r="14" spans="1:19" s="6" customFormat="1" x14ac:dyDescent="0.3">
      <c r="A14" s="11">
        <v>42761</v>
      </c>
      <c r="B14" s="6">
        <v>259.2</v>
      </c>
      <c r="C14" s="6">
        <v>133.25</v>
      </c>
      <c r="D14" s="6">
        <f t="shared" si="0"/>
        <v>0</v>
      </c>
      <c r="E14" s="6">
        <f>(C14/C15)-1</f>
        <v>0</v>
      </c>
      <c r="F14" s="6">
        <f t="shared" si="14"/>
        <v>4.9477100117309991E-3</v>
      </c>
      <c r="G14" s="6">
        <f t="shared" si="15"/>
        <v>7.6981092806769737E-3</v>
      </c>
      <c r="H14" s="6">
        <f t="shared" si="2"/>
        <v>-4.9477100117309991E-3</v>
      </c>
      <c r="I14" s="6">
        <f t="shared" si="3"/>
        <v>-7.6981092806769737E-3</v>
      </c>
      <c r="J14" s="6">
        <f t="shared" si="4"/>
        <v>2.4479834360183165E-5</v>
      </c>
      <c r="K14" s="6">
        <f t="shared" si="5"/>
        <v>5.9260886497244954E-5</v>
      </c>
      <c r="L14" s="6">
        <f t="shared" si="6"/>
        <v>1.5331928518557719E-2</v>
      </c>
      <c r="M14" s="6">
        <f t="shared" si="7"/>
        <v>2.2168061654600554E-2</v>
      </c>
      <c r="N14" s="6">
        <f t="shared" si="8"/>
        <v>3.8088012359404785E-5</v>
      </c>
      <c r="O14" s="6">
        <f t="shared" si="9"/>
        <v>2.7354893120099238E-4</v>
      </c>
      <c r="P14" s="7">
        <f t="shared" ca="1" si="10"/>
        <v>0.74040065480012451</v>
      </c>
      <c r="Q14" s="6">
        <f t="shared" ca="1" si="11"/>
        <v>0.25959934519987549</v>
      </c>
      <c r="R14" s="6">
        <f t="shared" ca="1" si="12"/>
        <v>1.6344322985720545E-2</v>
      </c>
      <c r="S14" s="6">
        <f t="shared" ca="1" si="13"/>
        <v>5.6617118609875901E-3</v>
      </c>
    </row>
    <row r="15" spans="1:19" s="6" customFormat="1" x14ac:dyDescent="0.3">
      <c r="A15" s="11">
        <v>42760</v>
      </c>
      <c r="B15" s="6">
        <v>259.2</v>
      </c>
      <c r="C15" s="6">
        <v>133.25</v>
      </c>
      <c r="D15" s="6">
        <f t="shared" si="0"/>
        <v>1.6869360533542599E-2</v>
      </c>
      <c r="E15" s="6">
        <f t="shared" si="1"/>
        <v>1.4079147640791323E-2</v>
      </c>
      <c r="F15" s="6">
        <f t="shared" si="14"/>
        <v>4.9477100117309991E-3</v>
      </c>
      <c r="G15" s="6">
        <f t="shared" si="15"/>
        <v>7.6981092806769737E-3</v>
      </c>
      <c r="H15" s="6">
        <f t="shared" si="2"/>
        <v>1.19216505218116E-2</v>
      </c>
      <c r="I15" s="6">
        <f t="shared" si="3"/>
        <v>6.3810383601143493E-3</v>
      </c>
      <c r="J15" s="6">
        <f t="shared" si="4"/>
        <v>1.421257511642108E-4</v>
      </c>
      <c r="K15" s="6">
        <f t="shared" si="5"/>
        <v>4.0717650553250826E-5</v>
      </c>
      <c r="L15" s="6">
        <f t="shared" si="6"/>
        <v>1.5331928518557719E-2</v>
      </c>
      <c r="M15" s="6">
        <f t="shared" si="7"/>
        <v>2.2168061654600554E-2</v>
      </c>
      <c r="N15" s="6">
        <f t="shared" si="8"/>
        <v>7.6072509295557061E-5</v>
      </c>
      <c r="O15" s="6">
        <f t="shared" si="9"/>
        <v>2.7354893120099238E-4</v>
      </c>
      <c r="P15" s="7">
        <f t="shared" ca="1" si="10"/>
        <v>0.29563587048725637</v>
      </c>
      <c r="Q15" s="6">
        <f t="shared" ca="1" si="11"/>
        <v>0.70436412951274363</v>
      </c>
      <c r="R15" s="6">
        <f t="shared" ca="1" si="12"/>
        <v>1.9449402660897504E-2</v>
      </c>
      <c r="S15" s="6">
        <f t="shared" ca="1" si="13"/>
        <v>6.8849925986146174E-3</v>
      </c>
    </row>
    <row r="16" spans="1:19" s="6" customFormat="1" x14ac:dyDescent="0.3">
      <c r="A16" s="11">
        <v>42759</v>
      </c>
      <c r="B16" s="6">
        <v>254.9</v>
      </c>
      <c r="C16" s="6">
        <v>131.4</v>
      </c>
      <c r="D16" s="6">
        <f t="shared" si="0"/>
        <v>2.9510131811922857E-3</v>
      </c>
      <c r="E16" s="6">
        <f t="shared" si="1"/>
        <v>1.2716763005780285E-2</v>
      </c>
      <c r="F16" s="6">
        <f t="shared" si="14"/>
        <v>4.9477100117309991E-3</v>
      </c>
      <c r="G16" s="6">
        <f t="shared" si="15"/>
        <v>7.6981092806769737E-3</v>
      </c>
      <c r="H16" s="6">
        <f t="shared" si="2"/>
        <v>-1.9966968305387134E-3</v>
      </c>
      <c r="I16" s="6">
        <f t="shared" si="3"/>
        <v>5.0186537251033113E-3</v>
      </c>
      <c r="J16" s="6">
        <f t="shared" si="4"/>
        <v>3.9867982330833433E-6</v>
      </c>
      <c r="K16" s="6">
        <f t="shared" si="5"/>
        <v>2.5186885212493343E-5</v>
      </c>
      <c r="L16" s="6">
        <f t="shared" si="6"/>
        <v>1.5331928518557719E-2</v>
      </c>
      <c r="M16" s="6">
        <f t="shared" si="7"/>
        <v>2.2168061654600554E-2</v>
      </c>
      <c r="N16" s="6">
        <f t="shared" si="8"/>
        <v>-1.0020729986485089E-5</v>
      </c>
      <c r="O16" s="6">
        <f t="shared" si="9"/>
        <v>2.7354893120099238E-4</v>
      </c>
      <c r="P16" s="7">
        <f t="shared" ca="1" si="10"/>
        <v>0.86479842416975539</v>
      </c>
      <c r="Q16" s="6">
        <f t="shared" ca="1" si="11"/>
        <v>0.13520157583024461</v>
      </c>
      <c r="R16" s="6">
        <f t="shared" ca="1" si="12"/>
        <v>1.577189269184618E-2</v>
      </c>
      <c r="S16" s="6">
        <f t="shared" ca="1" si="13"/>
        <v>5.3195683270548478E-3</v>
      </c>
    </row>
    <row r="17" spans="1:19" s="6" customFormat="1" x14ac:dyDescent="0.3">
      <c r="A17" s="11">
        <v>42758</v>
      </c>
      <c r="B17" s="6">
        <v>254.15</v>
      </c>
      <c r="C17" s="6">
        <v>129.75</v>
      </c>
      <c r="D17" s="6">
        <f t="shared" si="0"/>
        <v>1.2348137821151184E-2</v>
      </c>
      <c r="E17" s="6">
        <f t="shared" si="1"/>
        <v>1.4067995310668158E-2</v>
      </c>
      <c r="F17" s="6">
        <f t="shared" si="14"/>
        <v>4.9477100117309991E-3</v>
      </c>
      <c r="G17" s="6">
        <f t="shared" si="15"/>
        <v>7.6981092806769737E-3</v>
      </c>
      <c r="H17" s="6">
        <f t="shared" si="2"/>
        <v>7.4004278094201847E-3</v>
      </c>
      <c r="I17" s="6">
        <f t="shared" si="3"/>
        <v>6.369886029991184E-3</v>
      </c>
      <c r="J17" s="6">
        <f t="shared" si="4"/>
        <v>5.4766331762439634E-5</v>
      </c>
      <c r="K17" s="6">
        <f t="shared" si="5"/>
        <v>4.057544803507685E-5</v>
      </c>
      <c r="L17" s="6">
        <f t="shared" si="6"/>
        <v>1.5331928518557719E-2</v>
      </c>
      <c r="M17" s="6">
        <f t="shared" si="7"/>
        <v>2.2168061654600554E-2</v>
      </c>
      <c r="N17" s="6">
        <f t="shared" si="8"/>
        <v>4.7139881719183895E-5</v>
      </c>
      <c r="O17" s="6">
        <f t="shared" si="9"/>
        <v>2.7354893120099238E-4</v>
      </c>
      <c r="P17" s="7">
        <f t="shared" ca="1" si="10"/>
        <v>0.5764012465381696</v>
      </c>
      <c r="Q17" s="6">
        <f t="shared" ca="1" si="11"/>
        <v>0.4235987534618304</v>
      </c>
      <c r="R17" s="6">
        <f t="shared" ca="1" si="12"/>
        <v>1.7316423470922264E-2</v>
      </c>
      <c r="S17" s="6">
        <f t="shared" ca="1" si="13"/>
        <v>6.1127757135788436E-3</v>
      </c>
    </row>
    <row r="18" spans="1:19" s="6" customFormat="1" x14ac:dyDescent="0.3">
      <c r="A18" s="11">
        <v>42755</v>
      </c>
      <c r="B18" s="6">
        <v>251.05</v>
      </c>
      <c r="C18" s="6">
        <v>127.95</v>
      </c>
      <c r="D18" s="6">
        <f t="shared" si="0"/>
        <v>-2.8444272445820262E-2</v>
      </c>
      <c r="E18" s="6">
        <f t="shared" si="1"/>
        <v>-3.2514177693761748E-2</v>
      </c>
      <c r="F18" s="6">
        <f t="shared" si="14"/>
        <v>4.9477100117309991E-3</v>
      </c>
      <c r="G18" s="6">
        <f t="shared" si="15"/>
        <v>7.6981092806769737E-3</v>
      </c>
      <c r="H18" s="6">
        <f t="shared" si="2"/>
        <v>-3.3391982457551261E-2</v>
      </c>
      <c r="I18" s="6">
        <f t="shared" si="3"/>
        <v>-4.0212286974438724E-2</v>
      </c>
      <c r="J18" s="6">
        <f t="shared" si="4"/>
        <v>1.1150244924454111E-3</v>
      </c>
      <c r="K18" s="6">
        <f t="shared" si="5"/>
        <v>1.6170280237146142E-3</v>
      </c>
      <c r="L18" s="6">
        <f t="shared" si="6"/>
        <v>1.5331928518557719E-2</v>
      </c>
      <c r="M18" s="6">
        <f t="shared" si="7"/>
        <v>2.2168061654600554E-2</v>
      </c>
      <c r="N18" s="6">
        <f t="shared" si="8"/>
        <v>1.3427679812284749E-3</v>
      </c>
      <c r="O18" s="6">
        <f t="shared" si="9"/>
        <v>2.7354893120099238E-4</v>
      </c>
      <c r="P18" s="7">
        <f t="shared" ca="1" si="10"/>
        <v>0.5063004402873138</v>
      </c>
      <c r="Q18" s="6">
        <f t="shared" ca="1" si="11"/>
        <v>0.4936995597126862</v>
      </c>
      <c r="R18" s="6">
        <f t="shared" ca="1" si="12"/>
        <v>1.7798572561136643E-2</v>
      </c>
      <c r="S18" s="6">
        <f t="shared" ca="1" si="13"/>
        <v>6.3055809198437202E-3</v>
      </c>
    </row>
    <row r="19" spans="1:19" s="6" customFormat="1" x14ac:dyDescent="0.3">
      <c r="A19" s="11">
        <v>42754</v>
      </c>
      <c r="B19" s="6">
        <v>258.39999999999998</v>
      </c>
      <c r="C19" s="6">
        <v>132.25</v>
      </c>
      <c r="D19" s="6">
        <f t="shared" si="0"/>
        <v>1.935359009095361E-4</v>
      </c>
      <c r="E19" s="6">
        <f t="shared" si="1"/>
        <v>1.4576141158419764E-2</v>
      </c>
      <c r="F19" s="6">
        <f t="shared" si="14"/>
        <v>4.9477100117309991E-3</v>
      </c>
      <c r="G19" s="6">
        <f t="shared" si="15"/>
        <v>7.6981092806769737E-3</v>
      </c>
      <c r="H19" s="6">
        <f t="shared" si="2"/>
        <v>-4.754174110821463E-3</v>
      </c>
      <c r="I19" s="6">
        <f t="shared" si="3"/>
        <v>6.8780318777427905E-3</v>
      </c>
      <c r="J19" s="6">
        <f t="shared" si="4"/>
        <v>2.2602171476005048E-5</v>
      </c>
      <c r="K19" s="6">
        <f t="shared" si="5"/>
        <v>4.7307322511246014E-5</v>
      </c>
      <c r="L19" s="6">
        <f t="shared" si="6"/>
        <v>1.5331928518557719E-2</v>
      </c>
      <c r="M19" s="6">
        <f t="shared" si="7"/>
        <v>2.2168061654600554E-2</v>
      </c>
      <c r="N19" s="6">
        <f t="shared" si="8"/>
        <v>-3.2699361086569506E-5</v>
      </c>
      <c r="O19" s="6">
        <f t="shared" si="9"/>
        <v>2.7354893120099238E-4</v>
      </c>
      <c r="P19" s="7">
        <f t="shared" ca="1" si="10"/>
        <v>0.28172580774314271</v>
      </c>
      <c r="Q19" s="6">
        <f t="shared" ca="1" si="11"/>
        <v>0.71827419225685729</v>
      </c>
      <c r="R19" s="6">
        <f t="shared" ca="1" si="12"/>
        <v>1.9567826036801329E-2</v>
      </c>
      <c r="S19" s="6">
        <f t="shared" ca="1" si="13"/>
        <v>6.9232508250170197E-3</v>
      </c>
    </row>
    <row r="20" spans="1:19" s="6" customFormat="1" x14ac:dyDescent="0.3">
      <c r="A20" s="11">
        <v>42753</v>
      </c>
      <c r="B20" s="6">
        <v>258.35000000000002</v>
      </c>
      <c r="C20" s="6">
        <v>130.35</v>
      </c>
      <c r="D20" s="6">
        <f t="shared" si="0"/>
        <v>9.1796875000000888E-3</v>
      </c>
      <c r="E20" s="6">
        <f t="shared" si="1"/>
        <v>7.6775431861797472E-4</v>
      </c>
      <c r="F20" s="6">
        <f t="shared" si="14"/>
        <v>4.9477100117309991E-3</v>
      </c>
      <c r="G20" s="6">
        <f t="shared" si="15"/>
        <v>7.6981092806769737E-3</v>
      </c>
      <c r="H20" s="6">
        <f t="shared" si="2"/>
        <v>4.2319774882690897E-3</v>
      </c>
      <c r="I20" s="6">
        <f t="shared" si="3"/>
        <v>-6.930354962058999E-3</v>
      </c>
      <c r="J20" s="6">
        <f t="shared" si="4"/>
        <v>1.7909633461216354E-5</v>
      </c>
      <c r="K20" s="6">
        <f t="shared" si="5"/>
        <v>4.8029819900135791E-5</v>
      </c>
      <c r="L20" s="6">
        <f t="shared" si="6"/>
        <v>1.5331928518557719E-2</v>
      </c>
      <c r="M20" s="6">
        <f t="shared" si="7"/>
        <v>2.2168061654600554E-2</v>
      </c>
      <c r="N20" s="6">
        <f t="shared" si="8"/>
        <v>-2.9329106185147667E-5</v>
      </c>
      <c r="O20" s="6">
        <f t="shared" si="9"/>
        <v>2.7354893120099238E-4</v>
      </c>
      <c r="P20" s="7">
        <f t="shared" ca="1" si="10"/>
        <v>8.8226890265836078E-2</v>
      </c>
      <c r="Q20" s="6">
        <f t="shared" ca="1" si="11"/>
        <v>0.91177310973416392</v>
      </c>
      <c r="R20" s="6">
        <f t="shared" ca="1" si="12"/>
        <v>2.131606565855659E-2</v>
      </c>
      <c r="S20" s="6">
        <f t="shared" ca="1" si="13"/>
        <v>7.4554501061884415E-3</v>
      </c>
    </row>
    <row r="21" spans="1:19" s="6" customFormat="1" x14ac:dyDescent="0.3">
      <c r="A21" s="11">
        <v>42752</v>
      </c>
      <c r="B21" s="6">
        <v>256</v>
      </c>
      <c r="C21" s="6">
        <v>130.25</v>
      </c>
      <c r="D21" s="6">
        <f t="shared" si="0"/>
        <v>9.7751710654936375E-4</v>
      </c>
      <c r="E21" s="6">
        <f t="shared" si="1"/>
        <v>1.2043512043512061E-2</v>
      </c>
      <c r="F21" s="6">
        <f t="shared" si="14"/>
        <v>4.9477100117309991E-3</v>
      </c>
      <c r="G21" s="6">
        <f t="shared" si="15"/>
        <v>7.6981092806769737E-3</v>
      </c>
      <c r="H21" s="6">
        <f t="shared" si="2"/>
        <v>-3.9701929051816354E-3</v>
      </c>
      <c r="I21" s="6">
        <f t="shared" si="3"/>
        <v>4.3454027628350876E-3</v>
      </c>
      <c r="J21" s="6">
        <f t="shared" si="4"/>
        <v>1.5762431704354592E-5</v>
      </c>
      <c r="K21" s="6">
        <f t="shared" si="5"/>
        <v>1.8882525171254811E-5</v>
      </c>
      <c r="L21" s="6">
        <f t="shared" si="6"/>
        <v>1.5331928518557719E-2</v>
      </c>
      <c r="M21" s="6">
        <f t="shared" si="7"/>
        <v>2.2168061654600554E-2</v>
      </c>
      <c r="N21" s="6">
        <f t="shared" si="8"/>
        <v>-1.7252087219164542E-5</v>
      </c>
      <c r="O21" s="6">
        <f t="shared" si="9"/>
        <v>2.7354893120099238E-4</v>
      </c>
      <c r="P21" s="7">
        <f t="shared" ca="1" si="10"/>
        <v>0.91425788123838592</v>
      </c>
      <c r="Q21" s="6">
        <f t="shared" ca="1" si="11"/>
        <v>8.5742118761614083E-2</v>
      </c>
      <c r="R21" s="6">
        <f t="shared" ca="1" si="12"/>
        <v>1.558800006909514E-2</v>
      </c>
      <c r="S21" s="6">
        <f t="shared" ca="1" si="13"/>
        <v>5.183535072490821E-3</v>
      </c>
    </row>
    <row r="22" spans="1:19" s="6" customFormat="1" x14ac:dyDescent="0.3">
      <c r="A22" s="11">
        <v>42751</v>
      </c>
      <c r="B22" s="6">
        <v>255.75</v>
      </c>
      <c r="C22" s="6">
        <v>128.69999999999999</v>
      </c>
      <c r="D22" s="6">
        <f t="shared" si="0"/>
        <v>1.9330410522120367E-2</v>
      </c>
      <c r="E22" s="6">
        <f t="shared" si="1"/>
        <v>2.877697841726623E-2</v>
      </c>
      <c r="F22" s="6">
        <f t="shared" si="14"/>
        <v>4.9477100117309991E-3</v>
      </c>
      <c r="G22" s="6">
        <f t="shared" si="15"/>
        <v>7.6981092806769737E-3</v>
      </c>
      <c r="H22" s="6">
        <f t="shared" si="2"/>
        <v>1.4382700510389368E-2</v>
      </c>
      <c r="I22" s="6">
        <f t="shared" si="3"/>
        <v>2.1078869136589257E-2</v>
      </c>
      <c r="J22" s="6">
        <f t="shared" si="4"/>
        <v>2.0686207397155459E-4</v>
      </c>
      <c r="K22" s="6">
        <f t="shared" si="5"/>
        <v>4.4431872407745514E-4</v>
      </c>
      <c r="L22" s="6">
        <f t="shared" si="6"/>
        <v>1.5331928518557719E-2</v>
      </c>
      <c r="M22" s="6">
        <f t="shared" si="7"/>
        <v>2.2168061654600554E-2</v>
      </c>
      <c r="N22" s="6">
        <f t="shared" si="8"/>
        <v>3.0317106188925303E-4</v>
      </c>
      <c r="O22" s="6">
        <f t="shared" si="9"/>
        <v>2.7354893120099238E-4</v>
      </c>
      <c r="P22" s="7">
        <f t="shared" ca="1" si="10"/>
        <v>0.75783467487338629</v>
      </c>
      <c r="Q22" s="6">
        <f t="shared" ca="1" si="11"/>
        <v>0.24216532512661371</v>
      </c>
      <c r="R22" s="6">
        <f t="shared" ca="1" si="12"/>
        <v>1.6255025363046873E-2</v>
      </c>
      <c r="S22" s="6">
        <f t="shared" ref="S22:S85" ca="1" si="16">(P22*F$22+Q22*G$22)</f>
        <v>5.6137613449233018E-3</v>
      </c>
    </row>
    <row r="23" spans="1:19" s="6" customFormat="1" x14ac:dyDescent="0.3">
      <c r="A23" s="11">
        <v>42748</v>
      </c>
      <c r="B23" s="6">
        <v>250.9</v>
      </c>
      <c r="C23" s="6">
        <v>125.1</v>
      </c>
      <c r="P23" s="7">
        <f t="shared" ca="1" si="10"/>
        <v>0.35324442784412757</v>
      </c>
      <c r="Q23" s="6">
        <f t="shared" ca="1" si="11"/>
        <v>0.64675557215587243</v>
      </c>
      <c r="R23" s="6">
        <f t="shared" ca="1" si="12"/>
        <v>1.8970565412093167E-2</v>
      </c>
      <c r="S23" s="6">
        <f t="shared" ca="1" si="16"/>
        <v>6.7265460645752461E-3</v>
      </c>
    </row>
    <row r="24" spans="1:19" s="6" customFormat="1" x14ac:dyDescent="0.3">
      <c r="P24" s="7">
        <f t="shared" ref="P24:P87" ca="1" si="17">RAND()</f>
        <v>0.97553373719154202</v>
      </c>
      <c r="Q24" s="6">
        <f t="shared" ref="Q24:Q87" ca="1" si="18">1-P24</f>
        <v>2.4466262808457984E-2</v>
      </c>
      <c r="R24" s="6">
        <f t="shared" ca="1" si="12"/>
        <v>1.5396700427340851E-2</v>
      </c>
      <c r="S24" s="6">
        <f t="shared" ca="1" si="16"/>
        <v>5.0150020030732224E-3</v>
      </c>
    </row>
    <row r="25" spans="1:19" s="6" customFormat="1" x14ac:dyDescent="0.3">
      <c r="P25" s="7">
        <f t="shared" ca="1" si="17"/>
        <v>0.55897935398550203</v>
      </c>
      <c r="Q25" s="6">
        <f t="shared" ca="1" si="18"/>
        <v>0.44102064601449797</v>
      </c>
      <c r="R25" s="6">
        <f t="shared" ca="1" si="12"/>
        <v>1.7432773606701795E-2</v>
      </c>
      <c r="S25" s="6">
        <f t="shared" ca="1" si="16"/>
        <v>6.1606928741193556E-3</v>
      </c>
    </row>
    <row r="26" spans="1:19" s="6" customFormat="1" x14ac:dyDescent="0.3">
      <c r="P26" s="7">
        <f t="shared" ca="1" si="17"/>
        <v>0.9347336634620016</v>
      </c>
      <c r="Q26" s="6">
        <f t="shared" ca="1" si="18"/>
        <v>6.5266336537998404E-2</v>
      </c>
      <c r="R26" s="6">
        <f t="shared" ca="1" si="12"/>
        <v>1.5519510516474976E-2</v>
      </c>
      <c r="S26" s="6">
        <f t="shared" ca="1" si="16"/>
        <v>5.127218496031892E-3</v>
      </c>
    </row>
    <row r="27" spans="1:19" s="6" customFormat="1" x14ac:dyDescent="0.3">
      <c r="P27" s="7">
        <f t="shared" ca="1" si="17"/>
        <v>0.97412144945067913</v>
      </c>
      <c r="Q27" s="6">
        <f t="shared" ca="1" si="18"/>
        <v>2.5878550549320867E-2</v>
      </c>
      <c r="R27" s="6">
        <f t="shared" ca="1" si="12"/>
        <v>1.5400643861514577E-2</v>
      </c>
      <c r="S27" s="6">
        <f t="shared" ca="1" si="16"/>
        <v>5.0188863582432321E-3</v>
      </c>
    </row>
    <row r="28" spans="1:19" s="6" customFormat="1" x14ac:dyDescent="0.3">
      <c r="P28" s="7">
        <f t="shared" ca="1" si="17"/>
        <v>0.48265023842609012</v>
      </c>
      <c r="Q28" s="6">
        <f t="shared" ca="1" si="18"/>
        <v>0.51734976157390988</v>
      </c>
      <c r="R28" s="6">
        <f t="shared" ca="1" si="12"/>
        <v>1.7969388128799592E-2</v>
      </c>
      <c r="S28" s="6">
        <f t="shared" ca="1" si="16"/>
        <v>6.3706284177532553E-3</v>
      </c>
    </row>
    <row r="29" spans="1:19" s="6" customFormat="1" x14ac:dyDescent="0.3">
      <c r="P29" s="7">
        <f t="shared" ca="1" si="17"/>
        <v>0.70669289469874386</v>
      </c>
      <c r="Q29" s="6">
        <f t="shared" ca="1" si="18"/>
        <v>0.29330710530125614</v>
      </c>
      <c r="R29" s="6">
        <f t="shared" ca="1" si="12"/>
        <v>1.6524965842583075E-2</v>
      </c>
      <c r="S29" s="6">
        <f t="shared" ca="1" si="16"/>
        <v>5.7544216597282347E-3</v>
      </c>
    </row>
    <row r="30" spans="1:19" s="6" customFormat="1" x14ac:dyDescent="0.3">
      <c r="P30" s="7">
        <f t="shared" ca="1" si="17"/>
        <v>0.8436084960038045</v>
      </c>
      <c r="Q30" s="6">
        <f t="shared" ca="1" si="18"/>
        <v>0.1563915039961955</v>
      </c>
      <c r="R30" s="6">
        <f t="shared" ca="1" si="12"/>
        <v>1.5858494721937091E-2</v>
      </c>
      <c r="S30" s="6">
        <f t="shared" ca="1" si="16"/>
        <v>5.3778490899914974E-3</v>
      </c>
    </row>
    <row r="31" spans="1:19" s="6" customFormat="1" x14ac:dyDescent="0.3">
      <c r="P31" s="7">
        <f t="shared" ca="1" si="17"/>
        <v>0.80146557917580508</v>
      </c>
      <c r="Q31" s="6">
        <f t="shared" ca="1" si="18"/>
        <v>0.19853442082419492</v>
      </c>
      <c r="R31" s="6">
        <f t="shared" ca="1" si="12"/>
        <v>1.6044268216691433E-2</v>
      </c>
      <c r="S31" s="6">
        <f t="shared" ca="1" si="16"/>
        <v>5.4937589376264778E-3</v>
      </c>
    </row>
    <row r="32" spans="1:19" s="6" customFormat="1" x14ac:dyDescent="0.3">
      <c r="P32" s="7">
        <f t="shared" ca="1" si="17"/>
        <v>7.4692094727279335E-2</v>
      </c>
      <c r="Q32" s="6">
        <f t="shared" ca="1" si="18"/>
        <v>0.92530790527272067</v>
      </c>
      <c r="R32" s="6">
        <f t="shared" ca="1" si="12"/>
        <v>2.1444739229741251E-2</v>
      </c>
      <c r="S32" s="6">
        <f t="shared" ca="1" si="16"/>
        <v>7.4926761979430215E-3</v>
      </c>
    </row>
    <row r="33" spans="16:19" s="6" customFormat="1" x14ac:dyDescent="0.3">
      <c r="P33" s="7">
        <f t="shared" ca="1" si="17"/>
        <v>0.15083347908678812</v>
      </c>
      <c r="Q33" s="6">
        <f t="shared" ca="1" si="18"/>
        <v>0.84916652091321188</v>
      </c>
      <c r="R33" s="6">
        <f t="shared" ca="1" si="12"/>
        <v>2.0731109204462327E-2</v>
      </c>
      <c r="S33" s="6">
        <f t="shared" ca="1" si="16"/>
        <v>7.2832569900640933E-3</v>
      </c>
    </row>
    <row r="34" spans="16:19" s="6" customFormat="1" x14ac:dyDescent="0.3">
      <c r="P34" s="7">
        <f t="shared" ca="1" si="17"/>
        <v>0.35873151005614357</v>
      </c>
      <c r="Q34" s="6">
        <f t="shared" ca="1" si="18"/>
        <v>0.64126848994385643</v>
      </c>
      <c r="R34" s="6">
        <f t="shared" ca="1" si="12"/>
        <v>1.8925966197388646E-2</v>
      </c>
      <c r="S34" s="6">
        <f t="shared" ca="1" si="16"/>
        <v>6.7114543976706711E-3</v>
      </c>
    </row>
    <row r="35" spans="16:19" s="6" customFormat="1" x14ac:dyDescent="0.3">
      <c r="P35" s="7">
        <f t="shared" ca="1" si="17"/>
        <v>0.52987598278370485</v>
      </c>
      <c r="Q35" s="6">
        <f t="shared" ca="1" si="18"/>
        <v>0.47012401721629515</v>
      </c>
      <c r="R35" s="6">
        <f t="shared" ca="1" si="12"/>
        <v>1.7632313500233879E-2</v>
      </c>
      <c r="S35" s="6">
        <f t="shared" ca="1" si="16"/>
        <v>6.2407387649966416E-3</v>
      </c>
    </row>
    <row r="36" spans="16:19" s="6" customFormat="1" x14ac:dyDescent="0.3">
      <c r="P36" s="7">
        <f t="shared" ca="1" si="17"/>
        <v>0.69910345579004396</v>
      </c>
      <c r="Q36" s="6">
        <f t="shared" ca="1" si="18"/>
        <v>0.30089654420995604</v>
      </c>
      <c r="R36" s="6">
        <f t="shared" ca="1" si="12"/>
        <v>1.6567063625774606E-2</v>
      </c>
      <c r="S36" s="6">
        <f t="shared" ca="1" si="16"/>
        <v>5.7752956469544325E-3</v>
      </c>
    </row>
    <row r="37" spans="16:19" s="6" customFormat="1" x14ac:dyDescent="0.3">
      <c r="P37" s="7">
        <f t="shared" ca="1" si="17"/>
        <v>0.93221176040931664</v>
      </c>
      <c r="Q37" s="6">
        <f t="shared" ca="1" si="18"/>
        <v>6.7788239590683363E-2</v>
      </c>
      <c r="R37" s="6">
        <f t="shared" ca="1" si="12"/>
        <v>1.5527700807322012E-2</v>
      </c>
      <c r="S37" s="6">
        <f t="shared" ca="1" si="16"/>
        <v>5.1341547363443494E-3</v>
      </c>
    </row>
    <row r="38" spans="16:19" s="6" customFormat="1" x14ac:dyDescent="0.3">
      <c r="P38" s="7">
        <f t="shared" ca="1" si="17"/>
        <v>0.56739171487453843</v>
      </c>
      <c r="Q38" s="6">
        <f t="shared" ca="1" si="18"/>
        <v>0.43260828512546157</v>
      </c>
      <c r="R38" s="6">
        <f t="shared" ca="1" si="12"/>
        <v>1.7376298643472111E-2</v>
      </c>
      <c r="S38" s="6">
        <f t="shared" ca="1" si="16"/>
        <v>6.1375555228800407E-3</v>
      </c>
    </row>
    <row r="39" spans="16:19" s="6" customFormat="1" x14ac:dyDescent="0.3">
      <c r="P39" s="7">
        <f t="shared" ca="1" si="17"/>
        <v>4.0114276732829746E-2</v>
      </c>
      <c r="Q39" s="6">
        <f t="shared" ca="1" si="18"/>
        <v>0.95988572326717025</v>
      </c>
      <c r="R39" s="6">
        <f t="shared" ca="1" si="12"/>
        <v>2.1776866416814814E-2</v>
      </c>
      <c r="S39" s="6">
        <f t="shared" ca="1" si="16"/>
        <v>7.5877790032767021E-3</v>
      </c>
    </row>
    <row r="40" spans="16:19" s="6" customFormat="1" x14ac:dyDescent="0.3">
      <c r="P40" s="7">
        <f t="shared" ca="1" si="17"/>
        <v>0.98046908360601748</v>
      </c>
      <c r="Q40" s="6">
        <f t="shared" ca="1" si="18"/>
        <v>1.9530916393982523E-2</v>
      </c>
      <c r="R40" s="6">
        <f t="shared" ca="1" si="12"/>
        <v>1.5383094527886677E-2</v>
      </c>
      <c r="S40" s="6">
        <f t="shared" ca="1" si="16"/>
        <v>5.001427829902854E-3</v>
      </c>
    </row>
    <row r="41" spans="16:19" s="6" customFormat="1" x14ac:dyDescent="0.3">
      <c r="P41" s="7">
        <f t="shared" ca="1" si="17"/>
        <v>0.47588663405719156</v>
      </c>
      <c r="Q41" s="6">
        <f t="shared" ca="1" si="18"/>
        <v>0.52411336594280844</v>
      </c>
      <c r="R41" s="6">
        <f t="shared" ca="1" si="12"/>
        <v>1.8018965066279122E-2</v>
      </c>
      <c r="S41" s="6">
        <f t="shared" ca="1" si="16"/>
        <v>6.3892310302649134E-3</v>
      </c>
    </row>
    <row r="42" spans="16:19" s="6" customFormat="1" x14ac:dyDescent="0.3">
      <c r="P42" s="7">
        <f t="shared" ca="1" si="17"/>
        <v>0.91556094505735519</v>
      </c>
      <c r="Q42" s="6">
        <f t="shared" ca="1" si="18"/>
        <v>8.4439054942644809E-2</v>
      </c>
      <c r="R42" s="6">
        <f t="shared" ca="1" si="12"/>
        <v>1.5583506612770061E-2</v>
      </c>
      <c r="S42" s="6">
        <f t="shared" ca="1" si="16"/>
        <v>5.1799511267157389E-3</v>
      </c>
    </row>
    <row r="43" spans="16:19" s="6" customFormat="1" x14ac:dyDescent="0.3">
      <c r="P43" s="7">
        <f t="shared" ca="1" si="17"/>
        <v>0.99002058267059301</v>
      </c>
      <c r="Q43" s="6">
        <f t="shared" ca="1" si="18"/>
        <v>9.9794173294069921E-3</v>
      </c>
      <c r="R43" s="6">
        <f t="shared" ca="1" si="12"/>
        <v>1.5357536636511975E-2</v>
      </c>
      <c r="S43" s="6">
        <f t="shared" ca="1" si="16"/>
        <v>4.9751573938583071E-3</v>
      </c>
    </row>
    <row r="44" spans="16:19" s="6" customFormat="1" x14ac:dyDescent="0.3">
      <c r="P44" s="7">
        <f t="shared" ca="1" si="17"/>
        <v>0.25799426489751542</v>
      </c>
      <c r="Q44" s="6">
        <f t="shared" ca="1" si="18"/>
        <v>0.74200573510248458</v>
      </c>
      <c r="R44" s="6">
        <f t="shared" ca="1" si="12"/>
        <v>1.9772279894990686E-2</v>
      </c>
      <c r="S44" s="6">
        <f t="shared" ca="1" si="16"/>
        <v>6.9885220431105937E-3</v>
      </c>
    </row>
    <row r="45" spans="16:19" s="6" customFormat="1" x14ac:dyDescent="0.3">
      <c r="P45" s="7">
        <f t="shared" ca="1" si="17"/>
        <v>0.85428347968240215</v>
      </c>
      <c r="Q45" s="6">
        <f t="shared" ca="1" si="18"/>
        <v>0.14571652031759785</v>
      </c>
      <c r="R45" s="6">
        <f t="shared" ca="1" si="12"/>
        <v>1.5814289310255497E-2</v>
      </c>
      <c r="S45" s="6">
        <f t="shared" ca="1" si="16"/>
        <v>5.3484886226858718E-3</v>
      </c>
    </row>
    <row r="46" spans="16:19" s="6" customFormat="1" x14ac:dyDescent="0.3">
      <c r="P46" s="7">
        <f t="shared" ca="1" si="17"/>
        <v>0.85777932975968774</v>
      </c>
      <c r="Q46" s="6">
        <f t="shared" ca="1" si="18"/>
        <v>0.14222067024031226</v>
      </c>
      <c r="R46" s="6">
        <f t="shared" ca="1" si="12"/>
        <v>1.5800067246833822E-2</v>
      </c>
      <c r="S46" s="6">
        <f t="shared" ca="1" si="16"/>
        <v>5.3388736391889605E-3</v>
      </c>
    </row>
    <row r="47" spans="16:19" s="6" customFormat="1" x14ac:dyDescent="0.3">
      <c r="P47" s="7">
        <f t="shared" ca="1" si="17"/>
        <v>0.54295414048218316</v>
      </c>
      <c r="Q47" s="6">
        <f t="shared" ca="1" si="18"/>
        <v>0.45704585951781684</v>
      </c>
      <c r="R47" s="6">
        <f t="shared" ca="1" si="12"/>
        <v>1.7541855611173125E-2</v>
      </c>
      <c r="S47" s="6">
        <f t="shared" ca="1" si="16"/>
        <v>6.2047686096235871E-3</v>
      </c>
    </row>
    <row r="48" spans="16:19" s="6" customFormat="1" x14ac:dyDescent="0.3">
      <c r="P48" s="7">
        <f t="shared" ca="1" si="17"/>
        <v>0.53706368342869071</v>
      </c>
      <c r="Q48" s="6">
        <f t="shared" ca="1" si="18"/>
        <v>0.46293631657130929</v>
      </c>
      <c r="R48" s="6">
        <f t="shared" ca="1" si="12"/>
        <v>1.7582439834286971E-2</v>
      </c>
      <c r="S48" s="6">
        <f t="shared" ca="1" si="16"/>
        <v>6.2209697183972703E-3</v>
      </c>
    </row>
    <row r="49" spans="16:19" s="6" customFormat="1" x14ac:dyDescent="0.3">
      <c r="P49" s="7">
        <f t="shared" ca="1" si="17"/>
        <v>0.79073671781334243</v>
      </c>
      <c r="Q49" s="6">
        <f t="shared" ca="1" si="18"/>
        <v>0.20926328218665757</v>
      </c>
      <c r="R49" s="6">
        <f t="shared" ca="1" si="12"/>
        <v>1.6094382149774031E-2</v>
      </c>
      <c r="S49" s="6">
        <f t="shared" ca="1" si="16"/>
        <v>5.5232675900744174E-3</v>
      </c>
    </row>
    <row r="50" spans="16:19" s="6" customFormat="1" x14ac:dyDescent="0.3">
      <c r="P50" s="7">
        <f t="shared" ca="1" si="17"/>
        <v>0.14899161732586441</v>
      </c>
      <c r="Q50" s="6">
        <f t="shared" ca="1" si="18"/>
        <v>0.85100838267413559</v>
      </c>
      <c r="R50" s="6">
        <f t="shared" ca="1" si="12"/>
        <v>2.0748070009321856E-2</v>
      </c>
      <c r="S50" s="6">
        <f t="shared" ca="1" si="16"/>
        <v>7.2883228453048381E-3</v>
      </c>
    </row>
    <row r="51" spans="16:19" s="6" customFormat="1" x14ac:dyDescent="0.3">
      <c r="P51" s="7">
        <f t="shared" ca="1" si="17"/>
        <v>0.27096145606211453</v>
      </c>
      <c r="Q51" s="6">
        <f t="shared" ca="1" si="18"/>
        <v>0.72903854393788547</v>
      </c>
      <c r="R51" s="6">
        <f t="shared" ca="1" si="12"/>
        <v>1.966019058798793E-2</v>
      </c>
      <c r="S51" s="6">
        <f t="shared" ca="1" si="16"/>
        <v>6.9528570900111971E-3</v>
      </c>
    </row>
    <row r="52" spans="16:19" s="6" customFormat="1" x14ac:dyDescent="0.3">
      <c r="P52" s="7">
        <f t="shared" ca="1" si="17"/>
        <v>1.6030217884058229E-2</v>
      </c>
      <c r="Q52" s="6">
        <f t="shared" ca="1" si="18"/>
        <v>0.98396978211594177</v>
      </c>
      <c r="R52" s="6">
        <f t="shared" ca="1" si="12"/>
        <v>2.2010995424294622E-2</v>
      </c>
      <c r="S52" s="6">
        <f t="shared" ca="1" si="16"/>
        <v>7.6540197811276155E-3</v>
      </c>
    </row>
    <row r="53" spans="16:19" s="6" customFormat="1" x14ac:dyDescent="0.3">
      <c r="P53" s="7">
        <f t="shared" ca="1" si="17"/>
        <v>0.63693453070526163</v>
      </c>
      <c r="Q53" s="6">
        <f t="shared" ca="1" si="18"/>
        <v>0.36306546929473837</v>
      </c>
      <c r="R53" s="6">
        <f t="shared" ca="1" si="12"/>
        <v>1.6930953425993642E-2</v>
      </c>
      <c r="S53" s="6">
        <f t="shared" ca="1" si="16"/>
        <v>5.9462850130587745E-3</v>
      </c>
    </row>
    <row r="54" spans="16:19" s="6" customFormat="1" x14ac:dyDescent="0.3">
      <c r="P54" s="7">
        <f t="shared" ca="1" si="17"/>
        <v>8.8288411237140596E-2</v>
      </c>
      <c r="Q54" s="6">
        <f t="shared" ca="1" si="18"/>
        <v>0.9117115887628594</v>
      </c>
      <c r="R54" s="6">
        <f t="shared" ca="1" si="12"/>
        <v>2.1315482533052984E-2</v>
      </c>
      <c r="S54" s="6">
        <f t="shared" ca="1" si="16"/>
        <v>7.4552808989539407E-3</v>
      </c>
    </row>
    <row r="55" spans="16:19" s="6" customFormat="1" x14ac:dyDescent="0.3">
      <c r="P55" s="7">
        <f t="shared" ca="1" si="17"/>
        <v>0.17759139081260766</v>
      </c>
      <c r="Q55" s="6">
        <f t="shared" ca="1" si="18"/>
        <v>0.82240860918739234</v>
      </c>
      <c r="R55" s="6">
        <f t="shared" ca="1" si="12"/>
        <v>2.0486475568188844E-2</v>
      </c>
      <c r="S55" s="6">
        <f t="shared" ca="1" si="16"/>
        <v>7.2096620492148791E-3</v>
      </c>
    </row>
    <row r="56" spans="16:19" s="6" customFormat="1" x14ac:dyDescent="0.3">
      <c r="P56" s="7">
        <f t="shared" ca="1" si="17"/>
        <v>0.37803326634357504</v>
      </c>
      <c r="Q56" s="6">
        <f t="shared" ca="1" si="18"/>
        <v>0.62196673365642496</v>
      </c>
      <c r="R56" s="6">
        <f t="shared" ca="1" si="12"/>
        <v>1.8770525226761637E-2</v>
      </c>
      <c r="S56" s="6">
        <f t="shared" ca="1" si="16"/>
        <v>6.658366861288346E-3</v>
      </c>
    </row>
    <row r="57" spans="16:19" s="6" customFormat="1" x14ac:dyDescent="0.3">
      <c r="P57" s="7">
        <f t="shared" ca="1" si="17"/>
        <v>0.80622891689439569</v>
      </c>
      <c r="Q57" s="6">
        <f t="shared" ca="1" si="18"/>
        <v>0.19377108310560431</v>
      </c>
      <c r="R57" s="6">
        <f t="shared" ca="1" si="12"/>
        <v>1.602238180100992E-2</v>
      </c>
      <c r="S57" s="6">
        <f t="shared" ca="1" si="16"/>
        <v>5.4806578570475223E-3</v>
      </c>
    </row>
    <row r="58" spans="16:19" s="6" customFormat="1" x14ac:dyDescent="0.3">
      <c r="P58" s="7">
        <f t="shared" ca="1" si="17"/>
        <v>0.52863373158511728</v>
      </c>
      <c r="Q58" s="6">
        <f t="shared" ca="1" si="18"/>
        <v>0.47136626841488272</v>
      </c>
      <c r="R58" s="6">
        <f t="shared" ca="1" si="12"/>
        <v>1.7640972127873068E-2</v>
      </c>
      <c r="S58" s="6">
        <f t="shared" ca="1" si="16"/>
        <v>6.2441554517850845E-3</v>
      </c>
    </row>
    <row r="59" spans="16:19" s="6" customFormat="1" x14ac:dyDescent="0.3">
      <c r="P59" s="7">
        <f t="shared" ca="1" si="17"/>
        <v>0.79997800304841271</v>
      </c>
      <c r="Q59" s="6">
        <f t="shared" ca="1" si="18"/>
        <v>0.20002199695158729</v>
      </c>
      <c r="R59" s="6">
        <f t="shared" ca="1" si="12"/>
        <v>1.6051149126481701E-2</v>
      </c>
      <c r="S59" s="6">
        <f t="shared" ca="1" si="16"/>
        <v>5.4978503659197592E-3</v>
      </c>
    </row>
    <row r="60" spans="16:19" s="6" customFormat="1" x14ac:dyDescent="0.3">
      <c r="P60" s="7">
        <f t="shared" ca="1" si="17"/>
        <v>0.73093308023798931</v>
      </c>
      <c r="Q60" s="6">
        <f t="shared" ca="1" si="18"/>
        <v>0.26906691976201069</v>
      </c>
      <c r="R60" s="6">
        <f t="shared" ca="1" si="12"/>
        <v>1.639400596630777E-2</v>
      </c>
      <c r="S60" s="6">
        <f t="shared" ca="1" si="16"/>
        <v>5.6877514711419783E-3</v>
      </c>
    </row>
    <row r="61" spans="16:19" s="6" customFormat="1" x14ac:dyDescent="0.3">
      <c r="P61" s="7">
        <f t="shared" ca="1" si="17"/>
        <v>0.10856008849041776</v>
      </c>
      <c r="Q61" s="6">
        <f t="shared" ca="1" si="18"/>
        <v>0.89143991150958224</v>
      </c>
      <c r="R61" s="6">
        <f t="shared" ca="1" si="12"/>
        <v>2.1124211485892355E-2</v>
      </c>
      <c r="S61" s="6">
        <f t="shared" ca="1" si="16"/>
        <v>7.3995256926562177E-3</v>
      </c>
    </row>
    <row r="62" spans="16:19" s="6" customFormat="1" x14ac:dyDescent="0.3">
      <c r="P62" s="7">
        <f t="shared" ca="1" si="17"/>
        <v>0.54883716988977094</v>
      </c>
      <c r="Q62" s="6">
        <f t="shared" ca="1" si="18"/>
        <v>0.45116283011022906</v>
      </c>
      <c r="R62" s="6">
        <f t="shared" ca="1" si="12"/>
        <v>1.7501583613385458E-2</v>
      </c>
      <c r="S62" s="6">
        <f t="shared" ca="1" si="16"/>
        <v>6.1885879298417702E-3</v>
      </c>
    </row>
    <row r="63" spans="16:19" s="6" customFormat="1" x14ac:dyDescent="0.3">
      <c r="P63" s="7">
        <f t="shared" ca="1" si="17"/>
        <v>0.20077572008122924</v>
      </c>
      <c r="Q63" s="6">
        <f t="shared" ca="1" si="18"/>
        <v>0.79922427991877076</v>
      </c>
      <c r="R63" s="6">
        <f t="shared" ca="1" si="12"/>
        <v>2.0277248951878185E-2</v>
      </c>
      <c r="S63" s="6">
        <f t="shared" ca="1" si="16"/>
        <v>7.145895886943459E-3</v>
      </c>
    </row>
    <row r="64" spans="16:19" s="6" customFormat="1" x14ac:dyDescent="0.3">
      <c r="P64" s="7">
        <f t="shared" ca="1" si="17"/>
        <v>0.76941803724334101</v>
      </c>
      <c r="Q64" s="6">
        <f t="shared" ca="1" si="18"/>
        <v>0.23058196275665899</v>
      </c>
      <c r="R64" s="6">
        <f t="shared" ca="1" si="12"/>
        <v>1.6197284211472148E-2</v>
      </c>
      <c r="S64" s="6">
        <f t="shared" ca="1" si="16"/>
        <v>5.5819024735290421E-3</v>
      </c>
    </row>
    <row r="65" spans="16:19" s="6" customFormat="1" x14ac:dyDescent="0.3">
      <c r="P65" s="7">
        <f t="shared" ca="1" si="17"/>
        <v>8.5777996915371135E-2</v>
      </c>
      <c r="Q65" s="6">
        <f t="shared" ca="1" si="18"/>
        <v>0.91422200308462886</v>
      </c>
      <c r="R65" s="6">
        <f t="shared" ca="1" si="12"/>
        <v>2.1339290353119805E-2</v>
      </c>
      <c r="S65" s="6">
        <f t="shared" ca="1" si="16"/>
        <v>7.4621855406692868E-3</v>
      </c>
    </row>
    <row r="66" spans="16:19" s="6" customFormat="1" x14ac:dyDescent="0.3">
      <c r="P66" s="7">
        <f t="shared" ca="1" si="17"/>
        <v>0.16827903901837882</v>
      </c>
      <c r="Q66" s="6">
        <f t="shared" ca="1" si="18"/>
        <v>0.83172096098162118</v>
      </c>
      <c r="R66" s="6">
        <f t="shared" ca="1" si="12"/>
        <v>2.0571235231294109E-2</v>
      </c>
      <c r="S66" s="6">
        <f t="shared" ca="1" si="16"/>
        <v>7.2352747347818932E-3</v>
      </c>
    </row>
    <row r="67" spans="16:19" s="6" customFormat="1" x14ac:dyDescent="0.3">
      <c r="P67" s="7">
        <f t="shared" ca="1" si="17"/>
        <v>0.57586104687592665</v>
      </c>
      <c r="Q67" s="6">
        <f t="shared" ca="1" si="18"/>
        <v>0.42413895312407335</v>
      </c>
      <c r="R67" s="6">
        <f t="shared" ref="R67:R130" ca="1" si="19">SQRT((P67*L$22)^2+(Q67*M$22)^2+2*O$22*P67*Q67)</f>
        <v>1.7319995647166152E-2</v>
      </c>
      <c r="S67" s="6">
        <f t="shared" ca="1" si="16"/>
        <v>6.1142614783349612E-3</v>
      </c>
    </row>
    <row r="68" spans="16:19" s="6" customFormat="1" x14ac:dyDescent="0.3">
      <c r="P68" s="7">
        <f t="shared" ca="1" si="17"/>
        <v>0.30975366397523052</v>
      </c>
      <c r="Q68" s="6">
        <f t="shared" ca="1" si="18"/>
        <v>0.69024633602476948</v>
      </c>
      <c r="R68" s="6">
        <f t="shared" ca="1" si="19"/>
        <v>1.9330305058222724E-2</v>
      </c>
      <c r="S68" s="6">
        <f t="shared" ca="1" si="16"/>
        <v>6.8461630297261622E-3</v>
      </c>
    </row>
    <row r="69" spans="16:19" s="6" customFormat="1" x14ac:dyDescent="0.3">
      <c r="P69" s="7">
        <f t="shared" ca="1" si="17"/>
        <v>0.68787468321661172</v>
      </c>
      <c r="Q69" s="6">
        <f t="shared" ca="1" si="18"/>
        <v>0.31212531678338828</v>
      </c>
      <c r="R69" s="6">
        <f t="shared" ca="1" si="19"/>
        <v>1.663029263908427E-2</v>
      </c>
      <c r="S69" s="6">
        <f t="shared" ca="1" si="16"/>
        <v>5.8061792548315611E-3</v>
      </c>
    </row>
    <row r="70" spans="16:19" s="6" customFormat="1" x14ac:dyDescent="0.3">
      <c r="P70" s="7">
        <f t="shared" ca="1" si="17"/>
        <v>0.99091148234538196</v>
      </c>
      <c r="Q70" s="6">
        <f t="shared" ca="1" si="18"/>
        <v>9.0885176546180446E-3</v>
      </c>
      <c r="R70" s="6">
        <f t="shared" ca="1" si="19"/>
        <v>1.5355204942919639E-2</v>
      </c>
      <c r="S70" s="6">
        <f t="shared" ca="1" si="16"/>
        <v>4.9727070640440633E-3</v>
      </c>
    </row>
    <row r="71" spans="16:19" s="6" customFormat="1" x14ac:dyDescent="0.3">
      <c r="P71" s="7">
        <f t="shared" ca="1" si="17"/>
        <v>0.86417978062084533</v>
      </c>
      <c r="Q71" s="6">
        <f t="shared" ca="1" si="18"/>
        <v>0.13582021937915467</v>
      </c>
      <c r="R71" s="6">
        <f t="shared" ca="1" si="19"/>
        <v>1.577435542615168E-2</v>
      </c>
      <c r="S71" s="6">
        <f t="shared" ca="1" si="16"/>
        <v>5.3212698438195082E-3</v>
      </c>
    </row>
    <row r="72" spans="16:19" s="6" customFormat="1" x14ac:dyDescent="0.3">
      <c r="P72" s="7">
        <f t="shared" ca="1" si="17"/>
        <v>0.3567606135351743</v>
      </c>
      <c r="Q72" s="6">
        <f t="shared" ca="1" si="18"/>
        <v>0.6432393864648257</v>
      </c>
      <c r="R72" s="6">
        <f t="shared" ca="1" si="19"/>
        <v>1.8941964989020281E-2</v>
      </c>
      <c r="S72" s="6">
        <f t="shared" ca="1" si="16"/>
        <v>6.7168751500211125E-3</v>
      </c>
    </row>
    <row r="73" spans="16:19" s="6" customFormat="1" x14ac:dyDescent="0.3">
      <c r="P73" s="7">
        <f t="shared" ca="1" si="17"/>
        <v>0.49803117651490802</v>
      </c>
      <c r="Q73" s="6">
        <f t="shared" ca="1" si="18"/>
        <v>0.50196882348509198</v>
      </c>
      <c r="R73" s="6">
        <f t="shared" ca="1" si="19"/>
        <v>1.7857844942174243E-2</v>
      </c>
      <c r="S73" s="6">
        <f t="shared" ca="1" si="16"/>
        <v>6.3283246968780672E-3</v>
      </c>
    </row>
    <row r="74" spans="16:19" s="6" customFormat="1" x14ac:dyDescent="0.3">
      <c r="P74" s="7">
        <f t="shared" ca="1" si="17"/>
        <v>0.45722024419986163</v>
      </c>
      <c r="Q74" s="6">
        <f t="shared" ca="1" si="18"/>
        <v>0.54277975580013837</v>
      </c>
      <c r="R74" s="6">
        <f t="shared" ca="1" si="19"/>
        <v>1.8157431614137669E-2</v>
      </c>
      <c r="S74" s="6">
        <f t="shared" ca="1" si="16"/>
        <v>6.4405710552823741E-3</v>
      </c>
    </row>
    <row r="75" spans="16:19" s="6" customFormat="1" x14ac:dyDescent="0.3">
      <c r="P75" s="7">
        <f t="shared" ca="1" si="17"/>
        <v>0.37234469138492954</v>
      </c>
      <c r="Q75" s="6">
        <f t="shared" ca="1" si="18"/>
        <v>0.62765530861507046</v>
      </c>
      <c r="R75" s="6">
        <f t="shared" ca="1" si="19"/>
        <v>1.8816100781193855E-2</v>
      </c>
      <c r="S75" s="6">
        <f t="shared" ca="1" si="16"/>
        <v>6.6740127136959487E-3</v>
      </c>
    </row>
    <row r="76" spans="16:19" s="6" customFormat="1" x14ac:dyDescent="0.3">
      <c r="P76" s="7">
        <f t="shared" ca="1" si="17"/>
        <v>0.35721541451361627</v>
      </c>
      <c r="Q76" s="6">
        <f t="shared" ca="1" si="18"/>
        <v>0.64278458548638373</v>
      </c>
      <c r="R76" s="6">
        <f t="shared" ca="1" si="19"/>
        <v>1.8938271066862803E-2</v>
      </c>
      <c r="S76" s="6">
        <f t="shared" ca="1" si="16"/>
        <v>6.7156242657424904E-3</v>
      </c>
    </row>
    <row r="77" spans="16:19" s="6" customFormat="1" x14ac:dyDescent="0.3">
      <c r="P77" s="7">
        <f t="shared" ca="1" si="17"/>
        <v>0.97024875972636515</v>
      </c>
      <c r="Q77" s="6">
        <f t="shared" ca="1" si="18"/>
        <v>2.9751240273634849E-2</v>
      </c>
      <c r="R77" s="6">
        <f t="shared" ca="1" si="19"/>
        <v>1.5411571250750241E-2</v>
      </c>
      <c r="S77" s="6">
        <f t="shared" ca="1" si="16"/>
        <v>5.0295378012298409E-3</v>
      </c>
    </row>
    <row r="78" spans="16:19" s="6" customFormat="1" x14ac:dyDescent="0.3">
      <c r="P78" s="7">
        <f t="shared" ca="1" si="17"/>
        <v>0.84692310601741549</v>
      </c>
      <c r="Q78" s="6">
        <f t="shared" ca="1" si="18"/>
        <v>0.15307689398258451</v>
      </c>
      <c r="R78" s="6">
        <f t="shared" ca="1" si="19"/>
        <v>1.5844643919623484E-2</v>
      </c>
      <c r="S78" s="6">
        <f t="shared" ca="1" si="16"/>
        <v>5.3687325890332208E-3</v>
      </c>
    </row>
    <row r="79" spans="16:19" s="6" customFormat="1" x14ac:dyDescent="0.3">
      <c r="P79" s="7">
        <f t="shared" ca="1" si="17"/>
        <v>0.45098982626746942</v>
      </c>
      <c r="Q79" s="6">
        <f t="shared" ca="1" si="18"/>
        <v>0.54901017373253058</v>
      </c>
      <c r="R79" s="6">
        <f t="shared" ca="1" si="19"/>
        <v>1.8204178482271422E-2</v>
      </c>
      <c r="S79" s="6">
        <f t="shared" ca="1" si="16"/>
        <v>6.457707192208853E-3</v>
      </c>
    </row>
    <row r="80" spans="16:19" s="6" customFormat="1" x14ac:dyDescent="0.3">
      <c r="P80" s="7">
        <f t="shared" ca="1" si="17"/>
        <v>0.54150552164929266</v>
      </c>
      <c r="Q80" s="6">
        <f t="shared" ca="1" si="18"/>
        <v>0.45849447835070734</v>
      </c>
      <c r="R80" s="6">
        <f t="shared" ca="1" si="19"/>
        <v>1.7551812160931553E-2</v>
      </c>
      <c r="S80" s="6">
        <f t="shared" ca="1" si="16"/>
        <v>6.2087528898025508E-3</v>
      </c>
    </row>
    <row r="81" spans="16:19" s="6" customFormat="1" x14ac:dyDescent="0.3">
      <c r="P81" s="7">
        <f t="shared" ca="1" si="17"/>
        <v>0.26655584626263118</v>
      </c>
      <c r="Q81" s="6">
        <f t="shared" ca="1" si="18"/>
        <v>0.73344415373736882</v>
      </c>
      <c r="R81" s="6">
        <f t="shared" ca="1" si="19"/>
        <v>1.9698172770795167E-2</v>
      </c>
      <c r="S81" s="6">
        <f t="shared" ca="1" si="16"/>
        <v>6.9649742759829575E-3</v>
      </c>
    </row>
    <row r="82" spans="16:19" s="6" customFormat="1" x14ac:dyDescent="0.3">
      <c r="P82" s="7">
        <f t="shared" ca="1" si="17"/>
        <v>0.40296108974097622</v>
      </c>
      <c r="Q82" s="6">
        <f t="shared" ca="1" si="18"/>
        <v>0.59703891025902378</v>
      </c>
      <c r="R82" s="6">
        <f t="shared" ca="1" si="19"/>
        <v>1.8573176356753582E-2</v>
      </c>
      <c r="S82" s="6">
        <f t="shared" ca="1" si="16"/>
        <v>6.5898053940397199E-3</v>
      </c>
    </row>
    <row r="83" spans="16:19" s="6" customFormat="1" x14ac:dyDescent="0.3">
      <c r="P83" s="7">
        <f t="shared" ca="1" si="17"/>
        <v>0.28377756539848009</v>
      </c>
      <c r="Q83" s="6">
        <f t="shared" ca="1" si="18"/>
        <v>0.71622243460151991</v>
      </c>
      <c r="R83" s="6">
        <f t="shared" ca="1" si="19"/>
        <v>1.9550291862817756E-2</v>
      </c>
      <c r="S83" s="6">
        <f t="shared" ca="1" si="16"/>
        <v>6.9176076722617256E-3</v>
      </c>
    </row>
    <row r="84" spans="16:19" s="6" customFormat="1" x14ac:dyDescent="0.3">
      <c r="P84" s="7">
        <f t="shared" ca="1" si="17"/>
        <v>0.68641599461358327</v>
      </c>
      <c r="Q84" s="6">
        <f t="shared" ca="1" si="18"/>
        <v>0.31358400538641673</v>
      </c>
      <c r="R84" s="6">
        <f t="shared" ca="1" si="19"/>
        <v>1.6638588623072464E-2</v>
      </c>
      <c r="S84" s="6">
        <f t="shared" ca="1" si="16"/>
        <v>5.8101912308989503E-3</v>
      </c>
    </row>
    <row r="85" spans="16:19" s="6" customFormat="1" x14ac:dyDescent="0.3">
      <c r="P85" s="7">
        <f t="shared" ca="1" si="17"/>
        <v>0.27672328198078711</v>
      </c>
      <c r="Q85" s="6">
        <f t="shared" ca="1" si="18"/>
        <v>0.72327671801921289</v>
      </c>
      <c r="R85" s="6">
        <f t="shared" ca="1" si="19"/>
        <v>1.9610672961095109E-2</v>
      </c>
      <c r="S85" s="6">
        <f t="shared" ca="1" si="16"/>
        <v>6.9370097682166865E-3</v>
      </c>
    </row>
    <row r="86" spans="16:19" s="6" customFormat="1" x14ac:dyDescent="0.3">
      <c r="P86" s="7">
        <f t="shared" ca="1" si="17"/>
        <v>0.76607597473741473</v>
      </c>
      <c r="Q86" s="6">
        <f t="shared" ca="1" si="18"/>
        <v>0.23392402526258527</v>
      </c>
      <c r="R86" s="6">
        <f t="shared" ca="1" si="19"/>
        <v>1.6213812577599632E-2</v>
      </c>
      <c r="S86" s="6">
        <f t="shared" ref="S86:S149" ca="1" si="20">(P86*F$22+Q86*G$22)</f>
        <v>5.5910944798021134E-3</v>
      </c>
    </row>
    <row r="87" spans="16:19" s="6" customFormat="1" x14ac:dyDescent="0.3">
      <c r="P87" s="7">
        <f t="shared" ca="1" si="17"/>
        <v>0.15331513944316355</v>
      </c>
      <c r="Q87" s="6">
        <f t="shared" ca="1" si="18"/>
        <v>0.84668486055683645</v>
      </c>
      <c r="R87" s="6">
        <f t="shared" ca="1" si="19"/>
        <v>2.0708281313486371E-2</v>
      </c>
      <c r="S87" s="6">
        <f t="shared" ca="1" si="20"/>
        <v>7.2764314332341472E-3</v>
      </c>
    </row>
    <row r="88" spans="16:19" s="6" customFormat="1" x14ac:dyDescent="0.3">
      <c r="P88" s="7">
        <f t="shared" ref="P88:P151" ca="1" si="21">RAND()</f>
        <v>0.96788222823665382</v>
      </c>
      <c r="Q88" s="6">
        <f t="shared" ref="Q88:Q151" ca="1" si="22">1-P88</f>
        <v>3.2117771763346181E-2</v>
      </c>
      <c r="R88" s="6">
        <f t="shared" ca="1" si="19"/>
        <v>1.541833086862494E-2</v>
      </c>
      <c r="S88" s="6">
        <f t="shared" ca="1" si="20"/>
        <v>5.0360467077090803E-3</v>
      </c>
    </row>
    <row r="89" spans="16:19" s="6" customFormat="1" x14ac:dyDescent="0.3">
      <c r="P89" s="7">
        <f t="shared" ca="1" si="21"/>
        <v>0.48109518875726209</v>
      </c>
      <c r="Q89" s="6">
        <f t="shared" ca="1" si="22"/>
        <v>0.51890481124273791</v>
      </c>
      <c r="R89" s="6">
        <f t="shared" ca="1" si="19"/>
        <v>1.7980758274620118E-2</v>
      </c>
      <c r="S89" s="6">
        <f t="shared" ca="1" si="20"/>
        <v>6.3749054252255745E-3</v>
      </c>
    </row>
    <row r="90" spans="16:19" s="6" customFormat="1" x14ac:dyDescent="0.3">
      <c r="P90" s="7">
        <f t="shared" ca="1" si="21"/>
        <v>0.83299386663790342</v>
      </c>
      <c r="Q90" s="6">
        <f t="shared" ca="1" si="22"/>
        <v>0.16700613336209658</v>
      </c>
      <c r="R90" s="6">
        <f t="shared" ca="1" si="19"/>
        <v>1.5903602952141053E-2</v>
      </c>
      <c r="S90" s="6">
        <f t="shared" ca="1" si="20"/>
        <v>5.4070435588396033E-3</v>
      </c>
    </row>
    <row r="91" spans="16:19" s="6" customFormat="1" x14ac:dyDescent="0.3">
      <c r="P91" s="7">
        <f t="shared" ca="1" si="21"/>
        <v>7.5223770831600922E-2</v>
      </c>
      <c r="Q91" s="6">
        <f t="shared" ca="1" si="22"/>
        <v>0.92477622916839908</v>
      </c>
      <c r="R91" s="6">
        <f t="shared" ca="1" si="19"/>
        <v>2.1439670301469187E-2</v>
      </c>
      <c r="S91" s="6">
        <f t="shared" ca="1" si="20"/>
        <v>7.4912138763743794E-3</v>
      </c>
    </row>
    <row r="92" spans="16:19" s="6" customFormat="1" x14ac:dyDescent="0.3">
      <c r="P92" s="7">
        <f t="shared" ca="1" si="21"/>
        <v>3.3413196962461811E-4</v>
      </c>
      <c r="Q92" s="6">
        <f t="shared" ca="1" si="22"/>
        <v>0.99966586803037538</v>
      </c>
      <c r="R92" s="6">
        <f t="shared" ca="1" si="19"/>
        <v>2.2164777918925318E-2</v>
      </c>
      <c r="S92" s="6">
        <f t="shared" ca="1" si="20"/>
        <v>7.6971902843519869E-3</v>
      </c>
    </row>
    <row r="93" spans="16:19" s="6" customFormat="1" x14ac:dyDescent="0.3">
      <c r="P93" s="7">
        <f t="shared" ca="1" si="21"/>
        <v>0.97919979781011868</v>
      </c>
      <c r="Q93" s="6">
        <f t="shared" ca="1" si="22"/>
        <v>2.0800202189881323E-2</v>
      </c>
      <c r="R93" s="6">
        <f t="shared" ca="1" si="19"/>
        <v>1.5386567752855037E-2</v>
      </c>
      <c r="S93" s="6">
        <f t="shared" ca="1" si="20"/>
        <v>5.0049188726279765E-3</v>
      </c>
    </row>
    <row r="94" spans="16:19" s="6" customFormat="1" x14ac:dyDescent="0.3">
      <c r="P94" s="7">
        <f t="shared" ca="1" si="21"/>
        <v>0.9465007279338965</v>
      </c>
      <c r="Q94" s="6">
        <f t="shared" ca="1" si="22"/>
        <v>5.3499272066103498E-2</v>
      </c>
      <c r="R94" s="6">
        <f t="shared" ca="1" si="19"/>
        <v>1.5482211931271389E-2</v>
      </c>
      <c r="S94" s="6">
        <f t="shared" ca="1" si="20"/>
        <v>5.0948543705107516E-3</v>
      </c>
    </row>
    <row r="95" spans="16:19" s="6" customFormat="1" x14ac:dyDescent="0.3">
      <c r="P95" s="7">
        <f t="shared" ca="1" si="21"/>
        <v>0.17810218255661625</v>
      </c>
      <c r="Q95" s="6">
        <f t="shared" ca="1" si="22"/>
        <v>0.82189781744338375</v>
      </c>
      <c r="R95" s="6">
        <f t="shared" ca="1" si="19"/>
        <v>2.0481838242688916E-2</v>
      </c>
      <c r="S95" s="6">
        <f t="shared" ca="1" si="20"/>
        <v>7.2082571679755745E-3</v>
      </c>
    </row>
    <row r="96" spans="16:19" s="6" customFormat="1" x14ac:dyDescent="0.3">
      <c r="P96" s="7">
        <f t="shared" ca="1" si="21"/>
        <v>0.15884981982321811</v>
      </c>
      <c r="Q96" s="6">
        <f t="shared" ca="1" si="22"/>
        <v>0.84115018017678189</v>
      </c>
      <c r="R96" s="6">
        <f t="shared" ca="1" si="19"/>
        <v>2.0657471583815718E-2</v>
      </c>
      <c r="S96" s="6">
        <f t="shared" ca="1" si="20"/>
        <v>7.2612088523629952E-3</v>
      </c>
    </row>
    <row r="97" spans="16:19" s="6" customFormat="1" x14ac:dyDescent="0.3">
      <c r="P97" s="7">
        <f t="shared" ca="1" si="21"/>
        <v>0.76504278435930517</v>
      </c>
      <c r="Q97" s="6">
        <f t="shared" ca="1" si="22"/>
        <v>0.23495721564069483</v>
      </c>
      <c r="R97" s="6">
        <f t="shared" ca="1" si="19"/>
        <v>1.6218943872548332E-2</v>
      </c>
      <c r="S97" s="6">
        <f t="shared" ca="1" si="20"/>
        <v>5.5939361658627479E-3</v>
      </c>
    </row>
    <row r="98" spans="16:19" s="6" customFormat="1" x14ac:dyDescent="0.3">
      <c r="P98" s="7">
        <f t="shared" ca="1" si="21"/>
        <v>0.86714106504011523</v>
      </c>
      <c r="Q98" s="6">
        <f t="shared" ca="1" si="22"/>
        <v>0.13285893495988477</v>
      </c>
      <c r="R98" s="6">
        <f t="shared" ca="1" si="19"/>
        <v>1.576260295177434E-2</v>
      </c>
      <c r="S98" s="6">
        <f t="shared" ca="1" si="20"/>
        <v>5.3131251293176071E-3</v>
      </c>
    </row>
    <row r="99" spans="16:19" s="6" customFormat="1" x14ac:dyDescent="0.3">
      <c r="P99" s="7">
        <f t="shared" ca="1" si="21"/>
        <v>0.96918872922103949</v>
      </c>
      <c r="Q99" s="6">
        <f t="shared" ca="1" si="22"/>
        <v>3.0811270778960509E-2</v>
      </c>
      <c r="R99" s="6">
        <f t="shared" ca="1" si="19"/>
        <v>1.5414591365662733E-2</v>
      </c>
      <c r="S99" s="6">
        <f t="shared" ca="1" si="20"/>
        <v>5.0324533083567482E-3</v>
      </c>
    </row>
    <row r="100" spans="16:19" s="6" customFormat="1" x14ac:dyDescent="0.3">
      <c r="P100" s="7">
        <f t="shared" ca="1" si="21"/>
        <v>0.22955913152402729</v>
      </c>
      <c r="Q100" s="6">
        <f t="shared" ca="1" si="22"/>
        <v>0.77044086847597271</v>
      </c>
      <c r="R100" s="6">
        <f t="shared" ca="1" si="19"/>
        <v>2.0021152900259999E-2</v>
      </c>
      <c r="S100" s="6">
        <f t="shared" ca="1" si="20"/>
        <v>7.0667300131534161E-3</v>
      </c>
    </row>
    <row r="101" spans="16:19" s="6" customFormat="1" x14ac:dyDescent="0.3">
      <c r="P101" s="7">
        <f t="shared" ca="1" si="21"/>
        <v>0.88150906405535279</v>
      </c>
      <c r="Q101" s="6">
        <f t="shared" ca="1" si="22"/>
        <v>0.11849093594464721</v>
      </c>
      <c r="R101" s="6">
        <f t="shared" ca="1" si="19"/>
        <v>1.570687764598765E-2</v>
      </c>
      <c r="S101" s="6">
        <f t="shared" ca="1" si="20"/>
        <v>5.2736073953298804E-3</v>
      </c>
    </row>
    <row r="102" spans="16:19" s="6" customFormat="1" x14ac:dyDescent="0.3">
      <c r="P102" s="7">
        <f t="shared" ca="1" si="21"/>
        <v>0.56024850760880673</v>
      </c>
      <c r="Q102" s="6">
        <f t="shared" ca="1" si="22"/>
        <v>0.43975149239119327</v>
      </c>
      <c r="R102" s="6">
        <f t="shared" ca="1" si="19"/>
        <v>1.7424218413864649E-2</v>
      </c>
      <c r="S102" s="6">
        <f t="shared" ca="1" si="20"/>
        <v>6.1572021949216384E-3</v>
      </c>
    </row>
    <row r="103" spans="16:19" s="6" customFormat="1" x14ac:dyDescent="0.3">
      <c r="P103" s="7">
        <f t="shared" ca="1" si="21"/>
        <v>0.68521908718560653</v>
      </c>
      <c r="Q103" s="6">
        <f t="shared" ca="1" si="22"/>
        <v>0.31478091281439347</v>
      </c>
      <c r="R103" s="6">
        <f t="shared" ca="1" si="19"/>
        <v>1.6645409821475336E-2</v>
      </c>
      <c r="S103" s="6">
        <f t="shared" ca="1" si="20"/>
        <v>5.8134832042138537E-3</v>
      </c>
    </row>
    <row r="104" spans="16:19" s="6" customFormat="1" x14ac:dyDescent="0.3">
      <c r="P104" s="7">
        <f t="shared" ca="1" si="21"/>
        <v>0.95100539747122625</v>
      </c>
      <c r="Q104" s="6">
        <f t="shared" ca="1" si="22"/>
        <v>4.8994602528773745E-2</v>
      </c>
      <c r="R104" s="6">
        <f t="shared" ca="1" si="19"/>
        <v>1.5468334520058748E-2</v>
      </c>
      <c r="S104" s="6">
        <f t="shared" ca="1" si="20"/>
        <v>5.0824647307084365E-3</v>
      </c>
    </row>
    <row r="105" spans="16:19" s="6" customFormat="1" x14ac:dyDescent="0.3">
      <c r="P105" s="7">
        <f t="shared" ca="1" si="21"/>
        <v>0.19015579454140352</v>
      </c>
      <c r="Q105" s="6">
        <f t="shared" ca="1" si="22"/>
        <v>0.80984420545859648</v>
      </c>
      <c r="R105" s="6">
        <f t="shared" ca="1" si="19"/>
        <v>2.0372767534566596E-2</v>
      </c>
      <c r="S105" s="6">
        <f t="shared" ca="1" si="20"/>
        <v>7.1751049223844569E-3</v>
      </c>
    </row>
    <row r="106" spans="16:19" s="6" customFormat="1" x14ac:dyDescent="0.3">
      <c r="P106" s="7">
        <f t="shared" ca="1" si="21"/>
        <v>0.72975068700207368</v>
      </c>
      <c r="Q106" s="6">
        <f t="shared" ca="1" si="22"/>
        <v>0.27024931299792632</v>
      </c>
      <c r="R106" s="6">
        <f t="shared" ca="1" si="19"/>
        <v>1.6400269108639343E-2</v>
      </c>
      <c r="S106" s="6">
        <f t="shared" ca="1" si="20"/>
        <v>5.6910035246336473E-3</v>
      </c>
    </row>
    <row r="107" spans="16:19" s="6" customFormat="1" x14ac:dyDescent="0.3">
      <c r="P107" s="7">
        <f t="shared" ca="1" si="21"/>
        <v>0.14669497545466037</v>
      </c>
      <c r="Q107" s="6">
        <f t="shared" ca="1" si="22"/>
        <v>0.85330502454533963</v>
      </c>
      <c r="R107" s="6">
        <f t="shared" ca="1" si="19"/>
        <v>2.0769240307144124E-2</v>
      </c>
      <c r="S107" s="6">
        <f t="shared" ca="1" si="20"/>
        <v>7.2946395274284277E-3</v>
      </c>
    </row>
    <row r="108" spans="16:19" s="6" customFormat="1" x14ac:dyDescent="0.3">
      <c r="P108" s="7">
        <f t="shared" ca="1" si="21"/>
        <v>0.13620575911779831</v>
      </c>
      <c r="Q108" s="6">
        <f t="shared" ca="1" si="22"/>
        <v>0.86379424088220169</v>
      </c>
      <c r="R108" s="6">
        <f t="shared" ca="1" si="19"/>
        <v>2.0866232676402197E-2</v>
      </c>
      <c r="S108" s="6">
        <f t="shared" ca="1" si="20"/>
        <v>7.3234890603731499E-3</v>
      </c>
    </row>
    <row r="109" spans="16:19" s="6" customFormat="1" x14ac:dyDescent="0.3">
      <c r="P109" s="7">
        <f t="shared" ca="1" si="21"/>
        <v>0.91709221324310042</v>
      </c>
      <c r="Q109" s="6">
        <f t="shared" ca="1" si="22"/>
        <v>8.2907786756899582E-2</v>
      </c>
      <c r="R109" s="6">
        <f t="shared" ca="1" si="19"/>
        <v>1.5578249554715795E-2</v>
      </c>
      <c r="S109" s="6">
        <f t="shared" ca="1" si="20"/>
        <v>5.1757395278171038E-3</v>
      </c>
    </row>
    <row r="110" spans="16:19" s="6" customFormat="1" x14ac:dyDescent="0.3">
      <c r="P110" s="7">
        <f t="shared" ca="1" si="21"/>
        <v>0.50378786862591762</v>
      </c>
      <c r="Q110" s="6">
        <f t="shared" ca="1" si="22"/>
        <v>0.49621213137408238</v>
      </c>
      <c r="R110" s="6">
        <f t="shared" ca="1" si="19"/>
        <v>1.7816530193891802E-2</v>
      </c>
      <c r="S110" s="6">
        <f t="shared" ca="1" si="20"/>
        <v>6.3124914951043993E-3</v>
      </c>
    </row>
    <row r="111" spans="16:19" s="6" customFormat="1" x14ac:dyDescent="0.3">
      <c r="P111" s="7">
        <f t="shared" ca="1" si="21"/>
        <v>0.12287609130315702</v>
      </c>
      <c r="Q111" s="6">
        <f t="shared" ca="1" si="22"/>
        <v>0.87712390869684298</v>
      </c>
      <c r="R111" s="6">
        <f t="shared" ca="1" si="19"/>
        <v>2.0990200409186453E-2</v>
      </c>
      <c r="S111" s="6">
        <f t="shared" ca="1" si="20"/>
        <v>7.3601509689858319E-3</v>
      </c>
    </row>
    <row r="112" spans="16:19" s="6" customFormat="1" x14ac:dyDescent="0.3">
      <c r="P112" s="7">
        <f t="shared" ca="1" si="21"/>
        <v>0.25097465544434261</v>
      </c>
      <c r="Q112" s="6">
        <f t="shared" ca="1" si="22"/>
        <v>0.74902534455565739</v>
      </c>
      <c r="R112" s="6">
        <f t="shared" ca="1" si="19"/>
        <v>1.9833328118598788E-2</v>
      </c>
      <c r="S112" s="6">
        <f t="shared" ca="1" si="20"/>
        <v>7.0078287718188864E-3</v>
      </c>
    </row>
    <row r="113" spans="16:19" s="6" customFormat="1" x14ac:dyDescent="0.3">
      <c r="P113" s="7">
        <f t="shared" ca="1" si="21"/>
        <v>0.23081281224888051</v>
      </c>
      <c r="Q113" s="6">
        <f t="shared" ca="1" si="22"/>
        <v>0.76918718775111949</v>
      </c>
      <c r="R113" s="6">
        <f t="shared" ca="1" si="19"/>
        <v>2.0010092777309658E-2</v>
      </c>
      <c r="S113" s="6">
        <f t="shared" ca="1" si="20"/>
        <v>7.0632818906042885E-3</v>
      </c>
    </row>
    <row r="114" spans="16:19" s="6" customFormat="1" x14ac:dyDescent="0.3">
      <c r="P114" s="7">
        <f t="shared" ca="1" si="21"/>
        <v>4.4529063923932855E-2</v>
      </c>
      <c r="Q114" s="6">
        <f t="shared" ca="1" si="22"/>
        <v>0.95547093607606715</v>
      </c>
      <c r="R114" s="6">
        <f t="shared" ca="1" si="19"/>
        <v>2.1734194534357845E-2</v>
      </c>
      <c r="S114" s="6">
        <f t="shared" ca="1" si="20"/>
        <v>7.5756365758137406E-3</v>
      </c>
    </row>
    <row r="115" spans="16:19" s="6" customFormat="1" x14ac:dyDescent="0.3">
      <c r="P115" s="7">
        <f t="shared" ca="1" si="21"/>
        <v>0.90681065289410401</v>
      </c>
      <c r="Q115" s="6">
        <f t="shared" ca="1" si="22"/>
        <v>9.3189347105895992E-2</v>
      </c>
      <c r="R115" s="6">
        <f t="shared" ca="1" si="19"/>
        <v>1.5614030465640057E-2</v>
      </c>
      <c r="S115" s="6">
        <f t="shared" ca="1" si="20"/>
        <v>5.2040179238846086E-3</v>
      </c>
    </row>
    <row r="116" spans="16:19" s="6" customFormat="1" x14ac:dyDescent="0.3">
      <c r="P116" s="7">
        <f t="shared" ca="1" si="21"/>
        <v>0.6187945113148785</v>
      </c>
      <c r="Q116" s="6">
        <f t="shared" ca="1" si="22"/>
        <v>0.3812054886851215</v>
      </c>
      <c r="R116" s="6">
        <f t="shared" ca="1" si="19"/>
        <v>1.7043335210891977E-2</v>
      </c>
      <c r="S116" s="6">
        <f t="shared" ca="1" si="20"/>
        <v>5.9961773091287505E-3</v>
      </c>
    </row>
    <row r="117" spans="16:19" s="6" customFormat="1" x14ac:dyDescent="0.3">
      <c r="P117" s="7">
        <f t="shared" ca="1" si="21"/>
        <v>0.91835307978192982</v>
      </c>
      <c r="Q117" s="6">
        <f t="shared" ca="1" si="22"/>
        <v>8.1646920218070185E-2</v>
      </c>
      <c r="R117" s="6">
        <f t="shared" ca="1" si="19"/>
        <v>1.5573939767235426E-2</v>
      </c>
      <c r="S117" s="6">
        <f t="shared" ca="1" si="20"/>
        <v>5.1722716414104699E-3</v>
      </c>
    </row>
    <row r="118" spans="16:19" s="6" customFormat="1" x14ac:dyDescent="0.3">
      <c r="P118" s="7">
        <f t="shared" ca="1" si="21"/>
        <v>0.49522941672532894</v>
      </c>
      <c r="Q118" s="6">
        <f t="shared" ca="1" si="22"/>
        <v>0.50477058327467106</v>
      </c>
      <c r="R118" s="6">
        <f t="shared" ca="1" si="19"/>
        <v>1.7878038433713998E-2</v>
      </c>
      <c r="S118" s="6">
        <f t="shared" ca="1" si="20"/>
        <v>6.3360306549550879E-3</v>
      </c>
    </row>
    <row r="119" spans="16:19" s="6" customFormat="1" x14ac:dyDescent="0.3">
      <c r="P119" s="7">
        <f t="shared" ca="1" si="21"/>
        <v>1.1685619814403747E-2</v>
      </c>
      <c r="Q119" s="6">
        <f t="shared" ca="1" si="22"/>
        <v>0.98831438018559625</v>
      </c>
      <c r="R119" s="6">
        <f t="shared" ca="1" si="19"/>
        <v>2.2053468394818906E-2</v>
      </c>
      <c r="S119" s="6">
        <f t="shared" ca="1" si="20"/>
        <v>7.6659691604822567E-3</v>
      </c>
    </row>
    <row r="120" spans="16:19" s="6" customFormat="1" x14ac:dyDescent="0.3">
      <c r="P120" s="7">
        <f t="shared" ca="1" si="21"/>
        <v>0.63467877148750496</v>
      </c>
      <c r="Q120" s="6">
        <f t="shared" ca="1" si="22"/>
        <v>0.36532122851249504</v>
      </c>
      <c r="R120" s="6">
        <f t="shared" ca="1" si="19"/>
        <v>1.6944779307174005E-2</v>
      </c>
      <c r="S120" s="6">
        <f t="shared" ca="1" si="20"/>
        <v>5.9524892515622103E-3</v>
      </c>
    </row>
    <row r="121" spans="16:19" s="6" customFormat="1" x14ac:dyDescent="0.3">
      <c r="P121" s="7">
        <f t="shared" ca="1" si="21"/>
        <v>0.73054231558417371</v>
      </c>
      <c r="Q121" s="6">
        <f t="shared" ca="1" si="22"/>
        <v>0.26945768441582629</v>
      </c>
      <c r="R121" s="6">
        <f t="shared" ca="1" si="19"/>
        <v>1.6396074420853002E-2</v>
      </c>
      <c r="S121" s="6">
        <f t="shared" ca="1" si="20"/>
        <v>5.688826229960163E-3</v>
      </c>
    </row>
    <row r="122" spans="16:19" s="6" customFormat="1" x14ac:dyDescent="0.3">
      <c r="P122" s="7">
        <f t="shared" ca="1" si="21"/>
        <v>4.2570623734472512E-3</v>
      </c>
      <c r="Q122" s="6">
        <f t="shared" ca="1" si="22"/>
        <v>0.99574293762655275</v>
      </c>
      <c r="R122" s="6">
        <f t="shared" ca="1" si="19"/>
        <v>2.2126255940607607E-2</v>
      </c>
      <c r="S122" s="6">
        <f t="shared" ca="1" si="20"/>
        <v>7.6864006594371866E-3</v>
      </c>
    </row>
    <row r="123" spans="16:19" s="6" customFormat="1" x14ac:dyDescent="0.3">
      <c r="P123" s="7">
        <f t="shared" ca="1" si="21"/>
        <v>0.10046370738556321</v>
      </c>
      <c r="Q123" s="6">
        <f t="shared" ca="1" si="22"/>
        <v>0.89953629261443679</v>
      </c>
      <c r="R123" s="6">
        <f t="shared" ca="1" si="19"/>
        <v>2.1200393857128946E-2</v>
      </c>
      <c r="S123" s="6">
        <f t="shared" ca="1" si="20"/>
        <v>7.4217939733281181E-3</v>
      </c>
    </row>
    <row r="124" spans="16:19" s="6" customFormat="1" x14ac:dyDescent="0.3">
      <c r="P124" s="7">
        <f t="shared" ca="1" si="21"/>
        <v>0.16611918042123064</v>
      </c>
      <c r="Q124" s="6">
        <f t="shared" ca="1" si="22"/>
        <v>0.83388081957876936</v>
      </c>
      <c r="R124" s="6">
        <f t="shared" ca="1" si="19"/>
        <v>2.0590952040109529E-2</v>
      </c>
      <c r="S124" s="6">
        <f t="shared" ca="1" si="20"/>
        <v>7.2412152082885163E-3</v>
      </c>
    </row>
    <row r="125" spans="16:19" s="6" customFormat="1" x14ac:dyDescent="0.3">
      <c r="P125" s="7">
        <f t="shared" ca="1" si="21"/>
        <v>0.20622001273938928</v>
      </c>
      <c r="Q125" s="6">
        <f t="shared" ca="1" si="22"/>
        <v>0.79377998726061072</v>
      </c>
      <c r="R125" s="6">
        <f t="shared" ca="1" si="19"/>
        <v>2.0228494385890167E-2</v>
      </c>
      <c r="S125" s="6">
        <f t="shared" ca="1" si="20"/>
        <v>7.1309219083965283E-3</v>
      </c>
    </row>
    <row r="126" spans="16:19" s="6" customFormat="1" x14ac:dyDescent="0.3">
      <c r="P126" s="7">
        <f t="shared" ca="1" si="21"/>
        <v>0.63968200864521907</v>
      </c>
      <c r="Q126" s="6">
        <f t="shared" ca="1" si="22"/>
        <v>0.36031799135478093</v>
      </c>
      <c r="R126" s="6">
        <f t="shared" ca="1" si="19"/>
        <v>1.6914171360131878E-2</v>
      </c>
      <c r="S126" s="6">
        <f t="shared" ca="1" si="20"/>
        <v>5.9387283517412705E-3</v>
      </c>
    </row>
    <row r="127" spans="16:19" s="6" customFormat="1" x14ac:dyDescent="0.3">
      <c r="P127" s="7">
        <f t="shared" ca="1" si="21"/>
        <v>0.67032712161750052</v>
      </c>
      <c r="Q127" s="6">
        <f t="shared" ca="1" si="22"/>
        <v>0.32967287838249948</v>
      </c>
      <c r="R127" s="6">
        <f t="shared" ca="1" si="19"/>
        <v>1.6731331368562093E-2</v>
      </c>
      <c r="S127" s="6">
        <f t="shared" ca="1" si="20"/>
        <v>5.8544420554255405E-3</v>
      </c>
    </row>
    <row r="128" spans="16:19" s="6" customFormat="1" x14ac:dyDescent="0.3">
      <c r="P128" s="7">
        <f t="shared" ca="1" si="21"/>
        <v>0.33758956829607156</v>
      </c>
      <c r="Q128" s="6">
        <f t="shared" ca="1" si="22"/>
        <v>0.66241043170392844</v>
      </c>
      <c r="R128" s="6">
        <f t="shared" ca="1" si="19"/>
        <v>1.9098790700944154E-2</v>
      </c>
      <c r="S128" s="6">
        <f t="shared" ca="1" si="20"/>
        <v>6.7696031788316707E-3</v>
      </c>
    </row>
    <row r="129" spans="16:19" s="6" customFormat="1" x14ac:dyDescent="0.3">
      <c r="P129" s="7">
        <f t="shared" ca="1" si="21"/>
        <v>0.61821005796887629</v>
      </c>
      <c r="Q129" s="6">
        <f t="shared" ca="1" si="22"/>
        <v>0.38178994203112371</v>
      </c>
      <c r="R129" s="6">
        <f t="shared" ca="1" si="19"/>
        <v>1.7047001302492908E-2</v>
      </c>
      <c r="S129" s="6">
        <f t="shared" ca="1" si="20"/>
        <v>5.9977847891843281E-3</v>
      </c>
    </row>
    <row r="130" spans="16:19" s="6" customFormat="1" x14ac:dyDescent="0.3">
      <c r="P130" s="7">
        <f t="shared" ca="1" si="21"/>
        <v>7.6763322710650783E-2</v>
      </c>
      <c r="Q130" s="6">
        <f t="shared" ca="1" si="22"/>
        <v>0.92323667728934922</v>
      </c>
      <c r="R130" s="6">
        <f t="shared" ca="1" si="19"/>
        <v>2.1424999007277887E-2</v>
      </c>
      <c r="S130" s="6">
        <f t="shared" ca="1" si="20"/>
        <v>7.4869794940117355E-3</v>
      </c>
    </row>
    <row r="131" spans="16:19" s="6" customFormat="1" x14ac:dyDescent="0.3">
      <c r="P131" s="7">
        <f t="shared" ca="1" si="21"/>
        <v>0.19220861468492778</v>
      </c>
      <c r="Q131" s="6">
        <f t="shared" ca="1" si="22"/>
        <v>0.80779138531507222</v>
      </c>
      <c r="R131" s="6">
        <f t="shared" ref="R131:R194" ca="1" si="23">SQRT((P131*L$22)^2+(Q131*M$22)^2+2*O$22*P131*Q131)</f>
        <v>2.0354261343825383E-2</v>
      </c>
      <c r="S131" s="6">
        <f t="shared" ca="1" si="20"/>
        <v>7.1694588473624303E-3</v>
      </c>
    </row>
    <row r="132" spans="16:19" s="6" customFormat="1" x14ac:dyDescent="0.3">
      <c r="P132" s="7">
        <f t="shared" ca="1" si="21"/>
        <v>8.8422689170648439E-2</v>
      </c>
      <c r="Q132" s="6">
        <f t="shared" ca="1" si="22"/>
        <v>0.91157731082935156</v>
      </c>
      <c r="R132" s="6">
        <f t="shared" ca="1" si="23"/>
        <v>2.1314209837124558E-2</v>
      </c>
      <c r="S132" s="6">
        <f t="shared" ca="1" si="20"/>
        <v>7.4549115810237853E-3</v>
      </c>
    </row>
    <row r="133" spans="16:19" s="6" customFormat="1" x14ac:dyDescent="0.3">
      <c r="P133" s="7">
        <f t="shared" ca="1" si="21"/>
        <v>0.32128103423026699</v>
      </c>
      <c r="Q133" s="6">
        <f t="shared" ca="1" si="22"/>
        <v>0.67871896576973301</v>
      </c>
      <c r="R133" s="6">
        <f t="shared" ca="1" si="23"/>
        <v>1.9233891980482715E-2</v>
      </c>
      <c r="S133" s="6">
        <f t="shared" ca="1" si="20"/>
        <v>6.8144581590038403E-3</v>
      </c>
    </row>
    <row r="134" spans="16:19" s="6" customFormat="1" x14ac:dyDescent="0.3">
      <c r="P134" s="7">
        <f t="shared" ca="1" si="21"/>
        <v>1.500905228239191E-2</v>
      </c>
      <c r="Q134" s="6">
        <f t="shared" ca="1" si="22"/>
        <v>0.98499094771760809</v>
      </c>
      <c r="R134" s="6">
        <f t="shared" ca="1" si="23"/>
        <v>2.2020971922327895E-2</v>
      </c>
      <c r="S134" s="6">
        <f t="shared" ca="1" si="20"/>
        <v>7.6568283942519107E-3</v>
      </c>
    </row>
    <row r="135" spans="16:19" s="6" customFormat="1" x14ac:dyDescent="0.3">
      <c r="P135" s="7">
        <f t="shared" ca="1" si="21"/>
        <v>0.7643208821240447</v>
      </c>
      <c r="Q135" s="6">
        <f t="shared" ca="1" si="22"/>
        <v>0.2356791178759553</v>
      </c>
      <c r="R135" s="6">
        <f t="shared" ca="1" si="23"/>
        <v>1.6222535210741032E-2</v>
      </c>
      <c r="S135" s="6">
        <f t="shared" ca="1" si="20"/>
        <v>5.5959216852428583E-3</v>
      </c>
    </row>
    <row r="136" spans="16:19" s="6" customFormat="1" x14ac:dyDescent="0.3">
      <c r="P136" s="7">
        <f t="shared" ca="1" si="21"/>
        <v>0.28583739222124893</v>
      </c>
      <c r="Q136" s="6">
        <f t="shared" ca="1" si="22"/>
        <v>0.71416260777875107</v>
      </c>
      <c r="R136" s="6">
        <f t="shared" ca="1" si="23"/>
        <v>1.9532711788588605E-2</v>
      </c>
      <c r="S136" s="6">
        <f t="shared" ca="1" si="20"/>
        <v>6.9119423260742266E-3</v>
      </c>
    </row>
    <row r="137" spans="16:19" s="6" customFormat="1" x14ac:dyDescent="0.3">
      <c r="P137" s="7">
        <f t="shared" ca="1" si="21"/>
        <v>0.36613523852043484</v>
      </c>
      <c r="Q137" s="6">
        <f t="shared" ca="1" si="22"/>
        <v>0.63386476147956516</v>
      </c>
      <c r="R137" s="6">
        <f t="shared" ca="1" si="23"/>
        <v>1.8866075063831825E-2</v>
      </c>
      <c r="S137" s="6">
        <f t="shared" ca="1" si="20"/>
        <v>6.69109118831501E-3</v>
      </c>
    </row>
    <row r="138" spans="16:19" s="6" customFormat="1" x14ac:dyDescent="0.3">
      <c r="P138" s="7">
        <f t="shared" ca="1" si="21"/>
        <v>0.84345730934023799</v>
      </c>
      <c r="Q138" s="6">
        <f t="shared" ca="1" si="22"/>
        <v>0.15654269065976201</v>
      </c>
      <c r="R138" s="6">
        <f t="shared" ca="1" si="23"/>
        <v>1.5859129162629861E-2</v>
      </c>
      <c r="S138" s="6">
        <f t="shared" ca="1" si="20"/>
        <v>5.3782649136804445E-3</v>
      </c>
    </row>
    <row r="139" spans="16:19" s="6" customFormat="1" x14ac:dyDescent="0.3">
      <c r="P139" s="7">
        <f t="shared" ca="1" si="21"/>
        <v>0.79692247859864729</v>
      </c>
      <c r="Q139" s="6">
        <f t="shared" ca="1" si="22"/>
        <v>0.20307752140135271</v>
      </c>
      <c r="R139" s="6">
        <f t="shared" ca="1" si="23"/>
        <v>1.6065350974736325E-2</v>
      </c>
      <c r="S139" s="6">
        <f t="shared" ca="1" si="20"/>
        <v>5.5062542781326405E-3</v>
      </c>
    </row>
    <row r="140" spans="16:19" s="6" customFormat="1" x14ac:dyDescent="0.3">
      <c r="P140" s="7">
        <f t="shared" ca="1" si="21"/>
        <v>0.97717883158266172</v>
      </c>
      <c r="Q140" s="6">
        <f t="shared" ca="1" si="22"/>
        <v>2.2821168417338278E-2</v>
      </c>
      <c r="R140" s="6">
        <f t="shared" ca="1" si="23"/>
        <v>1.5392134979427742E-2</v>
      </c>
      <c r="S140" s="6">
        <f t="shared" ca="1" si="20"/>
        <v>5.0104773366625392E-3</v>
      </c>
    </row>
    <row r="141" spans="16:19" s="6" customFormat="1" x14ac:dyDescent="0.3">
      <c r="P141" s="7">
        <f t="shared" ca="1" si="21"/>
        <v>0.25824884754000399</v>
      </c>
      <c r="Q141" s="6">
        <f t="shared" ca="1" si="22"/>
        <v>0.74175115245999601</v>
      </c>
      <c r="R141" s="6">
        <f t="shared" ca="1" si="23"/>
        <v>1.9770070697202782E-2</v>
      </c>
      <c r="S141" s="6">
        <f t="shared" ca="1" si="20"/>
        <v>6.9878218391968058E-3</v>
      </c>
    </row>
    <row r="142" spans="16:19" s="6" customFormat="1" x14ac:dyDescent="0.3">
      <c r="P142" s="7">
        <f t="shared" ca="1" si="21"/>
        <v>0.79050958510601654</v>
      </c>
      <c r="Q142" s="6">
        <f t="shared" ca="1" si="22"/>
        <v>0.20949041489398346</v>
      </c>
      <c r="R142" s="6">
        <f t="shared" ca="1" si="23"/>
        <v>1.6095455255513362E-2</v>
      </c>
      <c r="S142" s="6">
        <f t="shared" ca="1" si="20"/>
        <v>5.5238922957066006E-3</v>
      </c>
    </row>
    <row r="143" spans="16:19" s="6" customFormat="1" x14ac:dyDescent="0.3">
      <c r="P143" s="7">
        <f t="shared" ca="1" si="21"/>
        <v>0.66252601366420394</v>
      </c>
      <c r="Q143" s="6">
        <f t="shared" ca="1" si="22"/>
        <v>0.33747398633579606</v>
      </c>
      <c r="R143" s="6">
        <f t="shared" ca="1" si="23"/>
        <v>1.6777111951966715E-2</v>
      </c>
      <c r="S143" s="6">
        <f t="shared" ca="1" si="20"/>
        <v>5.8758982170372563E-3</v>
      </c>
    </row>
    <row r="144" spans="16:19" s="6" customFormat="1" x14ac:dyDescent="0.3">
      <c r="P144" s="7">
        <f t="shared" ca="1" si="21"/>
        <v>0.88171049864117168</v>
      </c>
      <c r="Q144" s="6">
        <f t="shared" ca="1" si="22"/>
        <v>0.11828950135882832</v>
      </c>
      <c r="R144" s="6">
        <f t="shared" ca="1" si="23"/>
        <v>1.5706111750680627E-2</v>
      </c>
      <c r="S144" s="6">
        <f t="shared" ca="1" si="20"/>
        <v>5.2730533697923042E-3</v>
      </c>
    </row>
    <row r="145" spans="16:19" s="6" customFormat="1" x14ac:dyDescent="0.3">
      <c r="P145" s="7">
        <f t="shared" ca="1" si="21"/>
        <v>0.92861883011729529</v>
      </c>
      <c r="Q145" s="6">
        <f t="shared" ca="1" si="22"/>
        <v>7.1381169882704709E-2</v>
      </c>
      <c r="R145" s="6">
        <f t="shared" ca="1" si="23"/>
        <v>1.5539488793499999E-2</v>
      </c>
      <c r="S145" s="6">
        <f t="shared" ca="1" si="20"/>
        <v>5.1440367291928982E-3</v>
      </c>
    </row>
    <row r="146" spans="16:19" s="6" customFormat="1" x14ac:dyDescent="0.3">
      <c r="P146" s="7">
        <f t="shared" ca="1" si="21"/>
        <v>0.7338341910346371</v>
      </c>
      <c r="Q146" s="6">
        <f t="shared" ca="1" si="22"/>
        <v>0.2661658089653629</v>
      </c>
      <c r="R146" s="6">
        <f t="shared" ca="1" si="23"/>
        <v>1.6378693499559102E-2</v>
      </c>
      <c r="S146" s="6">
        <f t="shared" ca="1" si="20"/>
        <v>5.6797722581277479E-3</v>
      </c>
    </row>
    <row r="147" spans="16:19" s="6" customFormat="1" x14ac:dyDescent="0.3">
      <c r="P147" s="7">
        <f t="shared" ca="1" si="21"/>
        <v>0.89110716397922851</v>
      </c>
      <c r="Q147" s="6">
        <f t="shared" ca="1" si="22"/>
        <v>0.10889283602077149</v>
      </c>
      <c r="R147" s="6">
        <f t="shared" ca="1" si="23"/>
        <v>1.5670858350382497E-2</v>
      </c>
      <c r="S147" s="6">
        <f t="shared" ca="1" si="20"/>
        <v>5.2472087883159825E-3</v>
      </c>
    </row>
    <row r="148" spans="16:19" s="6" customFormat="1" x14ac:dyDescent="0.3">
      <c r="P148" s="7">
        <f t="shared" ca="1" si="21"/>
        <v>0.92729735613445441</v>
      </c>
      <c r="Q148" s="6">
        <f t="shared" ca="1" si="22"/>
        <v>7.2702643865545591E-2</v>
      </c>
      <c r="R148" s="6">
        <f t="shared" ca="1" si="23"/>
        <v>1.5543859622658958E-2</v>
      </c>
      <c r="S148" s="6">
        <f t="shared" ca="1" si="20"/>
        <v>5.1476713102692351E-3</v>
      </c>
    </row>
    <row r="149" spans="16:19" s="6" customFormat="1" x14ac:dyDescent="0.3">
      <c r="P149" s="7">
        <f t="shared" ca="1" si="21"/>
        <v>0.37668058582377895</v>
      </c>
      <c r="Q149" s="6">
        <f t="shared" ca="1" si="22"/>
        <v>0.62331941417622105</v>
      </c>
      <c r="R149" s="6">
        <f t="shared" ca="1" si="23"/>
        <v>1.8781344603849798E-2</v>
      </c>
      <c r="S149" s="6">
        <f t="shared" ca="1" si="20"/>
        <v>6.6620872728011104E-3</v>
      </c>
    </row>
    <row r="150" spans="16:19" s="6" customFormat="1" x14ac:dyDescent="0.3">
      <c r="P150" s="7">
        <f t="shared" ca="1" si="21"/>
        <v>0.34432556046499685</v>
      </c>
      <c r="Q150" s="6">
        <f t="shared" ca="1" si="22"/>
        <v>0.65567443953500315</v>
      </c>
      <c r="R150" s="6">
        <f t="shared" ca="1" si="23"/>
        <v>1.904344062054179E-2</v>
      </c>
      <c r="S150" s="6">
        <f t="shared" ref="S150:S213" ca="1" si="24">(P150*F$22+Q150*G$22)</f>
        <v>6.751076510894633E-3</v>
      </c>
    </row>
    <row r="151" spans="16:19" s="6" customFormat="1" x14ac:dyDescent="0.3">
      <c r="P151" s="7">
        <f t="shared" ca="1" si="21"/>
        <v>1.4705286991492428E-2</v>
      </c>
      <c r="Q151" s="6">
        <f t="shared" ca="1" si="22"/>
        <v>0.98529471300850757</v>
      </c>
      <c r="R151" s="6">
        <f t="shared" ca="1" si="23"/>
        <v>2.2023940390002529E-2</v>
      </c>
      <c r="S151" s="6">
        <f t="shared" ca="1" si="24"/>
        <v>7.6576638700859316E-3</v>
      </c>
    </row>
    <row r="152" spans="16:19" s="6" customFormat="1" x14ac:dyDescent="0.3">
      <c r="P152" s="7">
        <f t="shared" ref="P152:P215" ca="1" si="25">RAND()</f>
        <v>0.4331617315442583</v>
      </c>
      <c r="Q152" s="6">
        <f t="shared" ref="Q152:Q215" ca="1" si="26">1-P152</f>
        <v>0.5668382684557417</v>
      </c>
      <c r="R152" s="6">
        <f t="shared" ca="1" si="23"/>
        <v>1.8339382349436498E-2</v>
      </c>
      <c r="S152" s="6">
        <f t="shared" ca="1" si="24"/>
        <v>6.5067415709022733E-3</v>
      </c>
    </row>
    <row r="153" spans="16:19" s="6" customFormat="1" x14ac:dyDescent="0.3">
      <c r="P153" s="7">
        <f t="shared" ca="1" si="25"/>
        <v>0.29280654119688954</v>
      </c>
      <c r="Q153" s="6">
        <f t="shared" ca="1" si="26"/>
        <v>0.70719345880311046</v>
      </c>
      <c r="R153" s="6">
        <f t="shared" ca="1" si="23"/>
        <v>1.9473404105394151E-2</v>
      </c>
      <c r="S153" s="6">
        <f t="shared" ca="1" si="24"/>
        <v>6.8927743838264497E-3</v>
      </c>
    </row>
    <row r="154" spans="16:19" s="6" customFormat="1" x14ac:dyDescent="0.3">
      <c r="P154" s="7">
        <f t="shared" ca="1" si="25"/>
        <v>0.34350742039344362</v>
      </c>
      <c r="Q154" s="6">
        <f t="shared" ca="1" si="26"/>
        <v>0.65649257960655638</v>
      </c>
      <c r="R154" s="6">
        <f t="shared" ca="1" si="23"/>
        <v>1.9050149113709496E-2</v>
      </c>
      <c r="S154" s="6">
        <f t="shared" ca="1" si="24"/>
        <v>6.7533267227493296E-3</v>
      </c>
    </row>
    <row r="155" spans="16:19" s="6" customFormat="1" x14ac:dyDescent="0.3">
      <c r="P155" s="7">
        <f t="shared" ca="1" si="25"/>
        <v>0.86638753059064344</v>
      </c>
      <c r="Q155" s="6">
        <f t="shared" ca="1" si="26"/>
        <v>0.13361246940935656</v>
      </c>
      <c r="R155" s="6">
        <f t="shared" ca="1" si="23"/>
        <v>1.5765584876344177E-2</v>
      </c>
      <c r="S155" s="6">
        <f t="shared" ca="1" si="24"/>
        <v>5.3151976499165596E-3</v>
      </c>
    </row>
    <row r="156" spans="16:19" s="6" customFormat="1" x14ac:dyDescent="0.3">
      <c r="P156" s="7">
        <f t="shared" ca="1" si="25"/>
        <v>0.7189415541664006</v>
      </c>
      <c r="Q156" s="6">
        <f t="shared" ca="1" si="26"/>
        <v>0.2810584458335994</v>
      </c>
      <c r="R156" s="6">
        <f t="shared" ca="1" si="23"/>
        <v>1.6458121073449704E-2</v>
      </c>
      <c r="S156" s="6">
        <f t="shared" ca="1" si="24"/>
        <v>5.720732955682822E-3</v>
      </c>
    </row>
    <row r="157" spans="16:19" s="6" customFormat="1" x14ac:dyDescent="0.3">
      <c r="P157" s="7">
        <f t="shared" ca="1" si="25"/>
        <v>0.56611395548272525</v>
      </c>
      <c r="Q157" s="6">
        <f t="shared" ca="1" si="26"/>
        <v>0.43388604451727475</v>
      </c>
      <c r="R157" s="6">
        <f t="shared" ca="1" si="23"/>
        <v>1.7384841446607142E-2</v>
      </c>
      <c r="S157" s="6">
        <f t="shared" ca="1" si="24"/>
        <v>6.1410698713771725E-3</v>
      </c>
    </row>
    <row r="158" spans="16:19" s="6" customFormat="1" x14ac:dyDescent="0.3">
      <c r="P158" s="7">
        <f t="shared" ca="1" si="25"/>
        <v>0.39949153050380715</v>
      </c>
      <c r="Q158" s="6">
        <f t="shared" ca="1" si="26"/>
        <v>0.60050846949619285</v>
      </c>
      <c r="R158" s="6">
        <f t="shared" ca="1" si="23"/>
        <v>1.8600410615012351E-2</v>
      </c>
      <c r="S158" s="6">
        <f t="shared" ca="1" si="24"/>
        <v>6.5993480672291941E-3</v>
      </c>
    </row>
    <row r="159" spans="16:19" s="6" customFormat="1" x14ac:dyDescent="0.3">
      <c r="P159" s="7">
        <f t="shared" ca="1" si="25"/>
        <v>0.50133504859418143</v>
      </c>
      <c r="Q159" s="6">
        <f t="shared" ca="1" si="26"/>
        <v>0.49866495140581857</v>
      </c>
      <c r="R159" s="6">
        <f t="shared" ca="1" si="23"/>
        <v>1.7834104588259354E-2</v>
      </c>
      <c r="S159" s="6">
        <f t="shared" ca="1" si="24"/>
        <v>6.3192377295265426E-3</v>
      </c>
    </row>
    <row r="160" spans="16:19" s="6" customFormat="1" x14ac:dyDescent="0.3">
      <c r="P160" s="7">
        <f t="shared" ca="1" si="25"/>
        <v>0.99162482830315823</v>
      </c>
      <c r="Q160" s="6">
        <f t="shared" ca="1" si="26"/>
        <v>8.3751716968417655E-3</v>
      </c>
      <c r="R160" s="6">
        <f t="shared" ca="1" si="23"/>
        <v>1.5353344379457633E-2</v>
      </c>
      <c r="S160" s="6">
        <f t="shared" ca="1" si="24"/>
        <v>4.9707450778432895E-3</v>
      </c>
    </row>
    <row r="161" spans="16:19" s="6" customFormat="1" x14ac:dyDescent="0.3">
      <c r="P161" s="7">
        <f t="shared" ca="1" si="25"/>
        <v>0.67098799117655084</v>
      </c>
      <c r="Q161" s="6">
        <f t="shared" ca="1" si="26"/>
        <v>0.32901200882344916</v>
      </c>
      <c r="R161" s="6">
        <f t="shared" ca="1" si="23"/>
        <v>1.6727477304340974E-2</v>
      </c>
      <c r="S161" s="6">
        <f t="shared" ca="1" si="24"/>
        <v>5.8526244002734609E-3</v>
      </c>
    </row>
    <row r="162" spans="16:19" s="6" customFormat="1" x14ac:dyDescent="0.3">
      <c r="P162" s="7">
        <f t="shared" ca="1" si="25"/>
        <v>2.9899913528078748E-2</v>
      </c>
      <c r="Q162" s="6">
        <f t="shared" ca="1" si="26"/>
        <v>0.97010008647192125</v>
      </c>
      <c r="R162" s="6">
        <f t="shared" ca="1" si="23"/>
        <v>2.1875888707665263E-2</v>
      </c>
      <c r="S162" s="6">
        <f t="shared" ca="1" si="24"/>
        <v>7.6158725803677982E-3</v>
      </c>
    </row>
    <row r="163" spans="16:19" s="6" customFormat="1" x14ac:dyDescent="0.3">
      <c r="P163" s="7">
        <f t="shared" ca="1" si="25"/>
        <v>0.53840024101527684</v>
      </c>
      <c r="Q163" s="6">
        <f t="shared" ca="1" si="26"/>
        <v>0.46159975898472316</v>
      </c>
      <c r="R163" s="6">
        <f t="shared" ca="1" si="23"/>
        <v>1.7573208339232999E-2</v>
      </c>
      <c r="S163" s="6">
        <f t="shared" ca="1" si="24"/>
        <v>6.2172936513882199E-3</v>
      </c>
    </row>
    <row r="164" spans="16:19" s="6" customFormat="1" x14ac:dyDescent="0.3">
      <c r="P164" s="7">
        <f t="shared" ca="1" si="25"/>
        <v>0.45635323022289154</v>
      </c>
      <c r="Q164" s="6">
        <f t="shared" ca="1" si="26"/>
        <v>0.54364676977710846</v>
      </c>
      <c r="R164" s="6">
        <f t="shared" ca="1" si="23"/>
        <v>1.816392106874808E-2</v>
      </c>
      <c r="S164" s="6">
        <f t="shared" ca="1" si="24"/>
        <v>6.4429556898907983E-3</v>
      </c>
    </row>
    <row r="165" spans="16:19" s="6" customFormat="1" x14ac:dyDescent="0.3">
      <c r="P165" s="7">
        <f t="shared" ca="1" si="25"/>
        <v>0.84727242079130649</v>
      </c>
      <c r="Q165" s="6">
        <f t="shared" ca="1" si="26"/>
        <v>0.15272757920869351</v>
      </c>
      <c r="R165" s="6">
        <f t="shared" ca="1" si="23"/>
        <v>1.5843190774279852E-2</v>
      </c>
      <c r="S165" s="6">
        <f t="shared" ca="1" si="24"/>
        <v>5.3677718339344782E-3</v>
      </c>
    </row>
    <row r="166" spans="16:19" s="6" customFormat="1" x14ac:dyDescent="0.3">
      <c r="P166" s="7">
        <f t="shared" ca="1" si="25"/>
        <v>0.98167048179695959</v>
      </c>
      <c r="Q166" s="6">
        <f t="shared" ca="1" si="26"/>
        <v>1.8329518203040407E-2</v>
      </c>
      <c r="R166" s="6">
        <f t="shared" ca="1" si="23"/>
        <v>1.5379823656670233E-2</v>
      </c>
      <c r="S166" s="6">
        <f t="shared" ca="1" si="24"/>
        <v>4.9981235051967735E-3</v>
      </c>
    </row>
    <row r="167" spans="16:19" s="6" customFormat="1" x14ac:dyDescent="0.3">
      <c r="P167" s="7">
        <f t="shared" ca="1" si="25"/>
        <v>0.27985150218207122</v>
      </c>
      <c r="Q167" s="6">
        <f t="shared" ca="1" si="26"/>
        <v>0.72014849781792878</v>
      </c>
      <c r="R167" s="6">
        <f t="shared" ca="1" si="23"/>
        <v>1.9583863700349622E-2</v>
      </c>
      <c r="S167" s="6">
        <f t="shared" ca="1" si="24"/>
        <v>6.9284059136619719E-3</v>
      </c>
    </row>
    <row r="168" spans="16:19" s="6" customFormat="1" x14ac:dyDescent="0.3">
      <c r="P168" s="7">
        <f t="shared" ca="1" si="25"/>
        <v>0.67953605306027021</v>
      </c>
      <c r="Q168" s="6">
        <f t="shared" ca="1" si="26"/>
        <v>0.32046394693972979</v>
      </c>
      <c r="R168" s="6">
        <f t="shared" ca="1" si="23"/>
        <v>1.667796975194525E-2</v>
      </c>
      <c r="S168" s="6">
        <f t="shared" ca="1" si="24"/>
        <v>5.8291138171175736E-3</v>
      </c>
    </row>
    <row r="169" spans="16:19" s="6" customFormat="1" x14ac:dyDescent="0.3">
      <c r="P169" s="7">
        <f t="shared" ca="1" si="25"/>
        <v>0.53253689866348575</v>
      </c>
      <c r="Q169" s="6">
        <f t="shared" ca="1" si="26"/>
        <v>0.46746310133651425</v>
      </c>
      <c r="R169" s="6">
        <f t="shared" ca="1" si="23"/>
        <v>1.761380518993198E-2</v>
      </c>
      <c r="S169" s="6">
        <f t="shared" ca="1" si="24"/>
        <v>6.2334201839061663E-3</v>
      </c>
    </row>
    <row r="170" spans="16:19" s="6" customFormat="1" x14ac:dyDescent="0.3">
      <c r="P170" s="7">
        <f t="shared" ca="1" si="25"/>
        <v>0.24553308228936077</v>
      </c>
      <c r="Q170" s="6">
        <f t="shared" ca="1" si="26"/>
        <v>0.75446691771063923</v>
      </c>
      <c r="R170" s="6">
        <f t="shared" ca="1" si="23"/>
        <v>1.9880829405043113E-2</v>
      </c>
      <c r="S170" s="6">
        <f t="shared" ca="1" si="24"/>
        <v>7.0227952706462642E-3</v>
      </c>
    </row>
    <row r="171" spans="16:19" s="6" customFormat="1" x14ac:dyDescent="0.3">
      <c r="P171" s="7">
        <f t="shared" ca="1" si="25"/>
        <v>0.83366040235903582</v>
      </c>
      <c r="Q171" s="6">
        <f t="shared" ca="1" si="26"/>
        <v>0.16633959764096418</v>
      </c>
      <c r="R171" s="6">
        <f t="shared" ca="1" si="23"/>
        <v>1.590073678419119E-2</v>
      </c>
      <c r="S171" s="6">
        <f t="shared" ca="1" si="24"/>
        <v>5.4052103194794747E-3</v>
      </c>
    </row>
    <row r="172" spans="16:19" s="6" customFormat="1" x14ac:dyDescent="0.3">
      <c r="P172" s="7">
        <f t="shared" ca="1" si="25"/>
        <v>3.7407982825771957E-2</v>
      </c>
      <c r="Q172" s="6">
        <f t="shared" ca="1" si="26"/>
        <v>0.96259201717422804</v>
      </c>
      <c r="R172" s="6">
        <f t="shared" ca="1" si="23"/>
        <v>2.1803062558113609E-2</v>
      </c>
      <c r="S172" s="6">
        <f t="shared" ca="1" si="24"/>
        <v>7.5952223920602267E-3</v>
      </c>
    </row>
    <row r="173" spans="16:19" s="6" customFormat="1" x14ac:dyDescent="0.3">
      <c r="P173" s="7">
        <f t="shared" ca="1" si="25"/>
        <v>0.78571090895646523</v>
      </c>
      <c r="Q173" s="6">
        <f t="shared" ca="1" si="26"/>
        <v>0.21428909104353477</v>
      </c>
      <c r="R173" s="6">
        <f t="shared" ca="1" si="23"/>
        <v>1.6118244476753495E-2</v>
      </c>
      <c r="S173" s="6">
        <f t="shared" ca="1" si="24"/>
        <v>5.5370905710802349E-3</v>
      </c>
    </row>
    <row r="174" spans="16:19" s="6" customFormat="1" x14ac:dyDescent="0.3">
      <c r="P174" s="7">
        <f t="shared" ca="1" si="25"/>
        <v>0.82198693821301416</v>
      </c>
      <c r="Q174" s="6">
        <f t="shared" ca="1" si="26"/>
        <v>0.17801306178698584</v>
      </c>
      <c r="R174" s="6">
        <f t="shared" ca="1" si="23"/>
        <v>1.5951581849087296E-2</v>
      </c>
      <c r="S174" s="6">
        <f t="shared" ca="1" si="24"/>
        <v>5.437317006732759E-3</v>
      </c>
    </row>
    <row r="175" spans="16:19" s="6" customFormat="1" x14ac:dyDescent="0.3">
      <c r="P175" s="7">
        <f t="shared" ca="1" si="25"/>
        <v>0.17694687890206917</v>
      </c>
      <c r="Q175" s="6">
        <f t="shared" ca="1" si="26"/>
        <v>0.82305312109793083</v>
      </c>
      <c r="R175" s="6">
        <f t="shared" ca="1" si="23"/>
        <v>2.049232866084523E-2</v>
      </c>
      <c r="S175" s="6">
        <f t="shared" ca="1" si="24"/>
        <v>7.2114347143024515E-3</v>
      </c>
    </row>
    <row r="176" spans="16:19" s="6" customFormat="1" x14ac:dyDescent="0.3">
      <c r="P176" s="7">
        <f t="shared" ca="1" si="25"/>
        <v>0.97546445649874147</v>
      </c>
      <c r="Q176" s="6">
        <f t="shared" ca="1" si="26"/>
        <v>2.4535543501258528E-2</v>
      </c>
      <c r="R176" s="6">
        <f t="shared" ca="1" si="23"/>
        <v>1.5396893356581814E-2</v>
      </c>
      <c r="S176" s="6">
        <f t="shared" ca="1" si="24"/>
        <v>5.0151925526400526E-3</v>
      </c>
    </row>
    <row r="177" spans="16:19" s="6" customFormat="1" x14ac:dyDescent="0.3">
      <c r="P177" s="7">
        <f t="shared" ca="1" si="25"/>
        <v>0.29645448649317752</v>
      </c>
      <c r="Q177" s="6">
        <f t="shared" ca="1" si="26"/>
        <v>0.70354551350682248</v>
      </c>
      <c r="R177" s="6">
        <f t="shared" ca="1" si="23"/>
        <v>1.9442466521073662E-2</v>
      </c>
      <c r="S177" s="6">
        <f t="shared" ca="1" si="24"/>
        <v>6.8827410777503846E-3</v>
      </c>
    </row>
    <row r="178" spans="16:19" s="6" customFormat="1" x14ac:dyDescent="0.3">
      <c r="P178" s="7">
        <f t="shared" ca="1" si="25"/>
        <v>0.66939051887236212</v>
      </c>
      <c r="Q178" s="6">
        <f t="shared" ca="1" si="26"/>
        <v>0.33060948112763788</v>
      </c>
      <c r="R178" s="6">
        <f t="shared" ca="1" si="23"/>
        <v>1.673679995402776E-2</v>
      </c>
      <c r="S178" s="6">
        <f t="shared" ca="1" si="24"/>
        <v>5.8570180869310625E-3</v>
      </c>
    </row>
    <row r="179" spans="16:19" s="6" customFormat="1" x14ac:dyDescent="0.3">
      <c r="P179" s="7">
        <f t="shared" ca="1" si="25"/>
        <v>0.85137347318878698</v>
      </c>
      <c r="Q179" s="6">
        <f t="shared" ca="1" si="26"/>
        <v>0.14862652681121302</v>
      </c>
      <c r="R179" s="6">
        <f t="shared" ca="1" si="23"/>
        <v>1.5826223906611727E-2</v>
      </c>
      <c r="S179" s="6">
        <f t="shared" ca="1" si="24"/>
        <v>5.356492302418539E-3</v>
      </c>
    </row>
    <row r="180" spans="16:19" s="6" customFormat="1" x14ac:dyDescent="0.3">
      <c r="P180" s="7">
        <f t="shared" ca="1" si="25"/>
        <v>0.68671652118265136</v>
      </c>
      <c r="Q180" s="6">
        <f t="shared" ca="1" si="26"/>
        <v>0.31328347881734864</v>
      </c>
      <c r="R180" s="6">
        <f t="shared" ca="1" si="23"/>
        <v>1.6636877903364763E-2</v>
      </c>
      <c r="S180" s="6">
        <f t="shared" ca="1" si="24"/>
        <v>5.8093646628430869E-3</v>
      </c>
    </row>
    <row r="181" spans="16:19" s="6" customFormat="1" x14ac:dyDescent="0.3">
      <c r="P181" s="7">
        <f t="shared" ca="1" si="25"/>
        <v>0.18453239328859861</v>
      </c>
      <c r="Q181" s="6">
        <f t="shared" ca="1" si="26"/>
        <v>0.81546760671140139</v>
      </c>
      <c r="R181" s="6">
        <f t="shared" ca="1" si="23"/>
        <v>2.0423566238354909E-2</v>
      </c>
      <c r="S181" s="6">
        <f t="shared" ca="1" si="24"/>
        <v>7.1905715210791614E-3</v>
      </c>
    </row>
    <row r="182" spans="16:19" s="6" customFormat="1" x14ac:dyDescent="0.3">
      <c r="P182" s="7">
        <f t="shared" ca="1" si="25"/>
        <v>7.7048218330787788E-2</v>
      </c>
      <c r="Q182" s="6">
        <f t="shared" ca="1" si="26"/>
        <v>0.92295178166921221</v>
      </c>
      <c r="R182" s="6">
        <f t="shared" ca="1" si="23"/>
        <v>2.1422285144191699E-2</v>
      </c>
      <c r="S182" s="6">
        <f t="shared" ca="1" si="24"/>
        <v>7.4861959173063847E-3</v>
      </c>
    </row>
    <row r="183" spans="16:19" s="6" customFormat="1" x14ac:dyDescent="0.3">
      <c r="P183" s="7">
        <f t="shared" ca="1" si="25"/>
        <v>0.52351507092984806</v>
      </c>
      <c r="Q183" s="6">
        <f t="shared" ca="1" si="26"/>
        <v>0.47648492907015194</v>
      </c>
      <c r="R183" s="6">
        <f t="shared" ca="1" si="23"/>
        <v>1.767677022864949E-2</v>
      </c>
      <c r="S183" s="6">
        <f t="shared" ca="1" si="24"/>
        <v>6.258233812309319E-3</v>
      </c>
    </row>
    <row r="184" spans="16:19" s="6" customFormat="1" x14ac:dyDescent="0.3">
      <c r="P184" s="7">
        <f t="shared" ca="1" si="25"/>
        <v>0.91045666462354669</v>
      </c>
      <c r="Q184" s="6">
        <f t="shared" ca="1" si="26"/>
        <v>8.9543335376453315E-2</v>
      </c>
      <c r="R184" s="6">
        <f t="shared" ca="1" si="23"/>
        <v>1.5601212257339431E-2</v>
      </c>
      <c r="S184" s="6">
        <f t="shared" ca="1" si="24"/>
        <v>5.1939899358893812E-3</v>
      </c>
    </row>
    <row r="185" spans="16:19" s="6" customFormat="1" x14ac:dyDescent="0.3">
      <c r="P185" s="7">
        <f t="shared" ca="1" si="25"/>
        <v>1.6653549040780646E-2</v>
      </c>
      <c r="Q185" s="6">
        <f t="shared" ca="1" si="26"/>
        <v>0.98334645095921935</v>
      </c>
      <c r="R185" s="6">
        <f t="shared" ca="1" si="23"/>
        <v>2.200490761109361E-2</v>
      </c>
      <c r="S185" s="6">
        <f t="shared" ca="1" si="24"/>
        <v>7.6523053715698546E-3</v>
      </c>
    </row>
    <row r="186" spans="16:19" s="6" customFormat="1" x14ac:dyDescent="0.3">
      <c r="P186" s="7">
        <f t="shared" ca="1" si="25"/>
        <v>0.18274367154695081</v>
      </c>
      <c r="Q186" s="6">
        <f t="shared" ca="1" si="26"/>
        <v>0.81725632845304919</v>
      </c>
      <c r="R186" s="6">
        <f t="shared" ca="1" si="23"/>
        <v>2.0439756279202637E-2</v>
      </c>
      <c r="S186" s="6">
        <f t="shared" ca="1" si="24"/>
        <v>7.1954912200497372E-3</v>
      </c>
    </row>
    <row r="187" spans="16:19" s="6" customFormat="1" x14ac:dyDescent="0.3">
      <c r="P187" s="7">
        <f t="shared" ca="1" si="25"/>
        <v>0.16466134593052795</v>
      </c>
      <c r="Q187" s="6">
        <f t="shared" ca="1" si="26"/>
        <v>0.83533865406947205</v>
      </c>
      <c r="R187" s="6">
        <f t="shared" ca="1" si="23"/>
        <v>2.0604272540418175E-2</v>
      </c>
      <c r="S187" s="6">
        <f t="shared" ca="1" si="24"/>
        <v>7.2452248352059892E-3</v>
      </c>
    </row>
    <row r="188" spans="16:19" s="6" customFormat="1" x14ac:dyDescent="0.3">
      <c r="P188" s="7">
        <f t="shared" ca="1" si="25"/>
        <v>0.26003537521192877</v>
      </c>
      <c r="Q188" s="6">
        <f t="shared" ca="1" si="26"/>
        <v>0.73996462478807123</v>
      </c>
      <c r="R188" s="6">
        <f t="shared" ca="1" si="23"/>
        <v>1.9754577310999277E-2</v>
      </c>
      <c r="S188" s="6">
        <f t="shared" ca="1" si="24"/>
        <v>6.982908174793993E-3</v>
      </c>
    </row>
    <row r="189" spans="16:19" s="6" customFormat="1" x14ac:dyDescent="0.3">
      <c r="P189" s="7">
        <f t="shared" ca="1" si="25"/>
        <v>0.58272331917322828</v>
      </c>
      <c r="Q189" s="6">
        <f t="shared" ca="1" si="26"/>
        <v>0.41727668082677172</v>
      </c>
      <c r="R189" s="6">
        <f t="shared" ca="1" si="23"/>
        <v>1.7274787880736109E-2</v>
      </c>
      <c r="S189" s="6">
        <f t="shared" ca="1" si="24"/>
        <v>6.0953874896251554E-3</v>
      </c>
    </row>
    <row r="190" spans="16:19" s="6" customFormat="1" x14ac:dyDescent="0.3">
      <c r="P190" s="7">
        <f t="shared" ca="1" si="25"/>
        <v>0.40842529950018691</v>
      </c>
      <c r="Q190" s="6">
        <f t="shared" ca="1" si="26"/>
        <v>0.59157470049981309</v>
      </c>
      <c r="R190" s="6">
        <f t="shared" ca="1" si="23"/>
        <v>1.8530440253046582E-2</v>
      </c>
      <c r="S190" s="6">
        <f t="shared" ca="1" si="24"/>
        <v>6.5747766355126191E-3</v>
      </c>
    </row>
    <row r="191" spans="16:19" s="6" customFormat="1" x14ac:dyDescent="0.3">
      <c r="P191" s="7">
        <f t="shared" ca="1" si="25"/>
        <v>0.70670718091950568</v>
      </c>
      <c r="Q191" s="6">
        <f t="shared" ca="1" si="26"/>
        <v>0.29329281908049432</v>
      </c>
      <c r="R191" s="6">
        <f t="shared" ca="1" si="23"/>
        <v>1.6524887086990583E-2</v>
      </c>
      <c r="S191" s="6">
        <f t="shared" ca="1" si="24"/>
        <v>5.7543823669170945E-3</v>
      </c>
    </row>
    <row r="192" spans="16:19" s="6" customFormat="1" x14ac:dyDescent="0.3">
      <c r="P192" s="7">
        <f t="shared" ca="1" si="25"/>
        <v>0.39807366791902521</v>
      </c>
      <c r="Q192" s="6">
        <f t="shared" ca="1" si="26"/>
        <v>0.60192633208097479</v>
      </c>
      <c r="R192" s="6">
        <f t="shared" ca="1" si="23"/>
        <v>1.8611562034615281E-2</v>
      </c>
      <c r="S192" s="6">
        <f t="shared" ca="1" si="24"/>
        <v>6.6032477554458444E-3</v>
      </c>
    </row>
    <row r="193" spans="16:19" s="6" customFormat="1" x14ac:dyDescent="0.3">
      <c r="P193" s="7">
        <f t="shared" ca="1" si="25"/>
        <v>0.75126411468970711</v>
      </c>
      <c r="Q193" s="6">
        <f t="shared" ca="1" si="26"/>
        <v>0.24873588531029289</v>
      </c>
      <c r="R193" s="6">
        <f t="shared" ca="1" si="23"/>
        <v>1.6288344405896164E-2</v>
      </c>
      <c r="S193" s="6">
        <f t="shared" ca="1" si="24"/>
        <v>5.6318330088490579E-3</v>
      </c>
    </row>
    <row r="194" spans="16:19" s="6" customFormat="1" x14ac:dyDescent="0.3">
      <c r="P194" s="7">
        <f t="shared" ca="1" si="25"/>
        <v>3.5161464902937589E-2</v>
      </c>
      <c r="Q194" s="6">
        <f t="shared" ca="1" si="26"/>
        <v>0.96483853509706241</v>
      </c>
      <c r="R194" s="6">
        <f t="shared" ca="1" si="23"/>
        <v>2.1824830045593033E-2</v>
      </c>
      <c r="S194" s="6">
        <f t="shared" ca="1" si="24"/>
        <v>7.6014012133128655E-3</v>
      </c>
    </row>
    <row r="195" spans="16:19" s="6" customFormat="1" x14ac:dyDescent="0.3">
      <c r="P195" s="7">
        <f t="shared" ca="1" si="25"/>
        <v>0.35623371552784933</v>
      </c>
      <c r="Q195" s="6">
        <f t="shared" ca="1" si="26"/>
        <v>0.64376628447215067</v>
      </c>
      <c r="R195" s="6">
        <f t="shared" ref="R195:R258" ca="1" si="27">SQRT((P195*L$22)^2+(Q195*M$22)^2+2*O$22*P195*Q195)</f>
        <v>1.8946246036104168E-2</v>
      </c>
      <c r="S195" s="6">
        <f t="shared" ca="1" si="24"/>
        <v>6.7183243299152682E-3</v>
      </c>
    </row>
    <row r="196" spans="16:19" s="6" customFormat="1" x14ac:dyDescent="0.3">
      <c r="P196" s="7">
        <f t="shared" ca="1" si="25"/>
        <v>0.62283177707496551</v>
      </c>
      <c r="Q196" s="6">
        <f t="shared" ca="1" si="26"/>
        <v>0.37716822292503449</v>
      </c>
      <c r="R196" s="6">
        <f t="shared" ca="1" si="27"/>
        <v>1.7018087491112249E-2</v>
      </c>
      <c r="S196" s="6">
        <f t="shared" ca="1" si="24"/>
        <v>5.9850732163336667E-3</v>
      </c>
    </row>
    <row r="197" spans="16:19" s="6" customFormat="1" x14ac:dyDescent="0.3">
      <c r="P197" s="7">
        <f t="shared" ca="1" si="25"/>
        <v>0.4971150669402965</v>
      </c>
      <c r="Q197" s="6">
        <f t="shared" ca="1" si="26"/>
        <v>0.5028849330597035</v>
      </c>
      <c r="R197" s="6">
        <f t="shared" ca="1" si="27"/>
        <v>1.7864441577195345E-2</v>
      </c>
      <c r="S197" s="6">
        <f t="shared" ca="1" si="24"/>
        <v>6.3308443639823533E-3</v>
      </c>
    </row>
    <row r="198" spans="16:19" s="6" customFormat="1" x14ac:dyDescent="0.3">
      <c r="P198" s="7">
        <f t="shared" ca="1" si="25"/>
        <v>0.33943853439376215</v>
      </c>
      <c r="Q198" s="6">
        <f t="shared" ca="1" si="26"/>
        <v>0.66056146560623785</v>
      </c>
      <c r="R198" s="6">
        <f t="shared" ca="1" si="27"/>
        <v>1.9083571142190957E-2</v>
      </c>
      <c r="S198" s="6">
        <f t="shared" ca="1" si="24"/>
        <v>6.7645177838282777E-3</v>
      </c>
    </row>
    <row r="199" spans="16:19" s="6" customFormat="1" x14ac:dyDescent="0.3">
      <c r="P199" s="7">
        <f t="shared" ca="1" si="25"/>
        <v>0.82065559887956785</v>
      </c>
      <c r="Q199" s="6">
        <f t="shared" ca="1" si="26"/>
        <v>0.17934440112043215</v>
      </c>
      <c r="R199" s="6">
        <f t="shared" ca="1" si="27"/>
        <v>1.5957467673705917E-2</v>
      </c>
      <c r="S199" s="6">
        <f t="shared" ca="1" si="24"/>
        <v>5.4409787214621894E-3</v>
      </c>
    </row>
    <row r="200" spans="16:19" s="6" customFormat="1" x14ac:dyDescent="0.3">
      <c r="P200" s="7">
        <f t="shared" ca="1" si="25"/>
        <v>0.2197186309529201</v>
      </c>
      <c r="Q200" s="6">
        <f t="shared" ca="1" si="26"/>
        <v>0.7802813690470799</v>
      </c>
      <c r="R200" s="6">
        <f t="shared" ca="1" si="27"/>
        <v>2.0108242693448332E-2</v>
      </c>
      <c r="S200" s="6">
        <f t="shared" ca="1" si="24"/>
        <v>7.0937953187302522E-3</v>
      </c>
    </row>
    <row r="201" spans="16:19" s="6" customFormat="1" x14ac:dyDescent="0.3">
      <c r="P201" s="7">
        <f t="shared" ca="1" si="25"/>
        <v>0.63892770982671632</v>
      </c>
      <c r="Q201" s="6">
        <f t="shared" ca="1" si="26"/>
        <v>0.36107229017328368</v>
      </c>
      <c r="R201" s="6">
        <f t="shared" ca="1" si="27"/>
        <v>1.6918772433540927E-2</v>
      </c>
      <c r="S201" s="6">
        <f t="shared" ca="1" si="24"/>
        <v>5.9408029746602477E-3</v>
      </c>
    </row>
    <row r="202" spans="16:19" s="6" customFormat="1" x14ac:dyDescent="0.3">
      <c r="P202" s="7">
        <f t="shared" ca="1" si="25"/>
        <v>0.84319802533917887</v>
      </c>
      <c r="Q202" s="6">
        <f t="shared" ca="1" si="26"/>
        <v>0.15680197466082113</v>
      </c>
      <c r="R202" s="6">
        <f t="shared" ca="1" si="27"/>
        <v>1.5860217766504484E-2</v>
      </c>
      <c r="S202" s="6">
        <f t="shared" ca="1" si="24"/>
        <v>5.3789780482074064E-3</v>
      </c>
    </row>
    <row r="203" spans="16:19" s="6" customFormat="1" x14ac:dyDescent="0.3">
      <c r="P203" s="7">
        <f t="shared" ca="1" si="25"/>
        <v>0.42146708608752514</v>
      </c>
      <c r="Q203" s="6">
        <f t="shared" ca="1" si="26"/>
        <v>0.57853291391247486</v>
      </c>
      <c r="R203" s="6">
        <f t="shared" ca="1" si="27"/>
        <v>1.8429213352681276E-2</v>
      </c>
      <c r="S203" s="6">
        <f t="shared" ca="1" si="24"/>
        <v>6.5389065152170545E-3</v>
      </c>
    </row>
    <row r="204" spans="16:19" s="6" customFormat="1" x14ac:dyDescent="0.3">
      <c r="P204" s="7">
        <f t="shared" ca="1" si="25"/>
        <v>0.29784300807198227</v>
      </c>
      <c r="Q204" s="6">
        <f t="shared" ca="1" si="26"/>
        <v>0.70215699192801773</v>
      </c>
      <c r="R204" s="6">
        <f t="shared" ca="1" si="27"/>
        <v>1.9430710052437881E-2</v>
      </c>
      <c r="S204" s="6">
        <f t="shared" ca="1" si="24"/>
        <v>6.8789220890151243E-3</v>
      </c>
    </row>
    <row r="205" spans="16:19" s="6" customFormat="1" x14ac:dyDescent="0.3">
      <c r="P205" s="7">
        <f t="shared" ca="1" si="25"/>
        <v>0.57219480994627392</v>
      </c>
      <c r="Q205" s="6">
        <f t="shared" ca="1" si="26"/>
        <v>0.42780519005372608</v>
      </c>
      <c r="R205" s="6">
        <f t="shared" ca="1" si="27"/>
        <v>1.7344299672078553E-2</v>
      </c>
      <c r="S205" s="6">
        <f t="shared" ca="1" si="24"/>
        <v>6.1243450937060609E-3</v>
      </c>
    </row>
    <row r="206" spans="16:19" s="6" customFormat="1" x14ac:dyDescent="0.3">
      <c r="P206" s="7">
        <f t="shared" ca="1" si="25"/>
        <v>0.95768675118074775</v>
      </c>
      <c r="Q206" s="6">
        <f t="shared" ca="1" si="26"/>
        <v>4.2313248819252247E-2</v>
      </c>
      <c r="R206" s="6">
        <f t="shared" ca="1" si="27"/>
        <v>1.5448162455389713E-2</v>
      </c>
      <c r="S206" s="6">
        <f t="shared" ca="1" si="24"/>
        <v>5.0640883403501999E-3</v>
      </c>
    </row>
    <row r="207" spans="16:19" s="6" customFormat="1" x14ac:dyDescent="0.3">
      <c r="P207" s="7">
        <f t="shared" ca="1" si="25"/>
        <v>3.4729399653430693E-2</v>
      </c>
      <c r="Q207" s="6">
        <f t="shared" ca="1" si="26"/>
        <v>0.96527060034656931</v>
      </c>
      <c r="R207" s="6">
        <f t="shared" ca="1" si="27"/>
        <v>2.1829018780091927E-2</v>
      </c>
      <c r="S207" s="6">
        <f t="shared" ca="1" si="24"/>
        <v>7.6025895652592447E-3</v>
      </c>
    </row>
    <row r="208" spans="16:19" s="6" customFormat="1" x14ac:dyDescent="0.3">
      <c r="P208" s="7">
        <f t="shared" ca="1" si="25"/>
        <v>0.46320306656610233</v>
      </c>
      <c r="Q208" s="6">
        <f t="shared" ca="1" si="26"/>
        <v>0.53679693343389767</v>
      </c>
      <c r="R208" s="6">
        <f t="shared" ca="1" si="27"/>
        <v>1.8112790756624256E-2</v>
      </c>
      <c r="S208" s="6">
        <f t="shared" ca="1" si="24"/>
        <v>6.4241159050200322E-3</v>
      </c>
    </row>
    <row r="209" spans="16:19" s="6" customFormat="1" x14ac:dyDescent="0.3">
      <c r="P209" s="7">
        <f t="shared" ca="1" si="25"/>
        <v>0.52011106817321018</v>
      </c>
      <c r="Q209" s="6">
        <f t="shared" ca="1" si="26"/>
        <v>0.47988893182678982</v>
      </c>
      <c r="R209" s="6">
        <f t="shared" ca="1" si="27"/>
        <v>1.7700683548451526E-2</v>
      </c>
      <c r="S209" s="6">
        <f t="shared" ca="1" si="24"/>
        <v>6.2675961790026671E-3</v>
      </c>
    </row>
    <row r="210" spans="16:19" s="6" customFormat="1" x14ac:dyDescent="0.3">
      <c r="P210" s="7">
        <f t="shared" ca="1" si="25"/>
        <v>0.12913339722643968</v>
      </c>
      <c r="Q210" s="6">
        <f t="shared" ca="1" si="26"/>
        <v>0.87086660277356032</v>
      </c>
      <c r="R210" s="6">
        <f t="shared" ca="1" si="27"/>
        <v>2.093190840446077E-2</v>
      </c>
      <c r="S210" s="6">
        <f t="shared" ca="1" si="24"/>
        <v>7.3429408793488637E-3</v>
      </c>
    </row>
    <row r="211" spans="16:19" s="6" customFormat="1" x14ac:dyDescent="0.3">
      <c r="P211" s="7">
        <f t="shared" ca="1" si="25"/>
        <v>0.78970224572703962</v>
      </c>
      <c r="Q211" s="6">
        <f t="shared" ca="1" si="26"/>
        <v>0.21029775427296038</v>
      </c>
      <c r="R211" s="6">
        <f t="shared" ca="1" si="27"/>
        <v>1.6099273665913866E-2</v>
      </c>
      <c r="S211" s="6">
        <f t="shared" ca="1" si="24"/>
        <v>5.52611280134433E-3</v>
      </c>
    </row>
    <row r="212" spans="16:19" s="6" customFormat="1" x14ac:dyDescent="0.3">
      <c r="P212" s="7">
        <f t="shared" ca="1" si="25"/>
        <v>0.1952550813627556</v>
      </c>
      <c r="Q212" s="6">
        <f t="shared" ca="1" si="26"/>
        <v>0.8047449186372444</v>
      </c>
      <c r="R212" s="6">
        <f t="shared" ca="1" si="27"/>
        <v>2.0326834916525906E-2</v>
      </c>
      <c r="S212" s="6">
        <f t="shared" ca="1" si="24"/>
        <v>7.1610798476388635E-3</v>
      </c>
    </row>
    <row r="213" spans="16:19" s="6" customFormat="1" x14ac:dyDescent="0.3">
      <c r="P213" s="7">
        <f t="shared" ca="1" si="25"/>
        <v>0.83242013960778272</v>
      </c>
      <c r="Q213" s="6">
        <f t="shared" ca="1" si="26"/>
        <v>0.16757986039221728</v>
      </c>
      <c r="R213" s="6">
        <f t="shared" ca="1" si="27"/>
        <v>1.5906073632813239E-2</v>
      </c>
      <c r="S213" s="6">
        <f t="shared" ca="1" si="24"/>
        <v>5.4086215372438221E-3</v>
      </c>
    </row>
    <row r="214" spans="16:19" s="6" customFormat="1" x14ac:dyDescent="0.3">
      <c r="P214" s="7">
        <f t="shared" ca="1" si="25"/>
        <v>0.4825551203536772</v>
      </c>
      <c r="Q214" s="6">
        <f t="shared" ca="1" si="26"/>
        <v>0.5174448796463228</v>
      </c>
      <c r="R214" s="6">
        <f t="shared" ca="1" si="27"/>
        <v>1.7970083122488736E-2</v>
      </c>
      <c r="S214" s="6">
        <f t="shared" ref="S214:S277" ca="1" si="28">(P214*F$22+Q214*G$22)</f>
        <v>6.3708900304300826E-3</v>
      </c>
    </row>
    <row r="215" spans="16:19" s="6" customFormat="1" x14ac:dyDescent="0.3">
      <c r="P215" s="7">
        <f t="shared" ca="1" si="25"/>
        <v>0.91069813706029146</v>
      </c>
      <c r="Q215" s="6">
        <f t="shared" ca="1" si="26"/>
        <v>8.9301862939708543E-2</v>
      </c>
      <c r="R215" s="6">
        <f t="shared" ca="1" si="27"/>
        <v>1.5600368343109053E-2</v>
      </c>
      <c r="S215" s="6">
        <f t="shared" ca="1" si="28"/>
        <v>5.1933257902758868E-3</v>
      </c>
    </row>
    <row r="216" spans="16:19" s="6" customFormat="1" x14ac:dyDescent="0.3">
      <c r="P216" s="7">
        <f t="shared" ref="P216:P279" ca="1" si="29">RAND()</f>
        <v>5.5528653768950775E-2</v>
      </c>
      <c r="Q216" s="6">
        <f t="shared" ref="Q216:Q279" ca="1" si="30">1-P216</f>
        <v>0.94447134623104922</v>
      </c>
      <c r="R216" s="6">
        <f t="shared" ca="1" si="27"/>
        <v>2.1628213083285584E-2</v>
      </c>
      <c r="S216" s="6">
        <f t="shared" ca="1" si="28"/>
        <v>7.5453833119452978E-3</v>
      </c>
    </row>
    <row r="217" spans="16:19" s="6" customFormat="1" x14ac:dyDescent="0.3">
      <c r="P217" s="7">
        <f t="shared" ca="1" si="29"/>
        <v>0.70563065456142338</v>
      </c>
      <c r="Q217" s="6">
        <f t="shared" ca="1" si="30"/>
        <v>0.29436934543857662</v>
      </c>
      <c r="R217" s="6">
        <f t="shared" ca="1" si="27"/>
        <v>1.6530826803267812E-2</v>
      </c>
      <c r="S217" s="6">
        <f t="shared" ca="1" si="28"/>
        <v>5.7573432442253655E-3</v>
      </c>
    </row>
    <row r="218" spans="16:19" s="6" customFormat="1" x14ac:dyDescent="0.3">
      <c r="P218" s="7">
        <f t="shared" ca="1" si="29"/>
        <v>2.635502351175667E-2</v>
      </c>
      <c r="Q218" s="6">
        <f t="shared" ca="1" si="30"/>
        <v>0.97364497648824333</v>
      </c>
      <c r="R218" s="6">
        <f t="shared" ca="1" si="27"/>
        <v>2.1910349415996309E-2</v>
      </c>
      <c r="S218" s="6">
        <f t="shared" ca="1" si="28"/>
        <v>7.6256224432771844E-3</v>
      </c>
    </row>
    <row r="219" spans="16:19" s="6" customFormat="1" x14ac:dyDescent="0.3">
      <c r="P219" s="7">
        <f t="shared" ca="1" si="29"/>
        <v>0.14450936274630932</v>
      </c>
      <c r="Q219" s="6">
        <f t="shared" ca="1" si="30"/>
        <v>0.85549063725369068</v>
      </c>
      <c r="R219" s="6">
        <f t="shared" ca="1" si="27"/>
        <v>2.0789409392408718E-2</v>
      </c>
      <c r="S219" s="6">
        <f t="shared" ca="1" si="28"/>
        <v>7.3006508350236757E-3</v>
      </c>
    </row>
    <row r="220" spans="16:19" s="6" customFormat="1" x14ac:dyDescent="0.3">
      <c r="P220" s="7">
        <f t="shared" ca="1" si="29"/>
        <v>6.3291568750006522E-2</v>
      </c>
      <c r="Q220" s="6">
        <f t="shared" ca="1" si="30"/>
        <v>0.93670843124999348</v>
      </c>
      <c r="R220" s="6">
        <f t="shared" ca="1" si="27"/>
        <v>2.1553709582051005E-2</v>
      </c>
      <c r="S220" s="6">
        <f t="shared" ca="1" si="28"/>
        <v>7.5240321962565119E-3</v>
      </c>
    </row>
    <row r="221" spans="16:19" s="6" customFormat="1" x14ac:dyDescent="0.3">
      <c r="P221" s="7">
        <f t="shared" ca="1" si="29"/>
        <v>0.787282176062857</v>
      </c>
      <c r="Q221" s="6">
        <f t="shared" ca="1" si="30"/>
        <v>0.212717823937143</v>
      </c>
      <c r="R221" s="6">
        <f t="shared" ca="1" si="27"/>
        <v>1.6110757744478267E-2</v>
      </c>
      <c r="S221" s="6">
        <f t="shared" ca="1" si="28"/>
        <v>5.5327689591794958E-3</v>
      </c>
    </row>
    <row r="222" spans="16:19" s="6" customFormat="1" x14ac:dyDescent="0.3">
      <c r="P222" s="7">
        <f t="shared" ca="1" si="29"/>
        <v>0.96297314602856521</v>
      </c>
      <c r="Q222" s="6">
        <f t="shared" ca="1" si="30"/>
        <v>3.7026853971434792E-2</v>
      </c>
      <c r="R222" s="6">
        <f t="shared" ca="1" si="27"/>
        <v>1.5432551026034476E-2</v>
      </c>
      <c r="S222" s="6">
        <f t="shared" ca="1" si="28"/>
        <v>5.0495486438254028E-3</v>
      </c>
    </row>
    <row r="223" spans="16:19" s="6" customFormat="1" x14ac:dyDescent="0.3">
      <c r="P223" s="7">
        <f t="shared" ca="1" si="29"/>
        <v>0.66217998059594407</v>
      </c>
      <c r="Q223" s="6">
        <f t="shared" ca="1" si="30"/>
        <v>0.33782001940405593</v>
      </c>
      <c r="R223" s="6">
        <f t="shared" ca="1" si="27"/>
        <v>1.6779154814703642E-2</v>
      </c>
      <c r="S223" s="6">
        <f t="shared" ca="1" si="28"/>
        <v>5.8768499461352292E-3</v>
      </c>
    </row>
    <row r="224" spans="16:19" s="6" customFormat="1" x14ac:dyDescent="0.3">
      <c r="P224" s="7">
        <f t="shared" ca="1" si="29"/>
        <v>0.55673699945148392</v>
      </c>
      <c r="Q224" s="6">
        <f t="shared" ca="1" si="30"/>
        <v>0.44326300054851608</v>
      </c>
      <c r="R224" s="6">
        <f t="shared" ca="1" si="27"/>
        <v>1.7447919241138247E-2</v>
      </c>
      <c r="S224" s="6">
        <f t="shared" ca="1" si="28"/>
        <v>6.1668602443904364E-3</v>
      </c>
    </row>
    <row r="225" spans="16:19" s="6" customFormat="1" x14ac:dyDescent="0.3">
      <c r="P225" s="7">
        <f t="shared" ca="1" si="29"/>
        <v>0.58731190454648019</v>
      </c>
      <c r="Q225" s="6">
        <f t="shared" ca="1" si="30"/>
        <v>0.41268809545351981</v>
      </c>
      <c r="R225" s="6">
        <f t="shared" ca="1" si="27"/>
        <v>1.7244766051575801E-2</v>
      </c>
      <c r="S225" s="6">
        <f t="shared" ca="1" si="28"/>
        <v>6.0827670477690667E-3</v>
      </c>
    </row>
    <row r="226" spans="16:19" s="6" customFormat="1" x14ac:dyDescent="0.3">
      <c r="P226" s="7">
        <f t="shared" ca="1" si="29"/>
        <v>0.94415088743364994</v>
      </c>
      <c r="Q226" s="6">
        <f t="shared" ca="1" si="30"/>
        <v>5.5849112566350056E-2</v>
      </c>
      <c r="R226" s="6">
        <f t="shared" ca="1" si="27"/>
        <v>1.5489539358088809E-2</v>
      </c>
      <c r="S226" s="6">
        <f t="shared" ca="1" si="28"/>
        <v>5.1013173701047699E-3</v>
      </c>
    </row>
    <row r="227" spans="16:19" s="6" customFormat="1" x14ac:dyDescent="0.3">
      <c r="P227" s="7">
        <f t="shared" ca="1" si="29"/>
        <v>0.91043787381974184</v>
      </c>
      <c r="Q227" s="6">
        <f t="shared" ca="1" si="30"/>
        <v>8.9562126180258161E-2</v>
      </c>
      <c r="R227" s="6">
        <f t="shared" ca="1" si="27"/>
        <v>1.5601277954916471E-2</v>
      </c>
      <c r="S227" s="6">
        <f t="shared" ca="1" si="28"/>
        <v>5.1940416181024286E-3</v>
      </c>
    </row>
    <row r="228" spans="16:19" s="6" customFormat="1" x14ac:dyDescent="0.3">
      <c r="P228" s="7">
        <f t="shared" ca="1" si="29"/>
        <v>0.28472427073727691</v>
      </c>
      <c r="Q228" s="6">
        <f t="shared" ca="1" si="30"/>
        <v>0.71527572926272309</v>
      </c>
      <c r="R228" s="6">
        <f t="shared" ca="1" si="27"/>
        <v>1.9542209111627323E-2</v>
      </c>
      <c r="S228" s="6">
        <f t="shared" ca="1" si="28"/>
        <v>6.9150038545899919E-3</v>
      </c>
    </row>
    <row r="229" spans="16:19" s="6" customFormat="1" x14ac:dyDescent="0.3">
      <c r="P229" s="7">
        <f t="shared" ca="1" si="29"/>
        <v>0.23105666675525038</v>
      </c>
      <c r="Q229" s="6">
        <f t="shared" ca="1" si="30"/>
        <v>0.76894333324474962</v>
      </c>
      <c r="R229" s="6">
        <f t="shared" ca="1" si="27"/>
        <v>2.0007942390223452E-2</v>
      </c>
      <c r="S229" s="6">
        <f t="shared" ca="1" si="28"/>
        <v>7.0626111933482392E-3</v>
      </c>
    </row>
    <row r="230" spans="16:19" s="6" customFormat="1" x14ac:dyDescent="0.3">
      <c r="P230" s="7">
        <f t="shared" ca="1" si="29"/>
        <v>0.27324663807397387</v>
      </c>
      <c r="Q230" s="6">
        <f t="shared" ca="1" si="30"/>
        <v>0.72675336192602613</v>
      </c>
      <c r="R230" s="6">
        <f t="shared" ca="1" si="27"/>
        <v>1.9640530192617651E-2</v>
      </c>
      <c r="S230" s="6">
        <f t="shared" ca="1" si="28"/>
        <v>6.9465719270763709E-3</v>
      </c>
    </row>
    <row r="231" spans="16:19" s="6" customFormat="1" x14ac:dyDescent="0.3">
      <c r="P231" s="7">
        <f t="shared" ca="1" si="29"/>
        <v>0.60168974541352349</v>
      </c>
      <c r="Q231" s="6">
        <f t="shared" ca="1" si="30"/>
        <v>0.39831025458647651</v>
      </c>
      <c r="R231" s="6">
        <f t="shared" ca="1" si="27"/>
        <v>1.7151781689638962E-2</v>
      </c>
      <c r="S231" s="6">
        <f t="shared" ca="1" si="28"/>
        <v>6.0432222447593291E-3</v>
      </c>
    </row>
    <row r="232" spans="16:19" s="6" customFormat="1" x14ac:dyDescent="0.3">
      <c r="P232" s="7">
        <f t="shared" ca="1" si="29"/>
        <v>0.35039477704231559</v>
      </c>
      <c r="Q232" s="6">
        <f t="shared" ca="1" si="30"/>
        <v>0.64960522295768441</v>
      </c>
      <c r="R232" s="6">
        <f t="shared" ca="1" si="27"/>
        <v>1.8993798356677461E-2</v>
      </c>
      <c r="S232" s="6">
        <f t="shared" ca="1" si="28"/>
        <v>6.7343837420573011E-3</v>
      </c>
    </row>
    <row r="233" spans="16:19" s="6" customFormat="1" x14ac:dyDescent="0.3">
      <c r="P233" s="7">
        <f t="shared" ca="1" si="29"/>
        <v>0.68789544666486913</v>
      </c>
      <c r="Q233" s="6">
        <f t="shared" ca="1" si="30"/>
        <v>0.31210455333513087</v>
      </c>
      <c r="R233" s="6">
        <f t="shared" ca="1" si="27"/>
        <v>1.6630174687158703E-2</v>
      </c>
      <c r="S233" s="6">
        <f t="shared" ca="1" si="28"/>
        <v>5.8061221470586529E-3</v>
      </c>
    </row>
    <row r="234" spans="16:19" s="6" customFormat="1" x14ac:dyDescent="0.3">
      <c r="P234" s="7">
        <f t="shared" ca="1" si="29"/>
        <v>0.79651837397031988</v>
      </c>
      <c r="Q234" s="6">
        <f t="shared" ca="1" si="30"/>
        <v>0.20348162602968012</v>
      </c>
      <c r="R234" s="6">
        <f t="shared" ca="1" si="27"/>
        <v>1.6067236087569155E-2</v>
      </c>
      <c r="S234" s="6">
        <f t="shared" ca="1" si="28"/>
        <v>5.5073657272069702E-3</v>
      </c>
    </row>
    <row r="235" spans="16:19" s="6" customFormat="1" x14ac:dyDescent="0.3">
      <c r="P235" s="7">
        <f t="shared" ca="1" si="29"/>
        <v>0.92692910876586054</v>
      </c>
      <c r="Q235" s="6">
        <f t="shared" ca="1" si="30"/>
        <v>7.3070891234139457E-2</v>
      </c>
      <c r="R235" s="6">
        <f t="shared" ca="1" si="27"/>
        <v>1.5545080987275642E-2</v>
      </c>
      <c r="S235" s="6">
        <f t="shared" ca="1" si="28"/>
        <v>5.1486841375626077E-3</v>
      </c>
    </row>
    <row r="236" spans="16:19" s="6" customFormat="1" x14ac:dyDescent="0.3">
      <c r="P236" s="7">
        <f t="shared" ca="1" si="29"/>
        <v>0.78701872708445431</v>
      </c>
      <c r="Q236" s="6">
        <f t="shared" ca="1" si="30"/>
        <v>0.21298127291554569</v>
      </c>
      <c r="R236" s="6">
        <f t="shared" ca="1" si="27"/>
        <v>1.6112011343907162E-2</v>
      </c>
      <c r="S236" s="6">
        <f t="shared" ca="1" si="28"/>
        <v>5.5334935490570988E-3</v>
      </c>
    </row>
    <row r="237" spans="16:19" s="6" customFormat="1" x14ac:dyDescent="0.3">
      <c r="P237" s="7">
        <f t="shared" ca="1" si="29"/>
        <v>0.56051158811778001</v>
      </c>
      <c r="Q237" s="6">
        <f t="shared" ca="1" si="30"/>
        <v>0.43948841188221999</v>
      </c>
      <c r="R237" s="6">
        <f t="shared" ca="1" si="27"/>
        <v>1.7422446573389743E-2</v>
      </c>
      <c r="S237" s="6">
        <f t="shared" ca="1" si="28"/>
        <v>6.1564786184820849E-3</v>
      </c>
    </row>
    <row r="238" spans="16:19" s="6" customFormat="1" x14ac:dyDescent="0.3">
      <c r="P238" s="7">
        <f t="shared" ca="1" si="29"/>
        <v>0.70958129427142558</v>
      </c>
      <c r="Q238" s="6">
        <f t="shared" ca="1" si="30"/>
        <v>0.29041870572857442</v>
      </c>
      <c r="R238" s="6">
        <f t="shared" ca="1" si="27"/>
        <v>1.6509080436907773E-2</v>
      </c>
      <c r="S238" s="6">
        <f t="shared" ca="1" si="28"/>
        <v>5.7464774076551066E-3</v>
      </c>
    </row>
    <row r="239" spans="16:19" s="6" customFormat="1" x14ac:dyDescent="0.3">
      <c r="P239" s="7">
        <f t="shared" ca="1" si="29"/>
        <v>7.204695217396595E-2</v>
      </c>
      <c r="Q239" s="6">
        <f t="shared" ca="1" si="30"/>
        <v>0.92795304782603405</v>
      </c>
      <c r="R239" s="6">
        <f t="shared" ca="1" si="27"/>
        <v>2.1469974980836276E-2</v>
      </c>
      <c r="S239" s="6">
        <f t="shared" ca="1" si="28"/>
        <v>7.4999513960879128E-3</v>
      </c>
    </row>
    <row r="240" spans="16:19" s="6" customFormat="1" x14ac:dyDescent="0.3">
      <c r="P240" s="7">
        <f t="shared" ca="1" si="29"/>
        <v>0.29863508754335999</v>
      </c>
      <c r="Q240" s="6">
        <f t="shared" ca="1" si="30"/>
        <v>0.70136491245664001</v>
      </c>
      <c r="R240" s="6">
        <f t="shared" ca="1" si="27"/>
        <v>1.9424008386083064E-2</v>
      </c>
      <c r="S240" s="6">
        <f t="shared" ca="1" si="28"/>
        <v>6.8767435542160995E-3</v>
      </c>
    </row>
    <row r="241" spans="16:19" s="6" customFormat="1" x14ac:dyDescent="0.3">
      <c r="P241" s="7">
        <f t="shared" ca="1" si="29"/>
        <v>0.78233339939525237</v>
      </c>
      <c r="Q241" s="6">
        <f t="shared" ca="1" si="30"/>
        <v>0.21766660060474763</v>
      </c>
      <c r="R241" s="6">
        <f t="shared" ca="1" si="27"/>
        <v>1.6134418707849325E-2</v>
      </c>
      <c r="S241" s="6">
        <f t="shared" ca="1" si="28"/>
        <v>5.5463800709082524E-3</v>
      </c>
    </row>
    <row r="242" spans="16:19" s="6" customFormat="1" x14ac:dyDescent="0.3">
      <c r="P242" s="7">
        <f t="shared" ca="1" si="29"/>
        <v>0.1209129781541366</v>
      </c>
      <c r="Q242" s="6">
        <f t="shared" ca="1" si="30"/>
        <v>0.8790870218458634</v>
      </c>
      <c r="R242" s="6">
        <f t="shared" ca="1" si="27"/>
        <v>2.1008524008010013E-2</v>
      </c>
      <c r="S242" s="6">
        <f t="shared" ca="1" si="28"/>
        <v>7.3655503139557557E-3</v>
      </c>
    </row>
    <row r="243" spans="16:19" s="6" customFormat="1" x14ac:dyDescent="0.3">
      <c r="P243" s="7">
        <f t="shared" ca="1" si="29"/>
        <v>0.85514367730653684</v>
      </c>
      <c r="Q243" s="6">
        <f t="shared" ca="1" si="30"/>
        <v>0.14485632269346316</v>
      </c>
      <c r="R243" s="6">
        <f t="shared" ca="1" si="27"/>
        <v>1.5810778118357557E-2</v>
      </c>
      <c r="S243" s="6">
        <f t="shared" ca="1" si="28"/>
        <v>5.3461227357693023E-3</v>
      </c>
    </row>
    <row r="244" spans="16:19" s="6" customFormat="1" x14ac:dyDescent="0.3">
      <c r="P244" s="7">
        <f t="shared" ca="1" si="29"/>
        <v>0.57736860868748396</v>
      </c>
      <c r="Q244" s="6">
        <f t="shared" ca="1" si="30"/>
        <v>0.42263139131251604</v>
      </c>
      <c r="R244" s="6">
        <f t="shared" ca="1" si="27"/>
        <v>1.7310032313789091E-2</v>
      </c>
      <c r="S244" s="6">
        <f t="shared" ca="1" si="28"/>
        <v>6.110115081430563E-3</v>
      </c>
    </row>
    <row r="245" spans="16:19" s="6" customFormat="1" x14ac:dyDescent="0.3">
      <c r="P245" s="7">
        <f t="shared" ca="1" si="29"/>
        <v>0.4595857654694111</v>
      </c>
      <c r="Q245" s="6">
        <f t="shared" ca="1" si="30"/>
        <v>0.5404142345305889</v>
      </c>
      <c r="R245" s="6">
        <f t="shared" ca="1" si="27"/>
        <v>1.8139752085864491E-2</v>
      </c>
      <c r="S245" s="6">
        <f t="shared" ca="1" si="28"/>
        <v>6.4340649273119293E-3</v>
      </c>
    </row>
    <row r="246" spans="16:19" s="6" customFormat="1" x14ac:dyDescent="0.3">
      <c r="P246" s="7">
        <f t="shared" ca="1" si="29"/>
        <v>3.6121513401020877E-2</v>
      </c>
      <c r="Q246" s="6">
        <f t="shared" ca="1" si="30"/>
        <v>0.96387848659897912</v>
      </c>
      <c r="R246" s="6">
        <f t="shared" ca="1" si="27"/>
        <v>2.1815525298398288E-2</v>
      </c>
      <c r="S246" s="6">
        <f t="shared" ca="1" si="28"/>
        <v>7.598760696625584E-3</v>
      </c>
    </row>
    <row r="247" spans="16:19" s="6" customFormat="1" x14ac:dyDescent="0.3">
      <c r="P247" s="7">
        <f t="shared" ca="1" si="29"/>
        <v>0.26331269955266379</v>
      </c>
      <c r="Q247" s="6">
        <f t="shared" ca="1" si="30"/>
        <v>0.73668730044733621</v>
      </c>
      <c r="R247" s="6">
        <f t="shared" ca="1" si="27"/>
        <v>1.9726199045663501E-2</v>
      </c>
      <c r="S247" s="6">
        <f t="shared" ca="1" si="28"/>
        <v>6.973894224323136E-3</v>
      </c>
    </row>
    <row r="248" spans="16:19" s="6" customFormat="1" x14ac:dyDescent="0.3">
      <c r="P248" s="7">
        <f t="shared" ca="1" si="29"/>
        <v>0.34990241606938988</v>
      </c>
      <c r="Q248" s="6">
        <f t="shared" ca="1" si="30"/>
        <v>0.65009758393061012</v>
      </c>
      <c r="R248" s="6">
        <f t="shared" ca="1" si="27"/>
        <v>1.8997817421406198E-2</v>
      </c>
      <c r="S248" s="6">
        <f t="shared" ca="1" si="28"/>
        <v>6.7357379313172936E-3</v>
      </c>
    </row>
    <row r="249" spans="16:19" s="6" customFormat="1" x14ac:dyDescent="0.3">
      <c r="P249" s="7">
        <f t="shared" ca="1" si="29"/>
        <v>0.75974202145858383</v>
      </c>
      <c r="Q249" s="6">
        <f t="shared" ca="1" si="30"/>
        <v>0.24025797854141617</v>
      </c>
      <c r="R249" s="6">
        <f t="shared" ca="1" si="27"/>
        <v>1.6245429770368833E-2</v>
      </c>
      <c r="S249" s="6">
        <f t="shared" ca="1" si="28"/>
        <v>5.6085153802697477E-3</v>
      </c>
    </row>
    <row r="250" spans="16:19" s="6" customFormat="1" x14ac:dyDescent="0.3">
      <c r="P250" s="7">
        <f t="shared" ca="1" si="29"/>
        <v>9.5851076529043233E-3</v>
      </c>
      <c r="Q250" s="6">
        <f t="shared" ca="1" si="30"/>
        <v>0.99041489234709568</v>
      </c>
      <c r="R250" s="6">
        <f t="shared" ca="1" si="27"/>
        <v>2.2074028792769457E-2</v>
      </c>
      <c r="S250" s="6">
        <f t="shared" ca="1" si="28"/>
        <v>7.671746407595657E-3</v>
      </c>
    </row>
    <row r="251" spans="16:19" s="6" customFormat="1" x14ac:dyDescent="0.3">
      <c r="P251" s="7">
        <f t="shared" ca="1" si="29"/>
        <v>0.97586406905706979</v>
      </c>
      <c r="Q251" s="6">
        <f t="shared" ca="1" si="30"/>
        <v>2.4135930942930206E-2</v>
      </c>
      <c r="R251" s="6">
        <f t="shared" ca="1" si="27"/>
        <v>1.5395781272301717E-2</v>
      </c>
      <c r="S251" s="6">
        <f t="shared" ca="1" si="28"/>
        <v>5.0140934585517641E-3</v>
      </c>
    </row>
    <row r="252" spans="16:19" s="6" customFormat="1" x14ac:dyDescent="0.3">
      <c r="P252" s="7">
        <f t="shared" ca="1" si="29"/>
        <v>0.52570776947974718</v>
      </c>
      <c r="Q252" s="6">
        <f t="shared" ca="1" si="30"/>
        <v>0.47429223052025282</v>
      </c>
      <c r="R252" s="6">
        <f t="shared" ca="1" si="27"/>
        <v>1.766141157144803E-2</v>
      </c>
      <c r="S252" s="6">
        <f t="shared" ca="1" si="28"/>
        <v>6.2522030158206586E-3</v>
      </c>
    </row>
    <row r="253" spans="16:19" s="6" customFormat="1" x14ac:dyDescent="0.3">
      <c r="P253" s="7">
        <f t="shared" ca="1" si="29"/>
        <v>0.74170277760909997</v>
      </c>
      <c r="Q253" s="6">
        <f t="shared" ca="1" si="30"/>
        <v>0.25829722239090003</v>
      </c>
      <c r="R253" s="6">
        <f t="shared" ca="1" si="27"/>
        <v>1.6337555010294828E-2</v>
      </c>
      <c r="S253" s="6">
        <f t="shared" ca="1" si="28"/>
        <v>5.6581305033657058E-3</v>
      </c>
    </row>
    <row r="254" spans="16:19" s="6" customFormat="1" x14ac:dyDescent="0.3">
      <c r="P254" s="7">
        <f t="shared" ca="1" si="29"/>
        <v>0.84288747964651656</v>
      </c>
      <c r="Q254" s="6">
        <f t="shared" ca="1" si="30"/>
        <v>0.15711252035348344</v>
      </c>
      <c r="R254" s="6">
        <f t="shared" ca="1" si="27"/>
        <v>1.5861522494955552E-2</v>
      </c>
      <c r="S254" s="6">
        <f t="shared" ca="1" si="28"/>
        <v>5.3798321728534791E-3</v>
      </c>
    </row>
    <row r="255" spans="16:19" s="6" customFormat="1" x14ac:dyDescent="0.3">
      <c r="P255" s="7">
        <f t="shared" ca="1" si="29"/>
        <v>0.65285150052486662</v>
      </c>
      <c r="Q255" s="6">
        <f t="shared" ca="1" si="30"/>
        <v>0.34714849947513338</v>
      </c>
      <c r="R255" s="6">
        <f t="shared" ca="1" si="27"/>
        <v>1.6834614456064823E-2</v>
      </c>
      <c r="S255" s="6">
        <f t="shared" ca="1" si="28"/>
        <v>5.9025069909030975E-3</v>
      </c>
    </row>
    <row r="256" spans="16:19" s="6" customFormat="1" x14ac:dyDescent="0.3">
      <c r="P256" s="7">
        <f t="shared" ca="1" si="29"/>
        <v>0.40004322042562246</v>
      </c>
      <c r="Q256" s="6">
        <f t="shared" ca="1" si="30"/>
        <v>0.59995677957437754</v>
      </c>
      <c r="R256" s="6">
        <f t="shared" ca="1" si="27"/>
        <v>1.859607503471692E-2</v>
      </c>
      <c r="S256" s="6">
        <f t="shared" ca="1" si="28"/>
        <v>6.597830699671548E-3</v>
      </c>
    </row>
    <row r="257" spans="16:19" s="6" customFormat="1" x14ac:dyDescent="0.3">
      <c r="P257" s="7">
        <f t="shared" ca="1" si="29"/>
        <v>0.99903062248171581</v>
      </c>
      <c r="Q257" s="6">
        <f t="shared" ca="1" si="30"/>
        <v>9.6937751828418683E-4</v>
      </c>
      <c r="R257" s="6">
        <f t="shared" ca="1" si="27"/>
        <v>1.5334366818018147E-2</v>
      </c>
      <c r="S257" s="6">
        <f t="shared" ca="1" si="28"/>
        <v>4.9503761869486209E-3</v>
      </c>
    </row>
    <row r="258" spans="16:19" s="6" customFormat="1" x14ac:dyDescent="0.3">
      <c r="P258" s="7">
        <f t="shared" ca="1" si="29"/>
        <v>0.43158121215431955</v>
      </c>
      <c r="Q258" s="6">
        <f t="shared" ca="1" si="30"/>
        <v>0.56841878784568045</v>
      </c>
      <c r="R258" s="6">
        <f t="shared" ca="1" si="27"/>
        <v>1.8351470483481784E-2</v>
      </c>
      <c r="S258" s="6">
        <f t="shared" ca="1" si="28"/>
        <v>6.5110886302769157E-3</v>
      </c>
    </row>
    <row r="259" spans="16:19" s="6" customFormat="1" x14ac:dyDescent="0.3">
      <c r="P259" s="7">
        <f t="shared" ca="1" si="29"/>
        <v>0.83088138387200083</v>
      </c>
      <c r="Q259" s="6">
        <f t="shared" ca="1" si="30"/>
        <v>0.16911861612799917</v>
      </c>
      <c r="R259" s="6">
        <f t="shared" ref="R259:R322" ca="1" si="31">SQRT((P259*L$22)^2+(Q259*M$22)^2+2*O$22*P259*Q259)</f>
        <v>1.5912716512596594E-2</v>
      </c>
      <c r="S259" s="6">
        <f t="shared" ca="1" si="28"/>
        <v>5.4128537298946027E-3</v>
      </c>
    </row>
    <row r="260" spans="16:19" s="6" customFormat="1" x14ac:dyDescent="0.3">
      <c r="P260" s="7">
        <f t="shared" ca="1" si="29"/>
        <v>0.13782903482927589</v>
      </c>
      <c r="Q260" s="6">
        <f t="shared" ca="1" si="30"/>
        <v>0.86217096517072411</v>
      </c>
      <c r="R260" s="6">
        <f t="shared" ca="1" si="31"/>
        <v>2.0851190062978062E-2</v>
      </c>
      <c r="S260" s="6">
        <f t="shared" ca="1" si="28"/>
        <v>7.3190244040430043E-3</v>
      </c>
    </row>
    <row r="261" spans="16:19" s="6" customFormat="1" x14ac:dyDescent="0.3">
      <c r="P261" s="7">
        <f t="shared" ca="1" si="29"/>
        <v>0.52336318348189215</v>
      </c>
      <c r="Q261" s="6">
        <f t="shared" ca="1" si="30"/>
        <v>0.47663681651810785</v>
      </c>
      <c r="R261" s="6">
        <f t="shared" ca="1" si="31"/>
        <v>1.7677835430097554E-2</v>
      </c>
      <c r="S261" s="6">
        <f t="shared" ca="1" si="28"/>
        <v>6.2586515634351393E-3</v>
      </c>
    </row>
    <row r="262" spans="16:19" s="6" customFormat="1" x14ac:dyDescent="0.3">
      <c r="P262" s="7">
        <f t="shared" ca="1" si="29"/>
        <v>0.27702487792677832</v>
      </c>
      <c r="Q262" s="6">
        <f t="shared" ca="1" si="30"/>
        <v>0.72297512207322168</v>
      </c>
      <c r="R262" s="6">
        <f t="shared" ca="1" si="31"/>
        <v>1.9608085940860429E-2</v>
      </c>
      <c r="S262" s="6">
        <f t="shared" ca="1" si="28"/>
        <v>6.9361802589473142E-3</v>
      </c>
    </row>
    <row r="263" spans="16:19" s="6" customFormat="1" x14ac:dyDescent="0.3">
      <c r="P263" s="7">
        <f t="shared" ca="1" si="29"/>
        <v>0.522874284030314</v>
      </c>
      <c r="Q263" s="6">
        <f t="shared" ca="1" si="30"/>
        <v>0.477125715969686</v>
      </c>
      <c r="R263" s="6">
        <f t="shared" ca="1" si="31"/>
        <v>1.7681265283051886E-2</v>
      </c>
      <c r="S263" s="6">
        <f t="shared" ca="1" si="28"/>
        <v>6.2599962321293482E-3</v>
      </c>
    </row>
    <row r="264" spans="16:19" s="6" customFormat="1" x14ac:dyDescent="0.3">
      <c r="P264" s="7">
        <f t="shared" ca="1" si="29"/>
        <v>0.78697765897374361</v>
      </c>
      <c r="Q264" s="6">
        <f t="shared" ca="1" si="30"/>
        <v>0.21302234102625639</v>
      </c>
      <c r="R264" s="6">
        <f t="shared" ca="1" si="31"/>
        <v>1.6112206823832301E-2</v>
      </c>
      <c r="S264" s="6">
        <f t="shared" ca="1" si="28"/>
        <v>5.5336065027587747E-3</v>
      </c>
    </row>
    <row r="265" spans="16:19" s="6" customFormat="1" x14ac:dyDescent="0.3">
      <c r="P265" s="7">
        <f t="shared" ca="1" si="29"/>
        <v>0.8346708575211178</v>
      </c>
      <c r="Q265" s="6">
        <f t="shared" ca="1" si="30"/>
        <v>0.1653291424788822</v>
      </c>
      <c r="R265" s="6">
        <f t="shared" ca="1" si="31"/>
        <v>1.5896400305374307E-2</v>
      </c>
      <c r="S265" s="6">
        <f t="shared" ca="1" si="28"/>
        <v>5.4024311643403817E-3</v>
      </c>
    </row>
    <row r="266" spans="16:19" s="6" customFormat="1" x14ac:dyDescent="0.3">
      <c r="P266" s="7">
        <f t="shared" ca="1" si="29"/>
        <v>0.35024948050452676</v>
      </c>
      <c r="Q266" s="6">
        <f t="shared" ca="1" si="30"/>
        <v>0.64975051949547324</v>
      </c>
      <c r="R266" s="6">
        <f t="shared" ca="1" si="31"/>
        <v>1.8994984239651718E-2</v>
      </c>
      <c r="S266" s="6">
        <f t="shared" ca="1" si="28"/>
        <v>6.7347833655486159E-3</v>
      </c>
    </row>
    <row r="267" spans="16:19" s="6" customFormat="1" x14ac:dyDescent="0.3">
      <c r="P267" s="7">
        <f t="shared" ca="1" si="29"/>
        <v>0.21529648844972005</v>
      </c>
      <c r="Q267" s="6">
        <f t="shared" ca="1" si="30"/>
        <v>0.78470351155027995</v>
      </c>
      <c r="R267" s="6">
        <f t="shared" ca="1" si="31"/>
        <v>2.0147537463683696E-2</v>
      </c>
      <c r="S267" s="6">
        <f t="shared" ca="1" si="28"/>
        <v>7.1059579762382278E-3</v>
      </c>
    </row>
    <row r="268" spans="16:19" s="6" customFormat="1" x14ac:dyDescent="0.3">
      <c r="P268" s="7">
        <f t="shared" ca="1" si="29"/>
        <v>0.14476732184305952</v>
      </c>
      <c r="Q268" s="6">
        <f t="shared" ca="1" si="30"/>
        <v>0.85523267815694048</v>
      </c>
      <c r="R268" s="6">
        <f t="shared" ca="1" si="31"/>
        <v>2.0787027789097721E-2</v>
      </c>
      <c r="S268" s="6">
        <f t="shared" ca="1" si="28"/>
        <v>7.2999413445125564E-3</v>
      </c>
    </row>
    <row r="269" spans="16:19" s="6" customFormat="1" x14ac:dyDescent="0.3">
      <c r="P269" s="7">
        <f t="shared" ca="1" si="29"/>
        <v>0.48484360352939326</v>
      </c>
      <c r="Q269" s="6">
        <f t="shared" ca="1" si="30"/>
        <v>0.51515639647060674</v>
      </c>
      <c r="R269" s="6">
        <f t="shared" ca="1" si="31"/>
        <v>1.7953379610190712E-2</v>
      </c>
      <c r="S269" s="6">
        <f t="shared" ca="1" si="28"/>
        <v>6.3645957879765978E-3</v>
      </c>
    </row>
    <row r="270" spans="16:19" s="6" customFormat="1" x14ac:dyDescent="0.3">
      <c r="P270" s="7">
        <f t="shared" ca="1" si="29"/>
        <v>0.64909253145206747</v>
      </c>
      <c r="Q270" s="6">
        <f t="shared" ca="1" si="30"/>
        <v>0.35090746854793253</v>
      </c>
      <c r="R270" s="6">
        <f t="shared" ca="1" si="31"/>
        <v>1.6857172456560213E-2</v>
      </c>
      <c r="S270" s="6">
        <f t="shared" ca="1" si="28"/>
        <v>5.9128456566929152E-3</v>
      </c>
    </row>
    <row r="271" spans="16:19" s="6" customFormat="1" x14ac:dyDescent="0.3">
      <c r="P271" s="7">
        <f t="shared" ca="1" si="29"/>
        <v>0.74531478410112451</v>
      </c>
      <c r="Q271" s="6">
        <f t="shared" ca="1" si="30"/>
        <v>0.25468521589887549</v>
      </c>
      <c r="R271" s="6">
        <f t="shared" ca="1" si="31"/>
        <v>1.6318863943614724E-2</v>
      </c>
      <c r="S271" s="6">
        <f t="shared" ca="1" si="28"/>
        <v>5.6481960433506142E-3</v>
      </c>
    </row>
    <row r="272" spans="16:19" s="6" customFormat="1" x14ac:dyDescent="0.3">
      <c r="P272" s="7">
        <f t="shared" ca="1" si="29"/>
        <v>0.77314812829193991</v>
      </c>
      <c r="Q272" s="6">
        <f t="shared" ca="1" si="30"/>
        <v>0.22685187170806009</v>
      </c>
      <c r="R272" s="6">
        <f t="shared" ca="1" si="31"/>
        <v>1.6178963138227906E-2</v>
      </c>
      <c r="S272" s="6">
        <f t="shared" ca="1" si="28"/>
        <v>5.5716432338358737E-3</v>
      </c>
    </row>
    <row r="273" spans="16:19" s="6" customFormat="1" x14ac:dyDescent="0.3">
      <c r="P273" s="7">
        <f t="shared" ca="1" si="29"/>
        <v>0.46315586547321985</v>
      </c>
      <c r="Q273" s="6">
        <f t="shared" ca="1" si="30"/>
        <v>0.53684413452678015</v>
      </c>
      <c r="R273" s="6">
        <f t="shared" ca="1" si="31"/>
        <v>1.8113141990981196E-2</v>
      </c>
      <c r="S273" s="6">
        <f t="shared" ca="1" si="28"/>
        <v>6.4242457268713898E-3</v>
      </c>
    </row>
    <row r="274" spans="16:19" s="6" customFormat="1" x14ac:dyDescent="0.3">
      <c r="P274" s="7">
        <f t="shared" ca="1" si="29"/>
        <v>0.27816858226975782</v>
      </c>
      <c r="Q274" s="6">
        <f t="shared" ca="1" si="30"/>
        <v>0.72183141773024218</v>
      </c>
      <c r="R274" s="6">
        <f t="shared" ca="1" si="31"/>
        <v>1.9598279972090554E-2</v>
      </c>
      <c r="S274" s="6">
        <f t="shared" ca="1" si="28"/>
        <v>6.9330346153584944E-3</v>
      </c>
    </row>
    <row r="275" spans="16:19" s="6" customFormat="1" x14ac:dyDescent="0.3">
      <c r="P275" s="7">
        <f t="shared" ca="1" si="29"/>
        <v>0.52539175277527439</v>
      </c>
      <c r="Q275" s="6">
        <f t="shared" ca="1" si="30"/>
        <v>0.47460824722472561</v>
      </c>
      <c r="R275" s="6">
        <f t="shared" ca="1" si="31"/>
        <v>1.7663622908120506E-2</v>
      </c>
      <c r="S275" s="6">
        <f t="shared" ca="1" si="28"/>
        <v>6.253072187933615E-3</v>
      </c>
    </row>
    <row r="276" spans="16:19" s="6" customFormat="1" x14ac:dyDescent="0.3">
      <c r="P276" s="7">
        <f t="shared" ca="1" si="29"/>
        <v>0.86915425495684295</v>
      </c>
      <c r="Q276" s="6">
        <f t="shared" ca="1" si="30"/>
        <v>0.13084574504315705</v>
      </c>
      <c r="R276" s="6">
        <f t="shared" ca="1" si="31"/>
        <v>1.5754665198343658E-2</v>
      </c>
      <c r="S276" s="6">
        <f t="shared" ca="1" si="28"/>
        <v>5.3075880532423899E-3</v>
      </c>
    </row>
    <row r="277" spans="16:19" s="6" customFormat="1" x14ac:dyDescent="0.3">
      <c r="P277" s="7">
        <f t="shared" ca="1" si="29"/>
        <v>0.1231735739808153</v>
      </c>
      <c r="Q277" s="6">
        <f t="shared" ca="1" si="30"/>
        <v>0.8768264260191847</v>
      </c>
      <c r="R277" s="6">
        <f t="shared" ca="1" si="31"/>
        <v>2.0987425199207974E-2</v>
      </c>
      <c r="S277" s="6">
        <f t="shared" ca="1" si="28"/>
        <v>7.359332772846677E-3</v>
      </c>
    </row>
    <row r="278" spans="16:19" s="6" customFormat="1" x14ac:dyDescent="0.3">
      <c r="P278" s="7">
        <f t="shared" ca="1" si="29"/>
        <v>0.62165734494344549</v>
      </c>
      <c r="Q278" s="6">
        <f t="shared" ca="1" si="30"/>
        <v>0.37834265505655451</v>
      </c>
      <c r="R278" s="6">
        <f t="shared" ca="1" si="31"/>
        <v>1.7025418147965304E-2</v>
      </c>
      <c r="S278" s="6">
        <f t="shared" ref="S278:S341" ca="1" si="32">(P278*F$22+Q278*G$22)</f>
        <v>5.9883033736096263E-3</v>
      </c>
    </row>
    <row r="279" spans="16:19" s="6" customFormat="1" x14ac:dyDescent="0.3">
      <c r="P279" s="7">
        <f t="shared" ca="1" si="29"/>
        <v>0.23686500949989087</v>
      </c>
      <c r="Q279" s="6">
        <f t="shared" ca="1" si="30"/>
        <v>0.76313499050010913</v>
      </c>
      <c r="R279" s="6">
        <f t="shared" ca="1" si="31"/>
        <v>1.9956812074246096E-2</v>
      </c>
      <c r="S279" s="6">
        <f t="shared" ca="1" si="32"/>
        <v>7.046635931709593E-3</v>
      </c>
    </row>
    <row r="280" spans="16:19" s="6" customFormat="1" x14ac:dyDescent="0.3">
      <c r="P280" s="7">
        <f t="shared" ref="P280:P343" ca="1" si="33">RAND()</f>
        <v>0.43405527990142478</v>
      </c>
      <c r="Q280" s="6">
        <f t="shared" ref="Q280:Q343" ca="1" si="34">1-P280</f>
        <v>0.56594472009857522</v>
      </c>
      <c r="R280" s="6">
        <f t="shared" ca="1" si="31"/>
        <v>1.8332555599173364E-2</v>
      </c>
      <c r="S280" s="6">
        <f t="shared" ca="1" si="32"/>
        <v>6.5042839561539542E-3</v>
      </c>
    </row>
    <row r="281" spans="16:19" s="6" customFormat="1" x14ac:dyDescent="0.3">
      <c r="P281" s="7">
        <f t="shared" ca="1" si="33"/>
        <v>0.1535890844115444</v>
      </c>
      <c r="Q281" s="6">
        <f t="shared" ca="1" si="34"/>
        <v>0.8464109155884556</v>
      </c>
      <c r="R281" s="6">
        <f t="shared" ca="1" si="31"/>
        <v>2.0705763121060251E-2</v>
      </c>
      <c r="S281" s="6">
        <f t="shared" ca="1" si="32"/>
        <v>7.2756779751933804E-3</v>
      </c>
    </row>
    <row r="282" spans="16:19" s="6" customFormat="1" x14ac:dyDescent="0.3">
      <c r="P282" s="7">
        <f t="shared" ca="1" si="33"/>
        <v>0.1940705421466653</v>
      </c>
      <c r="Q282" s="6">
        <f t="shared" ca="1" si="34"/>
        <v>0.8059294578533347</v>
      </c>
      <c r="R282" s="6">
        <f t="shared" ca="1" si="31"/>
        <v>2.0337493635853982E-2</v>
      </c>
      <c r="S282" s="6">
        <f t="shared" ca="1" si="32"/>
        <v>7.1643378034328365E-3</v>
      </c>
    </row>
    <row r="283" spans="16:19" s="6" customFormat="1" x14ac:dyDescent="0.3">
      <c r="P283" s="7">
        <f t="shared" ca="1" si="33"/>
        <v>0.25470214911727151</v>
      </c>
      <c r="Q283" s="6">
        <f t="shared" ca="1" si="34"/>
        <v>0.74529785088272849</v>
      </c>
      <c r="R283" s="6">
        <f t="shared" ca="1" si="31"/>
        <v>1.9800878655456079E-2</v>
      </c>
      <c r="S283" s="6">
        <f t="shared" ca="1" si="32"/>
        <v>6.9975766759458611E-3</v>
      </c>
    </row>
    <row r="284" spans="16:19" s="6" customFormat="1" x14ac:dyDescent="0.3">
      <c r="P284" s="7">
        <f t="shared" ca="1" si="33"/>
        <v>2.0351276526300865E-2</v>
      </c>
      <c r="Q284" s="6">
        <f t="shared" ca="1" si="34"/>
        <v>0.97964872347369913</v>
      </c>
      <c r="R284" s="6">
        <f t="shared" ca="1" si="31"/>
        <v>2.1968824011721028E-2</v>
      </c>
      <c r="S284" s="6">
        <f t="shared" ca="1" si="32"/>
        <v>7.6421351445969191E-3</v>
      </c>
    </row>
    <row r="285" spans="16:19" s="6" customFormat="1" x14ac:dyDescent="0.3">
      <c r="P285" s="7">
        <f t="shared" ca="1" si="33"/>
        <v>0.76788152305403057</v>
      </c>
      <c r="Q285" s="6">
        <f t="shared" ca="1" si="34"/>
        <v>0.23211847694596943</v>
      </c>
      <c r="R285" s="6">
        <f t="shared" ca="1" si="31"/>
        <v>1.6204869870224611E-2</v>
      </c>
      <c r="S285" s="6">
        <f t="shared" ca="1" si="32"/>
        <v>5.5861285010320467E-3</v>
      </c>
    </row>
    <row r="286" spans="16:19" s="6" customFormat="1" x14ac:dyDescent="0.3">
      <c r="P286" s="7">
        <f t="shared" ca="1" si="33"/>
        <v>0.96298149827302804</v>
      </c>
      <c r="Q286" s="6">
        <f t="shared" ca="1" si="34"/>
        <v>3.7018501726971964E-2</v>
      </c>
      <c r="R286" s="6">
        <f t="shared" ca="1" si="31"/>
        <v>1.5432526605278801E-2</v>
      </c>
      <c r="S286" s="6">
        <f t="shared" ca="1" si="32"/>
        <v>5.049525671818338E-3</v>
      </c>
    </row>
    <row r="287" spans="16:19" s="6" customFormat="1" x14ac:dyDescent="0.3">
      <c r="P287" s="7">
        <f t="shared" ca="1" si="33"/>
        <v>0.42385460175218537</v>
      </c>
      <c r="Q287" s="6">
        <f t="shared" ca="1" si="34"/>
        <v>0.57614539824781463</v>
      </c>
      <c r="R287" s="6">
        <f t="shared" ca="1" si="31"/>
        <v>1.8410801288209273E-2</v>
      </c>
      <c r="S287" s="6">
        <f t="shared" ca="1" si="32"/>
        <v>6.5323398938783757E-3</v>
      </c>
    </row>
    <row r="288" spans="16:19" s="6" customFormat="1" x14ac:dyDescent="0.3">
      <c r="P288" s="7">
        <f t="shared" ca="1" si="33"/>
        <v>0.10678983228509387</v>
      </c>
      <c r="Q288" s="6">
        <f t="shared" ca="1" si="34"/>
        <v>0.89321016771490613</v>
      </c>
      <c r="R288" s="6">
        <f t="shared" ca="1" si="31"/>
        <v>2.1140844532175268E-2</v>
      </c>
      <c r="S288" s="6">
        <f t="shared" ca="1" si="32"/>
        <v>7.4043946040291877E-3</v>
      </c>
    </row>
    <row r="289" spans="16:19" s="6" customFormat="1" x14ac:dyDescent="0.3">
      <c r="P289" s="7">
        <f t="shared" ca="1" si="33"/>
        <v>0.37677618774671406</v>
      </c>
      <c r="Q289" s="6">
        <f t="shared" ca="1" si="34"/>
        <v>0.62322381225328594</v>
      </c>
      <c r="R289" s="6">
        <f t="shared" ca="1" si="31"/>
        <v>1.8780579565273087E-2</v>
      </c>
      <c r="S289" s="6">
        <f t="shared" ca="1" si="32"/>
        <v>6.6618243293421597E-3</v>
      </c>
    </row>
    <row r="290" spans="16:19" s="6" customFormat="1" x14ac:dyDescent="0.3">
      <c r="P290" s="7">
        <f t="shared" ca="1" si="33"/>
        <v>0.83838654582583416</v>
      </c>
      <c r="Q290" s="6">
        <f t="shared" ca="1" si="34"/>
        <v>0.16161345417416584</v>
      </c>
      <c r="R290" s="6">
        <f t="shared" ca="1" si="31"/>
        <v>1.588054302703646E-2</v>
      </c>
      <c r="S290" s="6">
        <f t="shared" ca="1" si="32"/>
        <v>5.3922115379434581E-3</v>
      </c>
    </row>
    <row r="291" spans="16:19" s="6" customFormat="1" x14ac:dyDescent="0.3">
      <c r="P291" s="7">
        <f t="shared" ca="1" si="33"/>
        <v>0.5139048146847992</v>
      </c>
      <c r="Q291" s="6">
        <f t="shared" ca="1" si="34"/>
        <v>0.4860951853152008</v>
      </c>
      <c r="R291" s="6">
        <f t="shared" ca="1" si="31"/>
        <v>1.7744501397214459E-2</v>
      </c>
      <c r="S291" s="6">
        <f t="shared" ca="1" si="32"/>
        <v>6.2846658540600848E-3</v>
      </c>
    </row>
    <row r="292" spans="16:19" s="6" customFormat="1" x14ac:dyDescent="0.3">
      <c r="P292" s="7">
        <f t="shared" ca="1" si="33"/>
        <v>0.57470463529049631</v>
      </c>
      <c r="Q292" s="6">
        <f t="shared" ca="1" si="34"/>
        <v>0.42529536470950369</v>
      </c>
      <c r="R292" s="6">
        <f t="shared" ca="1" si="31"/>
        <v>1.7327650326225318E-2</v>
      </c>
      <c r="S292" s="6">
        <f t="shared" ca="1" si="32"/>
        <v>6.1174420719141299E-3</v>
      </c>
    </row>
    <row r="293" spans="16:19" s="6" customFormat="1" x14ac:dyDescent="0.3">
      <c r="P293" s="7">
        <f t="shared" ca="1" si="33"/>
        <v>0.27556039282370615</v>
      </c>
      <c r="Q293" s="6">
        <f t="shared" ca="1" si="34"/>
        <v>0.72443960717629385</v>
      </c>
      <c r="R293" s="6">
        <f t="shared" ca="1" si="31"/>
        <v>1.9620652547456673E-2</v>
      </c>
      <c r="S293" s="6">
        <f t="shared" ca="1" si="32"/>
        <v>6.9402081777041871E-3</v>
      </c>
    </row>
    <row r="294" spans="16:19" s="6" customFormat="1" x14ac:dyDescent="0.3">
      <c r="P294" s="7">
        <f t="shared" ca="1" si="33"/>
        <v>0.19465271361422354</v>
      </c>
      <c r="Q294" s="6">
        <f t="shared" ca="1" si="34"/>
        <v>0.80534728638577646</v>
      </c>
      <c r="R294" s="6">
        <f t="shared" ca="1" si="31"/>
        <v>2.0332254292466222E-2</v>
      </c>
      <c r="S294" s="6">
        <f t="shared" ca="1" si="32"/>
        <v>7.1627365994540631E-3</v>
      </c>
    </row>
    <row r="295" spans="16:19" s="6" customFormat="1" x14ac:dyDescent="0.3">
      <c r="P295" s="7">
        <f t="shared" ca="1" si="33"/>
        <v>0.25128594542707849</v>
      </c>
      <c r="Q295" s="6">
        <f t="shared" ca="1" si="34"/>
        <v>0.74871405457292151</v>
      </c>
      <c r="R295" s="6">
        <f t="shared" ca="1" si="31"/>
        <v>1.9830615425077705E-2</v>
      </c>
      <c r="S295" s="6">
        <f t="shared" ca="1" si="32"/>
        <v>7.0069726000779389E-3</v>
      </c>
    </row>
    <row r="296" spans="16:19" s="6" customFormat="1" x14ac:dyDescent="0.3">
      <c r="P296" s="7">
        <f t="shared" ca="1" si="33"/>
        <v>0.37415824169566603</v>
      </c>
      <c r="Q296" s="6">
        <f t="shared" ca="1" si="34"/>
        <v>0.62584175830433397</v>
      </c>
      <c r="R296" s="6">
        <f t="shared" ca="1" si="31"/>
        <v>1.8801549502836412E-2</v>
      </c>
      <c r="S296" s="6">
        <f t="shared" ca="1" si="32"/>
        <v>6.6690247262471032E-3</v>
      </c>
    </row>
    <row r="297" spans="16:19" s="6" customFormat="1" x14ac:dyDescent="0.3">
      <c r="P297" s="7">
        <f t="shared" ca="1" si="33"/>
        <v>0.2912012985805662</v>
      </c>
      <c r="Q297" s="6">
        <f t="shared" ca="1" si="34"/>
        <v>0.7087987014194338</v>
      </c>
      <c r="R297" s="6">
        <f t="shared" ca="1" si="31"/>
        <v>1.9487041139039062E-2</v>
      </c>
      <c r="S297" s="6">
        <f t="shared" ca="1" si="32"/>
        <v>6.8971894419448659E-3</v>
      </c>
    </row>
    <row r="298" spans="16:19" s="6" customFormat="1" x14ac:dyDescent="0.3">
      <c r="P298" s="7">
        <f t="shared" ca="1" si="33"/>
        <v>0.48382279794212968</v>
      </c>
      <c r="Q298" s="6">
        <f t="shared" ca="1" si="34"/>
        <v>0.51617720205787032</v>
      </c>
      <c r="R298" s="6">
        <f t="shared" ca="1" si="31"/>
        <v>1.7960825870457921E-2</v>
      </c>
      <c r="S298" s="6">
        <f t="shared" ca="1" si="32"/>
        <v>6.3674034109175437E-3</v>
      </c>
    </row>
    <row r="299" spans="16:19" s="6" customFormat="1" x14ac:dyDescent="0.3">
      <c r="P299" s="7">
        <f t="shared" ca="1" si="33"/>
        <v>0.66670116345890229</v>
      </c>
      <c r="Q299" s="6">
        <f t="shared" ca="1" si="34"/>
        <v>0.33329883654109771</v>
      </c>
      <c r="R299" s="6">
        <f t="shared" ca="1" si="31"/>
        <v>1.675254470653156E-2</v>
      </c>
      <c r="S299" s="6">
        <f t="shared" ca="1" si="32"/>
        <v>5.8644148880941781E-3</v>
      </c>
    </row>
    <row r="300" spans="16:19" s="6" customFormat="1" x14ac:dyDescent="0.3">
      <c r="P300" s="7">
        <f t="shared" ca="1" si="33"/>
        <v>0.85830573293897761</v>
      </c>
      <c r="Q300" s="6">
        <f t="shared" ca="1" si="34"/>
        <v>0.14169426706102239</v>
      </c>
      <c r="R300" s="6">
        <f t="shared" ca="1" si="31"/>
        <v>1.5797936608873766E-2</v>
      </c>
      <c r="S300" s="6">
        <f t="shared" ca="1" si="32"/>
        <v>5.3374258202694702E-3</v>
      </c>
    </row>
    <row r="301" spans="16:19" s="6" customFormat="1" x14ac:dyDescent="0.3">
      <c r="P301" s="7">
        <f t="shared" ca="1" si="33"/>
        <v>0.10059156629158328</v>
      </c>
      <c r="Q301" s="6">
        <f t="shared" ca="1" si="34"/>
        <v>0.89940843370841672</v>
      </c>
      <c r="R301" s="6">
        <f t="shared" ca="1" si="31"/>
        <v>2.1199188593781133E-2</v>
      </c>
      <c r="S301" s="6">
        <f t="shared" ca="1" si="32"/>
        <v>7.421442310286473E-3</v>
      </c>
    </row>
    <row r="302" spans="16:19" s="6" customFormat="1" x14ac:dyDescent="0.3">
      <c r="P302" s="7">
        <f t="shared" ca="1" si="33"/>
        <v>0.11633327418547679</v>
      </c>
      <c r="Q302" s="6">
        <f t="shared" ca="1" si="34"/>
        <v>0.88366672581452321</v>
      </c>
      <c r="R302" s="6">
        <f t="shared" ca="1" si="31"/>
        <v>2.1051336401532922E-2</v>
      </c>
      <c r="S302" s="6">
        <f t="shared" ca="1" si="32"/>
        <v>7.378146328403147E-3</v>
      </c>
    </row>
    <row r="303" spans="16:19" s="6" customFormat="1" x14ac:dyDescent="0.3">
      <c r="P303" s="7">
        <f t="shared" ca="1" si="33"/>
        <v>0.2832535286155029</v>
      </c>
      <c r="Q303" s="6">
        <f t="shared" ca="1" si="34"/>
        <v>0.7167464713844971</v>
      </c>
      <c r="R303" s="6">
        <f t="shared" ca="1" si="31"/>
        <v>1.9554768066415248E-2</v>
      </c>
      <c r="S303" s="6">
        <f t="shared" ca="1" si="32"/>
        <v>6.9190489826465263E-3</v>
      </c>
    </row>
    <row r="304" spans="16:19" s="6" customFormat="1" x14ac:dyDescent="0.3">
      <c r="P304" s="7">
        <f t="shared" ca="1" si="33"/>
        <v>0.52047338469762727</v>
      </c>
      <c r="Q304" s="6">
        <f t="shared" ca="1" si="34"/>
        <v>0.47952661530237273</v>
      </c>
      <c r="R304" s="6">
        <f t="shared" ca="1" si="31"/>
        <v>1.7698134204721647E-2</v>
      </c>
      <c r="S304" s="6">
        <f t="shared" ca="1" si="32"/>
        <v>6.2665996638987826E-3</v>
      </c>
    </row>
    <row r="305" spans="16:19" s="6" customFormat="1" x14ac:dyDescent="0.3">
      <c r="P305" s="7">
        <f t="shared" ca="1" si="33"/>
        <v>7.2853704922980489E-3</v>
      </c>
      <c r="Q305" s="6">
        <f t="shared" ca="1" si="34"/>
        <v>0.99271462950770195</v>
      </c>
      <c r="R305" s="6">
        <f t="shared" ca="1" si="31"/>
        <v>2.2096558399415833E-2</v>
      </c>
      <c r="S305" s="6">
        <f t="shared" ca="1" si="32"/>
        <v>7.6780716030009563E-3</v>
      </c>
    </row>
    <row r="306" spans="16:19" s="6" customFormat="1" x14ac:dyDescent="0.3">
      <c r="P306" s="7">
        <f t="shared" ca="1" si="33"/>
        <v>0.74886444548101383</v>
      </c>
      <c r="Q306" s="6">
        <f t="shared" ca="1" si="34"/>
        <v>0.25113555451898617</v>
      </c>
      <c r="R306" s="6">
        <f t="shared" ca="1" si="31"/>
        <v>1.6300614500109788E-2</v>
      </c>
      <c r="S306" s="6">
        <f t="shared" ca="1" si="32"/>
        <v>5.6384330572863605E-3</v>
      </c>
    </row>
    <row r="307" spans="16:19" s="6" customFormat="1" x14ac:dyDescent="0.3">
      <c r="P307" s="7">
        <f t="shared" ca="1" si="33"/>
        <v>2.372581040485644E-2</v>
      </c>
      <c r="Q307" s="6">
        <f t="shared" ca="1" si="34"/>
        <v>0.97627418959514356</v>
      </c>
      <c r="R307" s="6">
        <f t="shared" ca="1" si="31"/>
        <v>2.1935940024488267E-2</v>
      </c>
      <c r="S307" s="6">
        <f t="shared" ca="1" si="32"/>
        <v>7.6328538290843058E-3</v>
      </c>
    </row>
    <row r="308" spans="16:19" s="6" customFormat="1" x14ac:dyDescent="0.3">
      <c r="P308" s="7">
        <f t="shared" ca="1" si="33"/>
        <v>0.16172181290942766</v>
      </c>
      <c r="Q308" s="6">
        <f t="shared" ca="1" si="34"/>
        <v>0.83827818709057234</v>
      </c>
      <c r="R308" s="6">
        <f t="shared" ca="1" si="31"/>
        <v>2.0631161635220899E-2</v>
      </c>
      <c r="S308" s="6">
        <f t="shared" ca="1" si="32"/>
        <v>7.2533097246782656E-3</v>
      </c>
    </row>
    <row r="309" spans="16:19" s="6" customFormat="1" x14ac:dyDescent="0.3">
      <c r="P309" s="7">
        <f t="shared" ca="1" si="33"/>
        <v>0.52572248242421582</v>
      </c>
      <c r="Q309" s="6">
        <f t="shared" ca="1" si="34"/>
        <v>0.47427751757578418</v>
      </c>
      <c r="R309" s="6">
        <f t="shared" ca="1" si="31"/>
        <v>1.7661308635131226E-2</v>
      </c>
      <c r="S309" s="6">
        <f t="shared" ca="1" si="32"/>
        <v>6.2521625493489469E-3</v>
      </c>
    </row>
    <row r="310" spans="16:19" s="6" customFormat="1" x14ac:dyDescent="0.3">
      <c r="P310" s="7">
        <f t="shared" ca="1" si="33"/>
        <v>0.57139997121345409</v>
      </c>
      <c r="Q310" s="6">
        <f t="shared" ca="1" si="34"/>
        <v>0.42860002878654591</v>
      </c>
      <c r="R310" s="6">
        <f t="shared" ca="1" si="31"/>
        <v>1.7349582616284408E-2</v>
      </c>
      <c r="S310" s="6">
        <f t="shared" ca="1" si="32"/>
        <v>6.1265312175757388E-3</v>
      </c>
    </row>
    <row r="311" spans="16:19" s="6" customFormat="1" x14ac:dyDescent="0.3">
      <c r="P311" s="7">
        <f t="shared" ca="1" si="33"/>
        <v>0.94703114131051214</v>
      </c>
      <c r="Q311" s="6">
        <f t="shared" ca="1" si="34"/>
        <v>5.2968858689487863E-2</v>
      </c>
      <c r="R311" s="6">
        <f t="shared" ca="1" si="31"/>
        <v>1.5480566333542386E-2</v>
      </c>
      <c r="S311" s="6">
        <f t="shared" ca="1" si="32"/>
        <v>5.0933955219474693E-3</v>
      </c>
    </row>
    <row r="312" spans="16:19" s="6" customFormat="1" x14ac:dyDescent="0.3">
      <c r="P312" s="7">
        <f t="shared" ca="1" si="33"/>
        <v>0.73505470597113542</v>
      </c>
      <c r="Q312" s="6">
        <f t="shared" ca="1" si="34"/>
        <v>0.26494529402886458</v>
      </c>
      <c r="R312" s="6">
        <f t="shared" ca="1" si="31"/>
        <v>1.6372274731834332E-2</v>
      </c>
      <c r="S312" s="6">
        <f t="shared" ca="1" si="32"/>
        <v>5.6764153547386644E-3</v>
      </c>
    </row>
    <row r="313" spans="16:19" s="6" customFormat="1" x14ac:dyDescent="0.3">
      <c r="P313" s="7">
        <f t="shared" ca="1" si="33"/>
        <v>4.3914684029345841E-3</v>
      </c>
      <c r="Q313" s="6">
        <f t="shared" ca="1" si="34"/>
        <v>0.99560853159706542</v>
      </c>
      <c r="R313" s="6">
        <f t="shared" ca="1" si="31"/>
        <v>2.2124937136924615E-2</v>
      </c>
      <c r="S313" s="6">
        <f t="shared" ca="1" si="32"/>
        <v>7.6860309891919436E-3</v>
      </c>
    </row>
    <row r="314" spans="16:19" s="6" customFormat="1" x14ac:dyDescent="0.3">
      <c r="P314" s="7">
        <f t="shared" ca="1" si="33"/>
        <v>0.31564027065483891</v>
      </c>
      <c r="Q314" s="6">
        <f t="shared" ca="1" si="34"/>
        <v>0.68435972934516109</v>
      </c>
      <c r="R314" s="6">
        <f t="shared" ca="1" si="31"/>
        <v>1.9280976187328269E-2</v>
      </c>
      <c r="S314" s="6">
        <f t="shared" ca="1" si="32"/>
        <v>6.8299725110179954E-3</v>
      </c>
    </row>
    <row r="315" spans="16:19" s="6" customFormat="1" x14ac:dyDescent="0.3">
      <c r="P315" s="7">
        <f t="shared" ca="1" si="33"/>
        <v>0.28586252495818687</v>
      </c>
      <c r="Q315" s="6">
        <f t="shared" ca="1" si="34"/>
        <v>0.71413747504181313</v>
      </c>
      <c r="R315" s="6">
        <f t="shared" ca="1" si="31"/>
        <v>1.9532497430286833E-2</v>
      </c>
      <c r="S315" s="6">
        <f t="shared" ca="1" si="32"/>
        <v>6.9118732010129266E-3</v>
      </c>
    </row>
    <row r="316" spans="16:19" s="6" customFormat="1" x14ac:dyDescent="0.3">
      <c r="P316" s="7">
        <f t="shared" ca="1" si="33"/>
        <v>0.41000230260229076</v>
      </c>
      <c r="Q316" s="6">
        <f t="shared" ca="1" si="34"/>
        <v>0.58999769739770924</v>
      </c>
      <c r="R316" s="6">
        <f t="shared" ca="1" si="31"/>
        <v>1.8518141807128956E-2</v>
      </c>
      <c r="S316" s="6">
        <f t="shared" ca="1" si="32"/>
        <v>6.570439247333467E-3</v>
      </c>
    </row>
    <row r="317" spans="16:19" s="6" customFormat="1" x14ac:dyDescent="0.3">
      <c r="P317" s="7">
        <f t="shared" ca="1" si="33"/>
        <v>0.49631121676320389</v>
      </c>
      <c r="Q317" s="6">
        <f t="shared" ca="1" si="34"/>
        <v>0.50368878323679611</v>
      </c>
      <c r="R317" s="6">
        <f t="shared" ca="1" si="31"/>
        <v>1.7870234799276716E-2</v>
      </c>
      <c r="S317" s="6">
        <f t="shared" ca="1" si="32"/>
        <v>6.3330552729217709E-3</v>
      </c>
    </row>
    <row r="318" spans="16:19" s="6" customFormat="1" x14ac:dyDescent="0.3">
      <c r="P318" s="7">
        <f t="shared" ca="1" si="33"/>
        <v>0.16677007257549259</v>
      </c>
      <c r="Q318" s="6">
        <f t="shared" ca="1" si="34"/>
        <v>0.83322992742450741</v>
      </c>
      <c r="R318" s="6">
        <f t="shared" ca="1" si="31"/>
        <v>2.058500791682558E-2</v>
      </c>
      <c r="S318" s="6">
        <f t="shared" ca="1" si="32"/>
        <v>7.2394249949832715E-3</v>
      </c>
    </row>
    <row r="319" spans="16:19" s="6" customFormat="1" x14ac:dyDescent="0.3">
      <c r="P319" s="7">
        <f t="shared" ca="1" si="33"/>
        <v>0.6839015025883024</v>
      </c>
      <c r="Q319" s="6">
        <f t="shared" ca="1" si="34"/>
        <v>0.3160984974116976</v>
      </c>
      <c r="R319" s="6">
        <f t="shared" ca="1" si="31"/>
        <v>1.6652933375490286E-2</v>
      </c>
      <c r="S319" s="6">
        <f t="shared" ca="1" si="32"/>
        <v>5.817107087927053E-3</v>
      </c>
    </row>
    <row r="320" spans="16:19" s="6" customFormat="1" x14ac:dyDescent="0.3">
      <c r="P320" s="7">
        <f t="shared" ca="1" si="33"/>
        <v>0.47496989037618365</v>
      </c>
      <c r="Q320" s="6">
        <f t="shared" ca="1" si="34"/>
        <v>0.52503010962381635</v>
      </c>
      <c r="R320" s="6">
        <f t="shared" ca="1" si="31"/>
        <v>1.8025709301763251E-2</v>
      </c>
      <c r="S320" s="6">
        <f t="shared" ca="1" si="32"/>
        <v>6.3917524414149694E-3</v>
      </c>
    </row>
    <row r="321" spans="16:19" s="6" customFormat="1" x14ac:dyDescent="0.3">
      <c r="P321" s="7">
        <f t="shared" ca="1" si="33"/>
        <v>0.51857083029752837</v>
      </c>
      <c r="Q321" s="6">
        <f t="shared" ca="1" si="34"/>
        <v>0.48142916970247163</v>
      </c>
      <c r="R321" s="6">
        <f t="shared" ca="1" si="31"/>
        <v>1.771153176681017E-2</v>
      </c>
      <c r="S321" s="6">
        <f t="shared" ca="1" si="32"/>
        <v>6.2718324481299444E-3</v>
      </c>
    </row>
    <row r="322" spans="16:19" s="6" customFormat="1" x14ac:dyDescent="0.3">
      <c r="P322" s="7">
        <f t="shared" ca="1" si="33"/>
        <v>0.20407561971902288</v>
      </c>
      <c r="Q322" s="6">
        <f t="shared" ca="1" si="34"/>
        <v>0.79592438028097712</v>
      </c>
      <c r="R322" s="6">
        <f t="shared" ca="1" si="31"/>
        <v>2.0247680455656836E-2</v>
      </c>
      <c r="S322" s="6">
        <f t="shared" ca="1" si="32"/>
        <v>7.1368198453920766E-3</v>
      </c>
    </row>
    <row r="323" spans="16:19" s="6" customFormat="1" x14ac:dyDescent="0.3">
      <c r="P323" s="7">
        <f t="shared" ca="1" si="33"/>
        <v>0.33093636704064755</v>
      </c>
      <c r="Q323" s="6">
        <f t="shared" ca="1" si="34"/>
        <v>0.66906363295935245</v>
      </c>
      <c r="R323" s="6">
        <f t="shared" ref="R323:R386" ca="1" si="35">SQRT((P323*L$22)^2+(Q323*M$22)^2+2*O$22*P323*Q323)</f>
        <v>1.9153720636845565E-2</v>
      </c>
      <c r="S323" s="6">
        <f t="shared" ca="1" si="32"/>
        <v>6.7879021387007394E-3</v>
      </c>
    </row>
    <row r="324" spans="16:19" s="6" customFormat="1" x14ac:dyDescent="0.3">
      <c r="P324" s="7">
        <f t="shared" ca="1" si="33"/>
        <v>0.78390689116764256</v>
      </c>
      <c r="Q324" s="6">
        <f t="shared" ca="1" si="34"/>
        <v>0.21609310883235744</v>
      </c>
      <c r="R324" s="6">
        <f t="shared" ca="1" si="35"/>
        <v>1.6126869794383766E-2</v>
      </c>
      <c r="S324" s="6">
        <f t="shared" ca="1" si="32"/>
        <v>5.5420523402877776E-3</v>
      </c>
    </row>
    <row r="325" spans="16:19" s="6" customFormat="1" x14ac:dyDescent="0.3">
      <c r="P325" s="7">
        <f t="shared" ca="1" si="33"/>
        <v>0.94205983452799802</v>
      </c>
      <c r="Q325" s="6">
        <f t="shared" ca="1" si="34"/>
        <v>5.7940165472001981E-2</v>
      </c>
      <c r="R325" s="6">
        <f t="shared" ca="1" si="35"/>
        <v>1.5496110654312065E-2</v>
      </c>
      <c r="S325" s="6">
        <f t="shared" ca="1" si="32"/>
        <v>5.107068600487802E-3</v>
      </c>
    </row>
    <row r="326" spans="16:19" s="6" customFormat="1" x14ac:dyDescent="0.3">
      <c r="P326" s="7">
        <f t="shared" ca="1" si="33"/>
        <v>0.5031846008861971</v>
      </c>
      <c r="Q326" s="6">
        <f t="shared" ca="1" si="34"/>
        <v>0.4968153991138029</v>
      </c>
      <c r="R326" s="6">
        <f t="shared" ca="1" si="35"/>
        <v>1.7820848583361207E-2</v>
      </c>
      <c r="S326" s="6">
        <f t="shared" ca="1" si="32"/>
        <v>6.314150722254705E-3</v>
      </c>
    </row>
    <row r="327" spans="16:19" s="6" customFormat="1" x14ac:dyDescent="0.3">
      <c r="P327" s="7">
        <f t="shared" ca="1" si="33"/>
        <v>0.6971570590350824</v>
      </c>
      <c r="Q327" s="6">
        <f t="shared" ca="1" si="34"/>
        <v>0.3028429409649176</v>
      </c>
      <c r="R327" s="6">
        <f t="shared" ca="1" si="35"/>
        <v>1.6577943274482049E-2</v>
      </c>
      <c r="S327" s="6">
        <f t="shared" ca="1" si="32"/>
        <v>5.7806490151663574E-3</v>
      </c>
    </row>
    <row r="328" spans="16:19" s="6" customFormat="1" x14ac:dyDescent="0.3">
      <c r="P328" s="7">
        <f t="shared" ca="1" si="33"/>
        <v>0.85905910042892852</v>
      </c>
      <c r="Q328" s="6">
        <f t="shared" ca="1" si="34"/>
        <v>0.14094089957107148</v>
      </c>
      <c r="R328" s="6">
        <f t="shared" ca="1" si="35"/>
        <v>1.5794892298944731E-2</v>
      </c>
      <c r="S328" s="6">
        <f t="shared" ca="1" si="32"/>
        <v>5.3353537588758625E-3</v>
      </c>
    </row>
    <row r="329" spans="16:19" s="6" customFormat="1" x14ac:dyDescent="0.3">
      <c r="P329" s="7">
        <f t="shared" ca="1" si="33"/>
        <v>0.41590377381720611</v>
      </c>
      <c r="Q329" s="6">
        <f t="shared" ca="1" si="34"/>
        <v>0.58409622618279389</v>
      </c>
      <c r="R329" s="6">
        <f t="shared" ca="1" si="35"/>
        <v>1.8472260133316473E-2</v>
      </c>
      <c r="S329" s="6">
        <f t="shared" ca="1" si="32"/>
        <v>6.5542078452182576E-3</v>
      </c>
    </row>
    <row r="330" spans="16:19" s="6" customFormat="1" x14ac:dyDescent="0.3">
      <c r="P330" s="7">
        <f t="shared" ca="1" si="33"/>
        <v>0.67640457988553415</v>
      </c>
      <c r="Q330" s="6">
        <f t="shared" ca="1" si="34"/>
        <v>0.32359542011446585</v>
      </c>
      <c r="R330" s="6">
        <f t="shared" ca="1" si="35"/>
        <v>1.6696032124811491E-2</v>
      </c>
      <c r="S330" s="6">
        <f t="shared" ca="1" si="32"/>
        <v>5.8377266186480916E-3</v>
      </c>
    </row>
    <row r="331" spans="16:19" s="6" customFormat="1" x14ac:dyDescent="0.3">
      <c r="P331" s="7">
        <f t="shared" ca="1" si="33"/>
        <v>0.63875172389286694</v>
      </c>
      <c r="Q331" s="6">
        <f t="shared" ca="1" si="34"/>
        <v>0.36124827610713306</v>
      </c>
      <c r="R331" s="6">
        <f t="shared" ca="1" si="35"/>
        <v>1.6919846600780747E-2</v>
      </c>
      <c r="S331" s="6">
        <f t="shared" ca="1" si="32"/>
        <v>5.9412870062440521E-3</v>
      </c>
    </row>
    <row r="332" spans="16:19" s="6" customFormat="1" x14ac:dyDescent="0.3">
      <c r="P332" s="7">
        <f t="shared" ca="1" si="33"/>
        <v>0.27495558936658004</v>
      </c>
      <c r="Q332" s="6">
        <f t="shared" ca="1" si="34"/>
        <v>0.72504441063341996</v>
      </c>
      <c r="R332" s="6">
        <f t="shared" ca="1" si="35"/>
        <v>1.9625845680197627E-2</v>
      </c>
      <c r="S332" s="6">
        <f t="shared" ca="1" si="32"/>
        <v>6.9418716286905229E-3</v>
      </c>
    </row>
    <row r="333" spans="16:19" s="6" customFormat="1" x14ac:dyDescent="0.3">
      <c r="P333" s="7">
        <f t="shared" ca="1" si="33"/>
        <v>0.38407927676337261</v>
      </c>
      <c r="Q333" s="6">
        <f t="shared" ca="1" si="34"/>
        <v>0.61592072323662739</v>
      </c>
      <c r="R333" s="6">
        <f t="shared" ca="1" si="35"/>
        <v>1.8722304264630361E-2</v>
      </c>
      <c r="S333" s="6">
        <f t="shared" ca="1" si="32"/>
        <v>6.6417379186496945E-3</v>
      </c>
    </row>
    <row r="334" spans="16:19" s="6" customFormat="1" x14ac:dyDescent="0.3">
      <c r="P334" s="7">
        <f t="shared" ca="1" si="33"/>
        <v>0.61946872090872418</v>
      </c>
      <c r="Q334" s="6">
        <f t="shared" ca="1" si="34"/>
        <v>0.38053127909127582</v>
      </c>
      <c r="R334" s="6">
        <f t="shared" ca="1" si="35"/>
        <v>1.7039109594027824E-2</v>
      </c>
      <c r="S334" s="6">
        <f t="shared" ca="1" si="32"/>
        <v>5.9943229635547202E-3</v>
      </c>
    </row>
    <row r="335" spans="16:19" s="6" customFormat="1" x14ac:dyDescent="0.3">
      <c r="P335" s="7">
        <f t="shared" ca="1" si="33"/>
        <v>0.16626085091884679</v>
      </c>
      <c r="Q335" s="6">
        <f t="shared" ca="1" si="34"/>
        <v>0.83373914908115321</v>
      </c>
      <c r="R335" s="6">
        <f t="shared" ca="1" si="35"/>
        <v>2.058965809861692E-2</v>
      </c>
      <c r="S335" s="6">
        <f t="shared" ca="1" si="32"/>
        <v>7.2408255578554417E-3</v>
      </c>
    </row>
    <row r="336" spans="16:19" s="6" customFormat="1" x14ac:dyDescent="0.3">
      <c r="P336" s="7">
        <f t="shared" ca="1" si="33"/>
        <v>0.2403565485558592</v>
      </c>
      <c r="Q336" s="6">
        <f t="shared" ca="1" si="34"/>
        <v>0.7596434514441408</v>
      </c>
      <c r="R336" s="6">
        <f t="shared" ca="1" si="35"/>
        <v>1.9926159399532899E-2</v>
      </c>
      <c r="S336" s="6">
        <f t="shared" ca="1" si="32"/>
        <v>7.0370328052425614E-3</v>
      </c>
    </row>
    <row r="337" spans="16:19" s="6" customFormat="1" x14ac:dyDescent="0.3">
      <c r="P337" s="7">
        <f t="shared" ca="1" si="33"/>
        <v>0.88919373130679524</v>
      </c>
      <c r="Q337" s="6">
        <f t="shared" ca="1" si="34"/>
        <v>0.11080626869320476</v>
      </c>
      <c r="R337" s="6">
        <f t="shared" ca="1" si="35"/>
        <v>1.5677961469535415E-2</v>
      </c>
      <c r="S337" s="6">
        <f t="shared" ca="1" si="32"/>
        <v>5.2524714921394211E-3</v>
      </c>
    </row>
    <row r="338" spans="16:19" s="6" customFormat="1" x14ac:dyDescent="0.3">
      <c r="P338" s="7">
        <f t="shared" ca="1" si="33"/>
        <v>0.16280912472657494</v>
      </c>
      <c r="Q338" s="6">
        <f t="shared" ca="1" si="34"/>
        <v>0.83719087527342506</v>
      </c>
      <c r="R338" s="6">
        <f t="shared" ca="1" si="35"/>
        <v>2.0621210881151965E-2</v>
      </c>
      <c r="S338" s="6">
        <f t="shared" ca="1" si="32"/>
        <v>7.2503191830512684E-3</v>
      </c>
    </row>
    <row r="339" spans="16:19" s="6" customFormat="1" x14ac:dyDescent="0.3">
      <c r="P339" s="7">
        <f t="shared" ca="1" si="33"/>
        <v>0.96451947331476728</v>
      </c>
      <c r="Q339" s="6">
        <f t="shared" ca="1" si="34"/>
        <v>3.5480526685232716E-2</v>
      </c>
      <c r="R339" s="6">
        <f t="shared" ca="1" si="35"/>
        <v>1.5428042956248542E-2</v>
      </c>
      <c r="S339" s="6">
        <f t="shared" ca="1" si="32"/>
        <v>5.0452956263878817E-3</v>
      </c>
    </row>
    <row r="340" spans="16:19" s="6" customFormat="1" x14ac:dyDescent="0.3">
      <c r="P340" s="7">
        <f t="shared" ca="1" si="33"/>
        <v>0.31104972066460324</v>
      </c>
      <c r="Q340" s="6">
        <f t="shared" ca="1" si="34"/>
        <v>0.68895027933539676</v>
      </c>
      <c r="R340" s="6">
        <f t="shared" ca="1" si="35"/>
        <v>1.9319427489604874E-2</v>
      </c>
      <c r="S340" s="6">
        <f t="shared" ca="1" si="32"/>
        <v>6.8425983563551998E-3</v>
      </c>
    </row>
    <row r="341" spans="16:19" s="6" customFormat="1" x14ac:dyDescent="0.3">
      <c r="P341" s="7">
        <f t="shared" ca="1" si="33"/>
        <v>0.58488022665085915</v>
      </c>
      <c r="Q341" s="6">
        <f t="shared" ca="1" si="34"/>
        <v>0.41511977334914085</v>
      </c>
      <c r="R341" s="6">
        <f t="shared" ca="1" si="35"/>
        <v>1.7260655087294005E-2</v>
      </c>
      <c r="S341" s="6">
        <f t="shared" ca="1" si="32"/>
        <v>6.089455132875495E-3</v>
      </c>
    </row>
    <row r="342" spans="16:19" s="6" customFormat="1" x14ac:dyDescent="0.3">
      <c r="P342" s="7">
        <f t="shared" ca="1" si="33"/>
        <v>0.14695099276968226</v>
      </c>
      <c r="Q342" s="6">
        <f t="shared" ca="1" si="34"/>
        <v>0.85304900723031774</v>
      </c>
      <c r="R342" s="6">
        <f t="shared" ca="1" si="35"/>
        <v>2.0766879168211658E-2</v>
      </c>
      <c r="S342" s="6">
        <f t="shared" ref="S342:S405" ca="1" si="36">(P342*F$22+Q342*G$22)</f>
        <v>7.2939353775923546E-3</v>
      </c>
    </row>
    <row r="343" spans="16:19" s="6" customFormat="1" x14ac:dyDescent="0.3">
      <c r="P343" s="7">
        <f t="shared" ca="1" si="33"/>
        <v>8.2999974505654439E-2</v>
      </c>
      <c r="Q343" s="6">
        <f t="shared" ca="1" si="34"/>
        <v>0.91700002549434556</v>
      </c>
      <c r="R343" s="6">
        <f t="shared" ca="1" si="35"/>
        <v>2.1365666822174584E-2</v>
      </c>
      <c r="S343" s="6">
        <f t="shared" ca="1" si="36"/>
        <v>7.4698262114740871E-3</v>
      </c>
    </row>
    <row r="344" spans="16:19" s="6" customFormat="1" x14ac:dyDescent="0.3">
      <c r="P344" s="7">
        <f t="shared" ref="P344:P407" ca="1" si="37">RAND()</f>
        <v>0.83547635163184475</v>
      </c>
      <c r="Q344" s="6">
        <f t="shared" ref="Q344:Q407" ca="1" si="38">1-P344</f>
        <v>0.16452364836815525</v>
      </c>
      <c r="R344" s="6">
        <f t="shared" ca="1" si="35"/>
        <v>1.5892950847145065E-2</v>
      </c>
      <c r="S344" s="6">
        <f t="shared" ca="1" si="36"/>
        <v>5.4002157339270978E-3</v>
      </c>
    </row>
    <row r="345" spans="16:19" s="6" customFormat="1" x14ac:dyDescent="0.3">
      <c r="P345" s="7">
        <f t="shared" ca="1" si="37"/>
        <v>0.8973174264507483</v>
      </c>
      <c r="Q345" s="6">
        <f t="shared" ca="1" si="38"/>
        <v>0.1026825735492517</v>
      </c>
      <c r="R345" s="6">
        <f t="shared" ca="1" si="35"/>
        <v>1.5648071346835522E-2</v>
      </c>
      <c r="S345" s="6">
        <f t="shared" ca="1" si="36"/>
        <v>5.2301280869543523E-3</v>
      </c>
    </row>
    <row r="346" spans="16:19" s="6" customFormat="1" x14ac:dyDescent="0.3">
      <c r="P346" s="7">
        <f t="shared" ca="1" si="37"/>
        <v>0.99086500080474882</v>
      </c>
      <c r="Q346" s="6">
        <f t="shared" ca="1" si="38"/>
        <v>9.1349991952511811E-3</v>
      </c>
      <c r="R346" s="6">
        <f t="shared" ca="1" si="35"/>
        <v>1.535532637550382E-2</v>
      </c>
      <c r="S346" s="6">
        <f t="shared" ca="1" si="36"/>
        <v>4.9728349068394401E-3</v>
      </c>
    </row>
    <row r="347" spans="16:19" s="6" customFormat="1" x14ac:dyDescent="0.3">
      <c r="P347" s="7">
        <f t="shared" ca="1" si="37"/>
        <v>0.89417670579812558</v>
      </c>
      <c r="Q347" s="6">
        <f t="shared" ca="1" si="38"/>
        <v>0.10582329420187442</v>
      </c>
      <c r="R347" s="6">
        <f t="shared" ca="1" si="35"/>
        <v>1.565954435902072E-2</v>
      </c>
      <c r="S347" s="6">
        <f t="shared" ca="1" si="36"/>
        <v>5.23876632274129E-3</v>
      </c>
    </row>
    <row r="348" spans="16:19" s="6" customFormat="1" x14ac:dyDescent="0.3">
      <c r="P348" s="7">
        <f t="shared" ca="1" si="37"/>
        <v>0.54174772056172715</v>
      </c>
      <c r="Q348" s="6">
        <f t="shared" ca="1" si="38"/>
        <v>0.45825227943827285</v>
      </c>
      <c r="R348" s="6">
        <f t="shared" ca="1" si="35"/>
        <v>1.7550146395504822E-2</v>
      </c>
      <c r="S348" s="6">
        <f t="shared" ca="1" si="36"/>
        <v>6.2080867460908512E-3</v>
      </c>
    </row>
    <row r="349" spans="16:19" s="6" customFormat="1" x14ac:dyDescent="0.3">
      <c r="P349" s="7">
        <f t="shared" ca="1" si="37"/>
        <v>0.75292285772298817</v>
      </c>
      <c r="Q349" s="6">
        <f t="shared" ca="1" si="38"/>
        <v>0.24707714227701183</v>
      </c>
      <c r="R349" s="6">
        <f t="shared" ca="1" si="35"/>
        <v>1.6279894532635307E-2</v>
      </c>
      <c r="S349" s="6">
        <f t="shared" ca="1" si="36"/>
        <v>5.6272708032229536E-3</v>
      </c>
    </row>
    <row r="350" spans="16:19" s="6" customFormat="1" x14ac:dyDescent="0.3">
      <c r="P350" s="7">
        <f t="shared" ca="1" si="37"/>
        <v>0.39215514719367051</v>
      </c>
      <c r="Q350" s="6">
        <f t="shared" ca="1" si="38"/>
        <v>0.60784485280632949</v>
      </c>
      <c r="R350" s="6">
        <f t="shared" ca="1" si="35"/>
        <v>1.8658247671541922E-2</v>
      </c>
      <c r="S350" s="6">
        <f t="shared" ca="1" si="36"/>
        <v>6.619526050522101E-3</v>
      </c>
    </row>
    <row r="351" spans="16:19" s="6" customFormat="1" x14ac:dyDescent="0.3">
      <c r="P351" s="7">
        <f t="shared" ca="1" si="37"/>
        <v>0.32604330087859812</v>
      </c>
      <c r="Q351" s="6">
        <f t="shared" ca="1" si="38"/>
        <v>0.67395669912140188</v>
      </c>
      <c r="R351" s="6">
        <f t="shared" ca="1" si="35"/>
        <v>1.9194282301498649E-2</v>
      </c>
      <c r="S351" s="6">
        <f t="shared" ca="1" si="36"/>
        <v>6.8013600242957453E-3</v>
      </c>
    </row>
    <row r="352" spans="16:19" s="6" customFormat="1" x14ac:dyDescent="0.3">
      <c r="P352" s="7">
        <f t="shared" ca="1" si="37"/>
        <v>0.26515716549358359</v>
      </c>
      <c r="Q352" s="6">
        <f t="shared" ca="1" si="38"/>
        <v>0.73484283450641641</v>
      </c>
      <c r="R352" s="6">
        <f t="shared" ca="1" si="35"/>
        <v>1.9710252886283468E-2</v>
      </c>
      <c r="S352" s="6">
        <f t="shared" ca="1" si="36"/>
        <v>6.9688212065476341E-3</v>
      </c>
    </row>
    <row r="353" spans="16:19" s="6" customFormat="1" x14ac:dyDescent="0.3">
      <c r="P353" s="7">
        <f t="shared" ca="1" si="37"/>
        <v>0.50488355479439251</v>
      </c>
      <c r="Q353" s="6">
        <f t="shared" ca="1" si="38"/>
        <v>0.49511644520560749</v>
      </c>
      <c r="R353" s="6">
        <f t="shared" ca="1" si="35"/>
        <v>1.7808693608640208E-2</v>
      </c>
      <c r="S353" s="6">
        <f t="shared" ca="1" si="36"/>
        <v>6.3094779206676315E-3</v>
      </c>
    </row>
    <row r="354" spans="16:19" s="6" customFormat="1" x14ac:dyDescent="0.3">
      <c r="P354" s="7">
        <f t="shared" ca="1" si="37"/>
        <v>0.70465229085420111</v>
      </c>
      <c r="Q354" s="6">
        <f t="shared" ca="1" si="38"/>
        <v>0.29534770914579889</v>
      </c>
      <c r="R354" s="6">
        <f t="shared" ca="1" si="35"/>
        <v>1.6536233963250335E-2</v>
      </c>
      <c r="S354" s="6">
        <f t="shared" ca="1" si="36"/>
        <v>5.7600341350504732E-3</v>
      </c>
    </row>
    <row r="355" spans="16:19" s="6" customFormat="1" x14ac:dyDescent="0.3">
      <c r="P355" s="7">
        <f t="shared" ca="1" si="37"/>
        <v>0.32789594772638531</v>
      </c>
      <c r="Q355" s="6">
        <f t="shared" ca="1" si="38"/>
        <v>0.67210405227361469</v>
      </c>
      <c r="R355" s="6">
        <f t="shared" ca="1" si="35"/>
        <v>1.9178908308442259E-2</v>
      </c>
      <c r="S355" s="6">
        <f t="shared" ca="1" si="36"/>
        <v>6.7962645057599762E-3</v>
      </c>
    </row>
    <row r="356" spans="16:19" s="6" customFormat="1" x14ac:dyDescent="0.3">
      <c r="P356" s="7">
        <f t="shared" ca="1" si="37"/>
        <v>5.7090141646872095E-2</v>
      </c>
      <c r="Q356" s="6">
        <f t="shared" ca="1" si="38"/>
        <v>0.94290985835312791</v>
      </c>
      <c r="R356" s="6">
        <f t="shared" ca="1" si="35"/>
        <v>2.1613207366625253E-2</v>
      </c>
      <c r="S356" s="6">
        <f t="shared" ca="1" si="36"/>
        <v>7.5410885968273944E-3</v>
      </c>
    </row>
    <row r="357" spans="16:19" s="6" customFormat="1" x14ac:dyDescent="0.3">
      <c r="P357" s="7">
        <f t="shared" ca="1" si="37"/>
        <v>0.80846405650661268</v>
      </c>
      <c r="Q357" s="6">
        <f t="shared" ca="1" si="38"/>
        <v>0.19153594349338732</v>
      </c>
      <c r="R357" s="6">
        <f t="shared" ca="1" si="35"/>
        <v>1.6012189174558093E-2</v>
      </c>
      <c r="S357" s="6">
        <f t="shared" ca="1" si="36"/>
        <v>5.4745103306920893E-3</v>
      </c>
    </row>
    <row r="358" spans="16:19" s="6" customFormat="1" x14ac:dyDescent="0.3">
      <c r="P358" s="7">
        <f t="shared" ca="1" si="37"/>
        <v>0.22536098808079452</v>
      </c>
      <c r="Q358" s="6">
        <f t="shared" ca="1" si="38"/>
        <v>0.77463901191920548</v>
      </c>
      <c r="R358" s="6">
        <f t="shared" ca="1" si="35"/>
        <v>2.005824737404294E-2</v>
      </c>
      <c r="S358" s="6">
        <f t="shared" ca="1" si="36"/>
        <v>7.0782765838106141E-3</v>
      </c>
    </row>
    <row r="359" spans="16:19" s="6" customFormat="1" x14ac:dyDescent="0.3">
      <c r="P359" s="7">
        <f t="shared" ca="1" si="37"/>
        <v>0.84251163177411648</v>
      </c>
      <c r="Q359" s="6">
        <f t="shared" ca="1" si="38"/>
        <v>0.15748836822588352</v>
      </c>
      <c r="R359" s="6">
        <f t="shared" ca="1" si="35"/>
        <v>1.5863102899547392E-2</v>
      </c>
      <c r="S359" s="6">
        <f t="shared" ca="1" si="36"/>
        <v>5.3808659045669633E-3</v>
      </c>
    </row>
    <row r="360" spans="16:19" s="6" customFormat="1" x14ac:dyDescent="0.3">
      <c r="P360" s="7">
        <f t="shared" ca="1" si="37"/>
        <v>6.7809659115024679E-2</v>
      </c>
      <c r="Q360" s="6">
        <f t="shared" ca="1" si="38"/>
        <v>0.93219034088497532</v>
      </c>
      <c r="R360" s="6">
        <f t="shared" ca="1" si="35"/>
        <v>2.1510460411086719E-2</v>
      </c>
      <c r="S360" s="6">
        <f t="shared" ca="1" si="36"/>
        <v>7.5116056438195335E-3</v>
      </c>
    </row>
    <row r="361" spans="16:19" s="6" customFormat="1" x14ac:dyDescent="0.3">
      <c r="P361" s="7">
        <f t="shared" ca="1" si="37"/>
        <v>0.89866550051455318</v>
      </c>
      <c r="Q361" s="6">
        <f t="shared" ca="1" si="38"/>
        <v>0.10133449948544682</v>
      </c>
      <c r="R361" s="6">
        <f t="shared" ca="1" si="35"/>
        <v>1.5643178965844353E-2</v>
      </c>
      <c r="S361" s="6">
        <f t="shared" ca="1" si="36"/>
        <v>5.2264203450347784E-3</v>
      </c>
    </row>
    <row r="362" spans="16:19" s="6" customFormat="1" x14ac:dyDescent="0.3">
      <c r="P362" s="7">
        <f t="shared" ca="1" si="37"/>
        <v>6.7564743896477042E-2</v>
      </c>
      <c r="Q362" s="6">
        <f t="shared" ca="1" si="38"/>
        <v>0.93243525610352296</v>
      </c>
      <c r="R362" s="6">
        <f t="shared" ca="1" si="35"/>
        <v>2.1512802713784727E-2</v>
      </c>
      <c r="S362" s="6">
        <f t="shared" ca="1" si="36"/>
        <v>7.512279258457581E-3</v>
      </c>
    </row>
    <row r="363" spans="16:19" s="6" customFormat="1" x14ac:dyDescent="0.3">
      <c r="P363" s="7">
        <f t="shared" ca="1" si="37"/>
        <v>0.36505436950510406</v>
      </c>
      <c r="Q363" s="6">
        <f t="shared" ca="1" si="38"/>
        <v>0.63494563049489594</v>
      </c>
      <c r="R363" s="6">
        <f t="shared" ca="1" si="35"/>
        <v>1.8874797929303654E-2</v>
      </c>
      <c r="S363" s="6">
        <f t="shared" ca="1" si="36"/>
        <v>6.694064009664602E-3</v>
      </c>
    </row>
    <row r="364" spans="16:19" s="6" customFormat="1" x14ac:dyDescent="0.3">
      <c r="P364" s="7">
        <f t="shared" ca="1" si="37"/>
        <v>0.70910918428713965</v>
      </c>
      <c r="Q364" s="6">
        <f t="shared" ca="1" si="38"/>
        <v>0.29089081571286035</v>
      </c>
      <c r="R364" s="6">
        <f t="shared" ca="1" si="35"/>
        <v>1.6511671760287051E-2</v>
      </c>
      <c r="S364" s="6">
        <f t="shared" ca="1" si="36"/>
        <v>5.7477758986107484E-3</v>
      </c>
    </row>
    <row r="365" spans="16:19" s="6" customFormat="1" x14ac:dyDescent="0.3">
      <c r="P365" s="7">
        <f t="shared" ca="1" si="37"/>
        <v>9.0596292097763542E-2</v>
      </c>
      <c r="Q365" s="6">
        <f t="shared" ca="1" si="38"/>
        <v>0.90940370790223646</v>
      </c>
      <c r="R365" s="6">
        <f t="shared" ca="1" si="35"/>
        <v>2.129361882130312E-2</v>
      </c>
      <c r="S365" s="6">
        <f t="shared" ca="1" si="36"/>
        <v>7.4489333051220687E-3</v>
      </c>
    </row>
    <row r="366" spans="16:19" s="6" customFormat="1" x14ac:dyDescent="0.3">
      <c r="P366" s="7">
        <f t="shared" ca="1" si="37"/>
        <v>0.15893859468573512</v>
      </c>
      <c r="Q366" s="6">
        <f t="shared" ca="1" si="38"/>
        <v>0.84106140531426488</v>
      </c>
      <c r="R366" s="6">
        <f t="shared" ca="1" si="35"/>
        <v>2.0656657758067444E-2</v>
      </c>
      <c r="S366" s="6">
        <f t="shared" ca="1" si="36"/>
        <v>7.2609646860460272E-3</v>
      </c>
    </row>
    <row r="367" spans="16:19" s="6" customFormat="1" x14ac:dyDescent="0.3">
      <c r="P367" s="7">
        <f t="shared" ca="1" si="37"/>
        <v>0.26128362708399278</v>
      </c>
      <c r="Q367" s="6">
        <f t="shared" ca="1" si="38"/>
        <v>0.73871637291600722</v>
      </c>
      <c r="R367" s="6">
        <f t="shared" ca="1" si="35"/>
        <v>1.9743762033479342E-2</v>
      </c>
      <c r="S367" s="6">
        <f t="shared" ca="1" si="36"/>
        <v>6.9794749837576069E-3</v>
      </c>
    </row>
    <row r="368" spans="16:19" s="6" customFormat="1" x14ac:dyDescent="0.3">
      <c r="P368" s="7">
        <f t="shared" ca="1" si="37"/>
        <v>0.70303594813624726</v>
      </c>
      <c r="Q368" s="6">
        <f t="shared" ca="1" si="38"/>
        <v>0.29696405186375274</v>
      </c>
      <c r="R368" s="6">
        <f t="shared" ca="1" si="35"/>
        <v>1.654518593146078E-2</v>
      </c>
      <c r="S368" s="6">
        <f t="shared" ca="1" si="36"/>
        <v>5.7644797228802985E-3</v>
      </c>
    </row>
    <row r="369" spans="16:19" s="6" customFormat="1" x14ac:dyDescent="0.3">
      <c r="P369" s="7">
        <f t="shared" ca="1" si="37"/>
        <v>0.90530635136720605</v>
      </c>
      <c r="Q369" s="6">
        <f t="shared" ca="1" si="38"/>
        <v>9.4693648632793948E-2</v>
      </c>
      <c r="R369" s="6">
        <f t="shared" ca="1" si="35"/>
        <v>1.5619360534040326E-2</v>
      </c>
      <c r="S369" s="6">
        <f t="shared" ca="1" si="36"/>
        <v>5.2081553537044623E-3</v>
      </c>
    </row>
    <row r="370" spans="16:19" s="6" customFormat="1" x14ac:dyDescent="0.3">
      <c r="P370" s="7">
        <f t="shared" ca="1" si="37"/>
        <v>0.65578945956954382</v>
      </c>
      <c r="Q370" s="6">
        <f t="shared" ca="1" si="38"/>
        <v>0.34421054043045618</v>
      </c>
      <c r="R370" s="6">
        <f t="shared" ca="1" si="35"/>
        <v>1.681706730455208E-2</v>
      </c>
      <c r="S370" s="6">
        <f t="shared" ca="1" si="36"/>
        <v>5.8944264304944243E-3</v>
      </c>
    </row>
    <row r="371" spans="16:19" s="6" customFormat="1" x14ac:dyDescent="0.3">
      <c r="P371" s="7">
        <f t="shared" ca="1" si="37"/>
        <v>0.77727890380702014</v>
      </c>
      <c r="Q371" s="6">
        <f t="shared" ca="1" si="38"/>
        <v>0.22272109619297986</v>
      </c>
      <c r="R371" s="6">
        <f t="shared" ca="1" si="35"/>
        <v>1.6158830032815149E-2</v>
      </c>
      <c r="S371" s="6">
        <f t="shared" ca="1" si="36"/>
        <v>5.5602819518790168E-3</v>
      </c>
    </row>
    <row r="372" spans="16:19" s="6" customFormat="1" x14ac:dyDescent="0.3">
      <c r="P372" s="7">
        <f t="shared" ca="1" si="37"/>
        <v>0.7614920213554538</v>
      </c>
      <c r="Q372" s="6">
        <f t="shared" ca="1" si="38"/>
        <v>0.2385079786445462</v>
      </c>
      <c r="R372" s="6">
        <f t="shared" ca="1" si="35"/>
        <v>1.6236656136038495E-2</v>
      </c>
      <c r="S372" s="6">
        <f t="shared" ca="1" si="36"/>
        <v>5.603702181832741E-3</v>
      </c>
    </row>
    <row r="373" spans="16:19" s="6" customFormat="1" x14ac:dyDescent="0.3">
      <c r="P373" s="7">
        <f t="shared" ca="1" si="37"/>
        <v>0.47543014086813928</v>
      </c>
      <c r="Q373" s="6">
        <f t="shared" ca="1" si="38"/>
        <v>0.52456985913186072</v>
      </c>
      <c r="R373" s="6">
        <f t="shared" ca="1" si="35"/>
        <v>1.802232263309226E-2</v>
      </c>
      <c r="S373" s="6">
        <f t="shared" ca="1" si="36"/>
        <v>6.3904865687983616E-3</v>
      </c>
    </row>
    <row r="374" spans="16:19" s="6" customFormat="1" x14ac:dyDescent="0.3">
      <c r="P374" s="7">
        <f t="shared" ca="1" si="37"/>
        <v>0.62733387163097654</v>
      </c>
      <c r="Q374" s="6">
        <f t="shared" ca="1" si="38"/>
        <v>0.37266612836902346</v>
      </c>
      <c r="R374" s="6">
        <f t="shared" ca="1" si="35"/>
        <v>1.6990091604569751E-2</v>
      </c>
      <c r="S374" s="6">
        <f t="shared" ca="1" si="36"/>
        <v>5.9726906587580873E-3</v>
      </c>
    </row>
    <row r="375" spans="16:19" s="6" customFormat="1" x14ac:dyDescent="0.3">
      <c r="P375" s="7">
        <f t="shared" ca="1" si="37"/>
        <v>0.39925355943780805</v>
      </c>
      <c r="Q375" s="6">
        <f t="shared" ca="1" si="38"/>
        <v>0.60074644056219195</v>
      </c>
      <c r="R375" s="6">
        <f t="shared" ca="1" si="35"/>
        <v>1.8602281358727595E-2</v>
      </c>
      <c r="S375" s="6">
        <f t="shared" ca="1" si="36"/>
        <v>6.6000025826751484E-3</v>
      </c>
    </row>
    <row r="376" spans="16:19" s="6" customFormat="1" x14ac:dyDescent="0.3">
      <c r="P376" s="7">
        <f t="shared" ca="1" si="37"/>
        <v>0.20389009717093853</v>
      </c>
      <c r="Q376" s="6">
        <f t="shared" ca="1" si="38"/>
        <v>0.79610990282906147</v>
      </c>
      <c r="R376" s="6">
        <f t="shared" ca="1" si="35"/>
        <v>2.0249341402244183E-2</v>
      </c>
      <c r="S376" s="6">
        <f t="shared" ca="1" si="36"/>
        <v>7.1373301064727003E-3</v>
      </c>
    </row>
    <row r="377" spans="16:19" s="6" customFormat="1" x14ac:dyDescent="0.3">
      <c r="P377" s="7">
        <f t="shared" ca="1" si="37"/>
        <v>0.62229535835380978</v>
      </c>
      <c r="Q377" s="6">
        <f t="shared" ca="1" si="38"/>
        <v>0.37770464164619022</v>
      </c>
      <c r="R377" s="6">
        <f t="shared" ca="1" si="35"/>
        <v>1.702143433713434E-2</v>
      </c>
      <c r="S377" s="6">
        <f t="shared" ca="1" si="36"/>
        <v>5.9865485819921814E-3</v>
      </c>
    </row>
    <row r="378" spans="16:19" s="6" customFormat="1" x14ac:dyDescent="0.3">
      <c r="P378" s="7">
        <f t="shared" ca="1" si="37"/>
        <v>0.8557795479211201</v>
      </c>
      <c r="Q378" s="6">
        <f t="shared" ca="1" si="38"/>
        <v>0.1442204520788799</v>
      </c>
      <c r="R378" s="6">
        <f t="shared" ca="1" si="35"/>
        <v>1.5808187490595822E-2</v>
      </c>
      <c r="S378" s="6">
        <f t="shared" ca="1" si="36"/>
        <v>5.344373837695808E-3</v>
      </c>
    </row>
    <row r="379" spans="16:19" s="6" customFormat="1" x14ac:dyDescent="0.3">
      <c r="P379" s="7">
        <f t="shared" ca="1" si="37"/>
        <v>0.13657980382317325</v>
      </c>
      <c r="Q379" s="6">
        <f t="shared" ca="1" si="38"/>
        <v>0.86342019617682675</v>
      </c>
      <c r="R379" s="6">
        <f t="shared" ca="1" si="35"/>
        <v>2.0862765421950313E-2</v>
      </c>
      <c r="S379" s="6">
        <f t="shared" ca="1" si="36"/>
        <v>7.322460288088934E-3</v>
      </c>
    </row>
    <row r="380" spans="16:19" s="6" customFormat="1" x14ac:dyDescent="0.3">
      <c r="P380" s="7">
        <f t="shared" ca="1" si="37"/>
        <v>0.98094678853028994</v>
      </c>
      <c r="Q380" s="6">
        <f t="shared" ca="1" si="38"/>
        <v>1.9053211469710063E-2</v>
      </c>
      <c r="R380" s="6">
        <f t="shared" ca="1" si="35"/>
        <v>1.5381792017858964E-2</v>
      </c>
      <c r="S380" s="6">
        <f t="shared" ca="1" si="36"/>
        <v>5.0001139506283621E-3</v>
      </c>
    </row>
    <row r="381" spans="16:19" s="6" customFormat="1" x14ac:dyDescent="0.3">
      <c r="P381" s="7">
        <f t="shared" ca="1" si="37"/>
        <v>0.34905945708221786</v>
      </c>
      <c r="Q381" s="6">
        <f t="shared" ca="1" si="38"/>
        <v>0.65094054291778214</v>
      </c>
      <c r="R381" s="6">
        <f t="shared" ca="1" si="35"/>
        <v>1.9004701701596249E-2</v>
      </c>
      <c r="S381" s="6">
        <f t="shared" ca="1" si="36"/>
        <v>6.738056405099363E-3</v>
      </c>
    </row>
    <row r="382" spans="16:19" s="6" customFormat="1" x14ac:dyDescent="0.3">
      <c r="P382" s="7">
        <f t="shared" ca="1" si="37"/>
        <v>7.4853168192605457E-2</v>
      </c>
      <c r="Q382" s="6">
        <f t="shared" ca="1" si="38"/>
        <v>0.92514683180739454</v>
      </c>
      <c r="R382" s="6">
        <f t="shared" ca="1" si="35"/>
        <v>2.1443203453864135E-2</v>
      </c>
      <c r="S382" s="6">
        <f t="shared" ca="1" si="36"/>
        <v>7.4922331816017415E-3</v>
      </c>
    </row>
    <row r="383" spans="16:19" s="6" customFormat="1" x14ac:dyDescent="0.3">
      <c r="P383" s="7">
        <f t="shared" ca="1" si="37"/>
        <v>0.26213919393415019</v>
      </c>
      <c r="Q383" s="6">
        <f t="shared" ca="1" si="38"/>
        <v>0.73786080606584981</v>
      </c>
      <c r="R383" s="6">
        <f t="shared" ca="1" si="35"/>
        <v>1.9736353869259878E-2</v>
      </c>
      <c r="S383" s="6">
        <f t="shared" ca="1" si="36"/>
        <v>6.9771218333183997E-3</v>
      </c>
    </row>
    <row r="384" spans="16:19" s="6" customFormat="1" x14ac:dyDescent="0.3">
      <c r="P384" s="7">
        <f t="shared" ca="1" si="37"/>
        <v>0.38505212553914581</v>
      </c>
      <c r="Q384" s="6">
        <f t="shared" ca="1" si="38"/>
        <v>0.61494787446085419</v>
      </c>
      <c r="R384" s="6">
        <f t="shared" ca="1" si="35"/>
        <v>1.8714566269724977E-2</v>
      </c>
      <c r="S384" s="6">
        <f t="shared" ca="1" si="36"/>
        <v>6.6390621960880133E-3</v>
      </c>
    </row>
    <row r="385" spans="16:19" s="6" customFormat="1" x14ac:dyDescent="0.3">
      <c r="P385" s="7">
        <f t="shared" ca="1" si="37"/>
        <v>0.83158020390540677</v>
      </c>
      <c r="Q385" s="6">
        <f t="shared" ca="1" si="38"/>
        <v>0.16841979609459323</v>
      </c>
      <c r="R385" s="6">
        <f t="shared" ca="1" si="35"/>
        <v>1.5909696708717145E-2</v>
      </c>
      <c r="S385" s="6">
        <f t="shared" ca="1" si="36"/>
        <v>5.4109316957855983E-3</v>
      </c>
    </row>
    <row r="386" spans="16:19" s="6" customFormat="1" x14ac:dyDescent="0.3">
      <c r="P386" s="7">
        <f t="shared" ca="1" si="37"/>
        <v>0.72534300250180483</v>
      </c>
      <c r="Q386" s="6">
        <f t="shared" ca="1" si="38"/>
        <v>0.27465699749819517</v>
      </c>
      <c r="R386" s="6">
        <f t="shared" ca="1" si="35"/>
        <v>1.6423730152030497E-2</v>
      </c>
      <c r="S386" s="6">
        <f t="shared" ca="1" si="36"/>
        <v>5.7031264168609314E-3</v>
      </c>
    </row>
    <row r="387" spans="16:19" s="6" customFormat="1" x14ac:dyDescent="0.3">
      <c r="P387" s="7">
        <f t="shared" ca="1" si="37"/>
        <v>0.63129432363347426</v>
      </c>
      <c r="Q387" s="6">
        <f t="shared" ca="1" si="38"/>
        <v>0.36870567636652574</v>
      </c>
      <c r="R387" s="6">
        <f t="shared" ref="R387:R450" ca="1" si="39">SQRT((P387*L$22)^2+(Q387*M$22)^2+2*O$22*P387*Q387)</f>
        <v>1.6965602876502804E-2</v>
      </c>
      <c r="S387" s="6">
        <f t="shared" ca="1" si="36"/>
        <v>5.9617978344657227E-3</v>
      </c>
    </row>
    <row r="388" spans="16:19" s="6" customFormat="1" x14ac:dyDescent="0.3">
      <c r="P388" s="7">
        <f t="shared" ca="1" si="37"/>
        <v>0.81678392665196431</v>
      </c>
      <c r="Q388" s="6">
        <f t="shared" ca="1" si="38"/>
        <v>0.18321607334803569</v>
      </c>
      <c r="R388" s="6">
        <f t="shared" ca="1" si="39"/>
        <v>1.5974685045252585E-2</v>
      </c>
      <c r="S388" s="6">
        <f t="shared" ca="1" si="36"/>
        <v>5.4516273659265891E-3</v>
      </c>
    </row>
    <row r="389" spans="16:19" s="6" customFormat="1" x14ac:dyDescent="0.3">
      <c r="P389" s="7">
        <f t="shared" ca="1" si="37"/>
        <v>0.15763066702542383</v>
      </c>
      <c r="Q389" s="6">
        <f t="shared" ca="1" si="38"/>
        <v>0.84236933297457617</v>
      </c>
      <c r="R389" s="6">
        <f t="shared" ca="1" si="39"/>
        <v>2.0668651600806272E-2</v>
      </c>
      <c r="S389" s="6">
        <f t="shared" ca="1" si="36"/>
        <v>7.2645620093267811E-3</v>
      </c>
    </row>
    <row r="390" spans="16:19" s="6" customFormat="1" x14ac:dyDescent="0.3">
      <c r="P390" s="7">
        <f t="shared" ca="1" si="37"/>
        <v>0.96342805964452061</v>
      </c>
      <c r="Q390" s="6">
        <f t="shared" ca="1" si="38"/>
        <v>3.6571940355479393E-2</v>
      </c>
      <c r="R390" s="6">
        <f t="shared" ca="1" si="39"/>
        <v>1.5431222048922494E-2</v>
      </c>
      <c r="S390" s="6">
        <f t="shared" ca="1" si="36"/>
        <v>5.0482974497486448E-3</v>
      </c>
    </row>
    <row r="391" spans="16:19" s="6" customFormat="1" x14ac:dyDescent="0.3">
      <c r="P391" s="7">
        <f t="shared" ca="1" si="37"/>
        <v>0.37122094950855222</v>
      </c>
      <c r="Q391" s="6">
        <f t="shared" ca="1" si="38"/>
        <v>0.62877905049144778</v>
      </c>
      <c r="R391" s="6">
        <f t="shared" ca="1" si="39"/>
        <v>1.8825127366842866E-2</v>
      </c>
      <c r="S391" s="6">
        <f t="shared" ca="1" si="36"/>
        <v>6.677103452531221E-3</v>
      </c>
    </row>
    <row r="392" spans="16:19" s="6" customFormat="1" x14ac:dyDescent="0.3">
      <c r="P392" s="7">
        <f t="shared" ca="1" si="37"/>
        <v>0.69973119126537564</v>
      </c>
      <c r="Q392" s="6">
        <f t="shared" ca="1" si="38"/>
        <v>0.30026880873462436</v>
      </c>
      <c r="R392" s="6">
        <f t="shared" ca="1" si="39"/>
        <v>1.6563562039592573E-2</v>
      </c>
      <c r="S392" s="6">
        <f t="shared" ca="1" si="36"/>
        <v>5.7735691237619886E-3</v>
      </c>
    </row>
    <row r="393" spans="16:19" s="6" customFormat="1" x14ac:dyDescent="0.3">
      <c r="P393" s="7">
        <f t="shared" ca="1" si="37"/>
        <v>0.72727038418218082</v>
      </c>
      <c r="Q393" s="6">
        <f t="shared" ca="1" si="38"/>
        <v>0.27272961581781918</v>
      </c>
      <c r="R393" s="6">
        <f t="shared" ca="1" si="39"/>
        <v>1.6413449164753888E-2</v>
      </c>
      <c r="S393" s="6">
        <f t="shared" ca="1" si="36"/>
        <v>5.6978253476962452E-3</v>
      </c>
    </row>
    <row r="394" spans="16:19" s="6" customFormat="1" x14ac:dyDescent="0.3">
      <c r="P394" s="7">
        <f t="shared" ca="1" si="37"/>
        <v>0.80737417341387874</v>
      </c>
      <c r="Q394" s="6">
        <f t="shared" ca="1" si="38"/>
        <v>0.19262582658612126</v>
      </c>
      <c r="R394" s="6">
        <f t="shared" ca="1" si="39"/>
        <v>1.6017153051878969E-2</v>
      </c>
      <c r="S394" s="6">
        <f t="shared" ca="1" si="36"/>
        <v>5.477507944353581E-3</v>
      </c>
    </row>
    <row r="395" spans="16:19" s="6" customFormat="1" x14ac:dyDescent="0.3">
      <c r="P395" s="7">
        <f t="shared" ca="1" si="37"/>
        <v>0.51067418317340585</v>
      </c>
      <c r="Q395" s="6">
        <f t="shared" ca="1" si="38"/>
        <v>0.48932581682659415</v>
      </c>
      <c r="R395" s="6">
        <f t="shared" ca="1" si="39"/>
        <v>1.7767421684132187E-2</v>
      </c>
      <c r="S395" s="6">
        <f t="shared" ca="1" si="36"/>
        <v>6.2935513806072554E-3</v>
      </c>
    </row>
    <row r="396" spans="16:19" s="6" customFormat="1" x14ac:dyDescent="0.3">
      <c r="P396" s="7">
        <f t="shared" ca="1" si="37"/>
        <v>0.67636082685068044</v>
      </c>
      <c r="Q396" s="6">
        <f t="shared" ca="1" si="38"/>
        <v>0.32363917314931956</v>
      </c>
      <c r="R396" s="6">
        <f t="shared" ca="1" si="39"/>
        <v>1.6696285100741799E-2</v>
      </c>
      <c r="S396" s="6">
        <f t="shared" ca="1" si="36"/>
        <v>5.8378469569631674E-3</v>
      </c>
    </row>
    <row r="397" spans="16:19" s="6" customFormat="1" x14ac:dyDescent="0.3">
      <c r="P397" s="7">
        <f t="shared" ca="1" si="37"/>
        <v>0.23353182865346955</v>
      </c>
      <c r="Q397" s="6">
        <f t="shared" ca="1" si="38"/>
        <v>0.76646817134653045</v>
      </c>
      <c r="R397" s="6">
        <f t="shared" ca="1" si="39"/>
        <v>1.9986132731589057E-2</v>
      </c>
      <c r="S397" s="6">
        <f t="shared" ca="1" si="36"/>
        <v>7.0558035098728551E-3</v>
      </c>
    </row>
    <row r="398" spans="16:19" s="6" customFormat="1" x14ac:dyDescent="0.3">
      <c r="P398" s="7">
        <f t="shared" ca="1" si="37"/>
        <v>0.88761419936348573</v>
      </c>
      <c r="Q398" s="6">
        <f t="shared" ca="1" si="38"/>
        <v>0.11238580063651427</v>
      </c>
      <c r="R398" s="6">
        <f t="shared" ca="1" si="39"/>
        <v>1.5683854198924829E-2</v>
      </c>
      <c r="S398" s="6">
        <f t="shared" ca="1" si="36"/>
        <v>5.2568158356415765E-3</v>
      </c>
    </row>
    <row r="399" spans="16:19" s="6" customFormat="1" x14ac:dyDescent="0.3">
      <c r="P399" s="7">
        <f t="shared" ca="1" si="37"/>
        <v>0.56120424322148665</v>
      </c>
      <c r="Q399" s="6">
        <f t="shared" ca="1" si="38"/>
        <v>0.43879575677851335</v>
      </c>
      <c r="R399" s="6">
        <f t="shared" ca="1" si="39"/>
        <v>1.7417784106137198E-2</v>
      </c>
      <c r="S399" s="6">
        <f t="shared" ca="1" si="36"/>
        <v>6.1545735403912179E-3</v>
      </c>
    </row>
    <row r="400" spans="16:19" s="6" customFormat="1" x14ac:dyDescent="0.3">
      <c r="P400" s="7">
        <f t="shared" ca="1" si="37"/>
        <v>0.18205900386536833</v>
      </c>
      <c r="Q400" s="6">
        <f t="shared" ca="1" si="38"/>
        <v>0.81794099613463167</v>
      </c>
      <c r="R400" s="6">
        <f t="shared" ca="1" si="39"/>
        <v>2.0445957365493178E-2</v>
      </c>
      <c r="S400" s="6">
        <f t="shared" ca="1" si="36"/>
        <v>7.1973743295406329E-3</v>
      </c>
    </row>
    <row r="401" spans="16:19" s="6" customFormat="1" x14ac:dyDescent="0.3">
      <c r="P401" s="7">
        <f t="shared" ca="1" si="37"/>
        <v>0.11057894277696689</v>
      </c>
      <c r="Q401" s="6">
        <f t="shared" ca="1" si="38"/>
        <v>0.88942105722303311</v>
      </c>
      <c r="R401" s="6">
        <f t="shared" ca="1" si="39"/>
        <v>2.1105259163284321E-2</v>
      </c>
      <c r="S401" s="6">
        <f t="shared" ca="1" si="36"/>
        <v>7.393973037302385E-3</v>
      </c>
    </row>
    <row r="402" spans="16:19" s="6" customFormat="1" x14ac:dyDescent="0.3">
      <c r="P402" s="7">
        <f t="shared" ca="1" si="37"/>
        <v>0.2666905329384055</v>
      </c>
      <c r="Q402" s="6">
        <f t="shared" ca="1" si="38"/>
        <v>0.7333094670615945</v>
      </c>
      <c r="R402" s="6">
        <f t="shared" ca="1" si="39"/>
        <v>1.9697010059343604E-2</v>
      </c>
      <c r="S402" s="6">
        <f t="shared" ca="1" si="36"/>
        <v>6.9646038338483703E-3</v>
      </c>
    </row>
    <row r="403" spans="16:19" s="6" customFormat="1" x14ac:dyDescent="0.3">
      <c r="P403" s="7">
        <f t="shared" ca="1" si="37"/>
        <v>0.48937120789080768</v>
      </c>
      <c r="Q403" s="6">
        <f t="shared" ca="1" si="38"/>
        <v>0.51062879210919232</v>
      </c>
      <c r="R403" s="6">
        <f t="shared" ca="1" si="39"/>
        <v>1.7920441469864122E-2</v>
      </c>
      <c r="S403" s="6">
        <f t="shared" ca="1" si="36"/>
        <v>6.3521430682508886E-3</v>
      </c>
    </row>
    <row r="404" spans="16:19" s="6" customFormat="1" x14ac:dyDescent="0.3">
      <c r="P404" s="7">
        <f t="shared" ca="1" si="37"/>
        <v>0.64427682573883915</v>
      </c>
      <c r="Q404" s="6">
        <f t="shared" ca="1" si="38"/>
        <v>0.35572317426116085</v>
      </c>
      <c r="R404" s="6">
        <f t="shared" ca="1" si="39"/>
        <v>1.6886247362842478E-2</v>
      </c>
      <c r="S404" s="6">
        <f t="shared" ca="1" si="36"/>
        <v>5.926090770166037E-3</v>
      </c>
    </row>
    <row r="405" spans="16:19" s="6" customFormat="1" x14ac:dyDescent="0.3">
      <c r="P405" s="7">
        <f t="shared" ca="1" si="37"/>
        <v>3.276062500925081E-2</v>
      </c>
      <c r="Q405" s="6">
        <f t="shared" ca="1" si="38"/>
        <v>0.96723937499074919</v>
      </c>
      <c r="R405" s="6">
        <f t="shared" ca="1" si="39"/>
        <v>2.1848114659595255E-2</v>
      </c>
      <c r="S405" s="6">
        <f t="shared" ca="1" si="36"/>
        <v>7.6080044816013177E-3</v>
      </c>
    </row>
    <row r="406" spans="16:19" s="6" customFormat="1" x14ac:dyDescent="0.3">
      <c r="P406" s="7">
        <f t="shared" ca="1" si="37"/>
        <v>0.31476345841710351</v>
      </c>
      <c r="Q406" s="6">
        <f t="shared" ca="1" si="38"/>
        <v>0.68523654158289649</v>
      </c>
      <c r="R406" s="6">
        <f t="shared" ca="1" si="39"/>
        <v>1.9288311309728062E-2</v>
      </c>
      <c r="S406" s="6">
        <f t="shared" ref="S406:S464" ca="1" si="40">(P406*F$22+Q406*G$22)</f>
        <v>6.8323840947556655E-3</v>
      </c>
    </row>
    <row r="407" spans="16:19" s="6" customFormat="1" x14ac:dyDescent="0.3">
      <c r="P407" s="7">
        <f t="shared" ca="1" si="37"/>
        <v>0.26694358636505144</v>
      </c>
      <c r="Q407" s="6">
        <f t="shared" ca="1" si="38"/>
        <v>0.73305641363494856</v>
      </c>
      <c r="R407" s="6">
        <f t="shared" ca="1" si="39"/>
        <v>1.9694825782900431E-2</v>
      </c>
      <c r="S407" s="6">
        <f t="shared" ca="1" si="40"/>
        <v>6.9639078358887194E-3</v>
      </c>
    </row>
    <row r="408" spans="16:19" s="6" customFormat="1" x14ac:dyDescent="0.3">
      <c r="P408" s="7">
        <f t="shared" ref="P408:P464" ca="1" si="41">RAND()</f>
        <v>3.1120245377228906E-2</v>
      </c>
      <c r="Q408" s="6">
        <f t="shared" ref="Q408:Q464" ca="1" si="42">1-P408</f>
        <v>0.96887975462277109</v>
      </c>
      <c r="R408" s="6">
        <f t="shared" ca="1" si="39"/>
        <v>2.1864036864321937E-2</v>
      </c>
      <c r="S408" s="6">
        <f t="shared" ca="1" si="40"/>
        <v>7.6125161805420238E-3</v>
      </c>
    </row>
    <row r="409" spans="16:19" s="6" customFormat="1" x14ac:dyDescent="0.3">
      <c r="P409" s="7">
        <f t="shared" ca="1" si="41"/>
        <v>0.67870438228632879</v>
      </c>
      <c r="Q409" s="6">
        <f t="shared" ca="1" si="42"/>
        <v>0.32129561771367121</v>
      </c>
      <c r="R409" s="6">
        <f t="shared" ca="1" si="39"/>
        <v>1.6682758461913111E-2</v>
      </c>
      <c r="S409" s="6">
        <f t="shared" ca="1" si="40"/>
        <v>5.8314012438062252E-3</v>
      </c>
    </row>
    <row r="410" spans="16:19" s="6" customFormat="1" x14ac:dyDescent="0.3">
      <c r="P410" s="7">
        <f t="shared" ca="1" si="41"/>
        <v>0.21917307502664762</v>
      </c>
      <c r="Q410" s="6">
        <f t="shared" ca="1" si="42"/>
        <v>0.78082692497335238</v>
      </c>
      <c r="R410" s="6">
        <f t="shared" ca="1" si="39"/>
        <v>2.011308517522576E-2</v>
      </c>
      <c r="S410" s="6">
        <f t="shared" ca="1" si="40"/>
        <v>7.0952958153510408E-3</v>
      </c>
    </row>
    <row r="411" spans="16:19" s="6" customFormat="1" x14ac:dyDescent="0.3">
      <c r="P411" s="7">
        <f t="shared" ca="1" si="41"/>
        <v>0.64805324412923215</v>
      </c>
      <c r="Q411" s="6">
        <f t="shared" ca="1" si="42"/>
        <v>0.35194675587076785</v>
      </c>
      <c r="R411" s="6">
        <f t="shared" ca="1" si="39"/>
        <v>1.6863430537643827E-2</v>
      </c>
      <c r="S411" s="6">
        <f t="shared" ca="1" si="40"/>
        <v>5.9157041117858661E-3</v>
      </c>
    </row>
    <row r="412" spans="16:19" s="6" customFormat="1" x14ac:dyDescent="0.3">
      <c r="P412" s="7">
        <f t="shared" ca="1" si="41"/>
        <v>0.82835419627003082</v>
      </c>
      <c r="Q412" s="6">
        <f t="shared" ca="1" si="42"/>
        <v>0.17164580372996918</v>
      </c>
      <c r="R412" s="6">
        <f t="shared" ca="1" si="39"/>
        <v>1.5923678365865817E-2</v>
      </c>
      <c r="S412" s="6">
        <f t="shared" ca="1" si="40"/>
        <v>5.4198045048275507E-3</v>
      </c>
    </row>
    <row r="413" spans="16:19" s="6" customFormat="1" x14ac:dyDescent="0.3">
      <c r="P413" s="7">
        <f t="shared" ca="1" si="41"/>
        <v>0.16073729069705844</v>
      </c>
      <c r="Q413" s="6">
        <f t="shared" ca="1" si="42"/>
        <v>0.83926270930294156</v>
      </c>
      <c r="R413" s="6">
        <f t="shared" ca="1" si="39"/>
        <v>2.0640176415215018E-2</v>
      </c>
      <c r="S413" s="6">
        <f t="shared" ca="1" si="40"/>
        <v>7.2560175538514283E-3</v>
      </c>
    </row>
    <row r="414" spans="16:19" s="6" customFormat="1" x14ac:dyDescent="0.3">
      <c r="P414" s="7">
        <f t="shared" ca="1" si="41"/>
        <v>0.9367260919780025</v>
      </c>
      <c r="Q414" s="6">
        <f t="shared" ca="1" si="42"/>
        <v>6.3273908021997505E-2</v>
      </c>
      <c r="R414" s="6">
        <f t="shared" ca="1" si="39"/>
        <v>1.5513088728855368E-2</v>
      </c>
      <c r="S414" s="6">
        <f t="shared" ca="1" si="40"/>
        <v>5.1217385220980564E-3</v>
      </c>
    </row>
    <row r="415" spans="16:19" s="6" customFormat="1" x14ac:dyDescent="0.3">
      <c r="P415" s="7">
        <f t="shared" ca="1" si="41"/>
        <v>0.63331860770550497</v>
      </c>
      <c r="Q415" s="6">
        <f t="shared" ca="1" si="42"/>
        <v>0.36668139229449503</v>
      </c>
      <c r="R415" s="6">
        <f t="shared" ca="1" si="39"/>
        <v>1.6953136524313264E-2</v>
      </c>
      <c r="S415" s="6">
        <f t="shared" ca="1" si="40"/>
        <v>5.9562302450338698E-3</v>
      </c>
    </row>
    <row r="416" spans="16:19" s="6" customFormat="1" x14ac:dyDescent="0.3">
      <c r="P416" s="7">
        <f t="shared" ca="1" si="41"/>
        <v>0.91997229179848183</v>
      </c>
      <c r="Q416" s="6">
        <f t="shared" ca="1" si="42"/>
        <v>8.0027708201518166E-2</v>
      </c>
      <c r="R416" s="6">
        <f t="shared" ca="1" si="39"/>
        <v>1.5568430231892446E-2</v>
      </c>
      <c r="S416" s="6">
        <f t="shared" ca="1" si="40"/>
        <v>5.1678181618638758E-3</v>
      </c>
    </row>
    <row r="417" spans="16:19" s="6" customFormat="1" x14ac:dyDescent="0.3">
      <c r="P417" s="7">
        <f t="shared" ca="1" si="41"/>
        <v>0.40410848962848467</v>
      </c>
      <c r="Q417" s="6">
        <f t="shared" ca="1" si="42"/>
        <v>0.59589151037151533</v>
      </c>
      <c r="R417" s="6">
        <f t="shared" ca="1" si="39"/>
        <v>1.856418666161196E-2</v>
      </c>
      <c r="S417" s="6">
        <f t="shared" ca="1" si="40"/>
        <v>6.5866495862279273E-3</v>
      </c>
    </row>
    <row r="418" spans="16:19" s="6" customFormat="1" x14ac:dyDescent="0.3">
      <c r="P418" s="7">
        <f t="shared" ca="1" si="41"/>
        <v>0.77802664229499663</v>
      </c>
      <c r="Q418" s="6">
        <f t="shared" ca="1" si="42"/>
        <v>0.22197335770500337</v>
      </c>
      <c r="R418" s="6">
        <f t="shared" ca="1" si="39"/>
        <v>1.615520318029592E-2</v>
      </c>
      <c r="S418" s="6">
        <f t="shared" ca="1" si="40"/>
        <v>5.5582253724883231E-3</v>
      </c>
    </row>
    <row r="419" spans="16:19" s="6" customFormat="1" x14ac:dyDescent="0.3">
      <c r="P419" s="7">
        <f t="shared" ca="1" si="41"/>
        <v>0.77676771750119888</v>
      </c>
      <c r="Q419" s="6">
        <f t="shared" ca="1" si="42"/>
        <v>0.22323228249880112</v>
      </c>
      <c r="R419" s="6">
        <f t="shared" ca="1" si="39"/>
        <v>1.6161312609056587E-2</v>
      </c>
      <c r="S419" s="6">
        <f t="shared" ca="1" si="40"/>
        <v>5.561687918320843E-3</v>
      </c>
    </row>
    <row r="420" spans="16:19" s="6" customFormat="1" x14ac:dyDescent="0.3">
      <c r="P420" s="7">
        <f t="shared" ca="1" si="41"/>
        <v>0.1512487154204939</v>
      </c>
      <c r="Q420" s="6">
        <f t="shared" ca="1" si="42"/>
        <v>0.8487512845795061</v>
      </c>
      <c r="R420" s="6">
        <f t="shared" ca="1" si="39"/>
        <v>2.0727287634678057E-2</v>
      </c>
      <c r="S420" s="6">
        <f t="shared" ca="1" si="40"/>
        <v>7.28211492435543E-3</v>
      </c>
    </row>
    <row r="421" spans="16:19" s="6" customFormat="1" x14ac:dyDescent="0.3">
      <c r="P421" s="7">
        <f t="shared" ca="1" si="41"/>
        <v>0.39402893433664699</v>
      </c>
      <c r="Q421" s="6">
        <f t="shared" ca="1" si="42"/>
        <v>0.60597106566335301</v>
      </c>
      <c r="R421" s="6">
        <f t="shared" ca="1" si="39"/>
        <v>1.8643443312777373E-2</v>
      </c>
      <c r="S421" s="6">
        <f t="shared" ca="1" si="40"/>
        <v>6.6143723877338982E-3</v>
      </c>
    </row>
    <row r="422" spans="16:19" s="6" customFormat="1" x14ac:dyDescent="0.3">
      <c r="P422" s="7">
        <f t="shared" ca="1" si="41"/>
        <v>0.27192236982112383</v>
      </c>
      <c r="Q422" s="6">
        <f t="shared" ca="1" si="42"/>
        <v>0.72807763017887617</v>
      </c>
      <c r="R422" s="6">
        <f t="shared" ca="1" si="39"/>
        <v>1.9651920025523326E-2</v>
      </c>
      <c r="S422" s="6">
        <f t="shared" ca="1" si="40"/>
        <v>6.950214193510898E-3</v>
      </c>
    </row>
    <row r="423" spans="16:19" s="6" customFormat="1" x14ac:dyDescent="0.3">
      <c r="P423" s="7">
        <f t="shared" ca="1" si="41"/>
        <v>0.61724812829464548</v>
      </c>
      <c r="Q423" s="6">
        <f t="shared" ca="1" si="42"/>
        <v>0.38275187170535452</v>
      </c>
      <c r="R423" s="6">
        <f t="shared" ca="1" si="39"/>
        <v>1.7053041292136639E-2</v>
      </c>
      <c r="S423" s="6">
        <f t="shared" ca="1" si="40"/>
        <v>6.0004304798571099E-3</v>
      </c>
    </row>
    <row r="424" spans="16:19" s="6" customFormat="1" x14ac:dyDescent="0.3">
      <c r="P424" s="7">
        <f t="shared" ca="1" si="41"/>
        <v>0.21920286192918947</v>
      </c>
      <c r="Q424" s="6">
        <f t="shared" ca="1" si="42"/>
        <v>0.78079713807081053</v>
      </c>
      <c r="R424" s="6">
        <f t="shared" ca="1" si="39"/>
        <v>2.0112820741300431E-2</v>
      </c>
      <c r="S424" s="6">
        <f t="shared" ca="1" si="40"/>
        <v>7.0952138894760652E-3</v>
      </c>
    </row>
    <row r="425" spans="16:19" s="6" customFormat="1" x14ac:dyDescent="0.3">
      <c r="P425" s="7">
        <f t="shared" ca="1" si="41"/>
        <v>0.86235026257471625</v>
      </c>
      <c r="Q425" s="6">
        <f t="shared" ca="1" si="42"/>
        <v>0.13764973742528375</v>
      </c>
      <c r="R425" s="6">
        <f t="shared" ca="1" si="39"/>
        <v>1.57816616919613E-2</v>
      </c>
      <c r="S425" s="6">
        <f t="shared" ca="1" si="40"/>
        <v>5.3263017489161048E-3</v>
      </c>
    </row>
    <row r="426" spans="16:19" s="6" customFormat="1" x14ac:dyDescent="0.3">
      <c r="P426" s="7">
        <f t="shared" ca="1" si="41"/>
        <v>0.9478367027487149</v>
      </c>
      <c r="Q426" s="6">
        <f t="shared" ca="1" si="42"/>
        <v>5.2163297251285101E-2</v>
      </c>
      <c r="R426" s="6">
        <f t="shared" ca="1" si="39"/>
        <v>1.547807299610415E-2</v>
      </c>
      <c r="S426" s="6">
        <f t="shared" ca="1" si="40"/>
        <v>5.0911799063567452E-3</v>
      </c>
    </row>
    <row r="427" spans="16:19" s="6" customFormat="1" x14ac:dyDescent="0.3">
      <c r="P427" s="7">
        <f t="shared" ca="1" si="41"/>
        <v>0.33838357558012966</v>
      </c>
      <c r="Q427" s="6">
        <f t="shared" ca="1" si="42"/>
        <v>0.66161642441987034</v>
      </c>
      <c r="R427" s="6">
        <f t="shared" ca="1" si="39"/>
        <v>1.9092252469347318E-2</v>
      </c>
      <c r="S427" s="6">
        <f t="shared" ca="1" si="40"/>
        <v>6.7674193417780601E-3</v>
      </c>
    </row>
    <row r="428" spans="16:19" s="6" customFormat="1" x14ac:dyDescent="0.3">
      <c r="P428" s="7">
        <f t="shared" ca="1" si="41"/>
        <v>0.82904254508073938</v>
      </c>
      <c r="Q428" s="6">
        <f t="shared" ca="1" si="42"/>
        <v>0.17095745491926062</v>
      </c>
      <c r="R428" s="6">
        <f t="shared" ca="1" si="39"/>
        <v>1.5920686221334898E-2</v>
      </c>
      <c r="S428" s="6">
        <f t="shared" ca="1" si="40"/>
        <v>5.4179112707617976E-3</v>
      </c>
    </row>
    <row r="429" spans="16:19" s="6" customFormat="1" x14ac:dyDescent="0.3">
      <c r="P429" s="7">
        <f t="shared" ca="1" si="41"/>
        <v>4.821335907576052E-3</v>
      </c>
      <c r="Q429" s="6">
        <f t="shared" ca="1" si="42"/>
        <v>0.99517866409242395</v>
      </c>
      <c r="R429" s="6">
        <f t="shared" ca="1" si="39"/>
        <v>2.2120719695181052E-2</v>
      </c>
      <c r="S429" s="6">
        <f t="shared" ca="1" si="40"/>
        <v>7.6848486819214336E-3</v>
      </c>
    </row>
    <row r="430" spans="16:19" s="6" customFormat="1" x14ac:dyDescent="0.3">
      <c r="P430" s="7">
        <f t="shared" ca="1" si="41"/>
        <v>0.97821169076153192</v>
      </c>
      <c r="Q430" s="6">
        <f t="shared" ca="1" si="42"/>
        <v>2.1788309238468084E-2</v>
      </c>
      <c r="R430" s="6">
        <f t="shared" ca="1" si="39"/>
        <v>1.5389284029205242E-2</v>
      </c>
      <c r="S430" s="6">
        <f t="shared" ca="1" si="40"/>
        <v>5.0076365615320511E-3</v>
      </c>
    </row>
    <row r="431" spans="16:19" s="6" customFormat="1" x14ac:dyDescent="0.3">
      <c r="P431" s="7">
        <f t="shared" ca="1" si="41"/>
        <v>1.469545027747865E-2</v>
      </c>
      <c r="Q431" s="6">
        <f t="shared" ca="1" si="42"/>
        <v>0.98530454972252135</v>
      </c>
      <c r="R431" s="6">
        <f t="shared" ca="1" si="39"/>
        <v>2.2024036522619472E-2</v>
      </c>
      <c r="S431" s="6">
        <f t="shared" ca="1" si="40"/>
        <v>7.6576909249769648E-3</v>
      </c>
    </row>
    <row r="432" spans="16:19" s="6" customFormat="1" x14ac:dyDescent="0.3">
      <c r="P432" s="7">
        <f t="shared" ca="1" si="41"/>
        <v>0.64523139924661699</v>
      </c>
      <c r="Q432" s="6">
        <f t="shared" ca="1" si="42"/>
        <v>0.35476860075338301</v>
      </c>
      <c r="R432" s="6">
        <f t="shared" ca="1" si="39"/>
        <v>1.6880468503687053E-2</v>
      </c>
      <c r="S432" s="6">
        <f t="shared" ca="1" si="40"/>
        <v>5.9234653118880893E-3</v>
      </c>
    </row>
    <row r="433" spans="16:19" s="6" customFormat="1" x14ac:dyDescent="0.3">
      <c r="P433" s="7">
        <f t="shared" ca="1" si="41"/>
        <v>0.23116219700857843</v>
      </c>
      <c r="Q433" s="6">
        <f t="shared" ca="1" si="42"/>
        <v>0.76883780299142157</v>
      </c>
      <c r="R433" s="6">
        <f t="shared" ca="1" si="39"/>
        <v>2.0007011884319813E-2</v>
      </c>
      <c r="S433" s="6">
        <f t="shared" ca="1" si="40"/>
        <v>7.0623209430166339E-3</v>
      </c>
    </row>
    <row r="434" spans="16:19" s="6" customFormat="1" x14ac:dyDescent="0.3">
      <c r="P434" s="7">
        <f t="shared" ca="1" si="41"/>
        <v>0.3658641895590945</v>
      </c>
      <c r="Q434" s="6">
        <f t="shared" ca="1" si="42"/>
        <v>0.6341358104409055</v>
      </c>
      <c r="R434" s="6">
        <f t="shared" ca="1" si="39"/>
        <v>1.8868261827635114E-2</v>
      </c>
      <c r="S434" s="6">
        <f t="shared" ca="1" si="40"/>
        <v>6.6918366811801284E-3</v>
      </c>
    </row>
    <row r="435" spans="16:19" s="6" customFormat="1" x14ac:dyDescent="0.3">
      <c r="P435" s="7">
        <f t="shared" ca="1" si="41"/>
        <v>0.76714026149994696</v>
      </c>
      <c r="Q435" s="6">
        <f t="shared" ca="1" si="42"/>
        <v>0.23285973850005304</v>
      </c>
      <c r="R435" s="6">
        <f t="shared" ca="1" si="39"/>
        <v>1.6208537498718204E-2</v>
      </c>
      <c r="S435" s="6">
        <f t="shared" ca="1" si="40"/>
        <v>5.5881672662684958E-3</v>
      </c>
    </row>
    <row r="436" spans="16:19" s="6" customFormat="1" x14ac:dyDescent="0.3">
      <c r="P436" s="7">
        <f t="shared" ca="1" si="41"/>
        <v>0.87988353278786025</v>
      </c>
      <c r="Q436" s="6">
        <f t="shared" ca="1" si="42"/>
        <v>0.12011646721213975</v>
      </c>
      <c r="R436" s="6">
        <f t="shared" ca="1" si="39"/>
        <v>1.5713073833417829E-2</v>
      </c>
      <c r="S436" s="6">
        <f t="shared" ca="1" si="40"/>
        <v>5.2780782553396421E-3</v>
      </c>
    </row>
    <row r="437" spans="16:19" s="6" customFormat="1" x14ac:dyDescent="0.3">
      <c r="P437" s="7">
        <f t="shared" ca="1" si="41"/>
        <v>0.99685248790281</v>
      </c>
      <c r="Q437" s="6">
        <f t="shared" ca="1" si="42"/>
        <v>3.1475120971899972E-3</v>
      </c>
      <c r="R437" s="6">
        <f t="shared" ca="1" si="39"/>
        <v>1.5339884207733861E-2</v>
      </c>
      <c r="S437" s="6">
        <f t="shared" ca="1" si="40"/>
        <v>4.9563669267021085E-3</v>
      </c>
    </row>
    <row r="438" spans="16:19" s="6" customFormat="1" x14ac:dyDescent="0.3">
      <c r="P438" s="7">
        <f t="shared" ca="1" si="41"/>
        <v>0.91134402000616965</v>
      </c>
      <c r="Q438" s="6">
        <f t="shared" ca="1" si="42"/>
        <v>8.8655979993830347E-2</v>
      </c>
      <c r="R438" s="6">
        <f t="shared" ca="1" si="39"/>
        <v>1.5598114138997766E-2</v>
      </c>
      <c r="S438" s="6">
        <f t="shared" ca="1" si="40"/>
        <v>5.1915493542937187E-3</v>
      </c>
    </row>
    <row r="439" spans="16:19" s="6" customFormat="1" x14ac:dyDescent="0.3">
      <c r="P439" s="7">
        <f t="shared" ca="1" si="41"/>
        <v>0.15424490647291433</v>
      </c>
      <c r="Q439" s="6">
        <f t="shared" ca="1" si="42"/>
        <v>0.84575509352708567</v>
      </c>
      <c r="R439" s="6">
        <f t="shared" ca="1" si="39"/>
        <v>2.069973598622165E-2</v>
      </c>
      <c r="S439" s="6">
        <f t="shared" ca="1" si="40"/>
        <v>7.2738742026752304E-3</v>
      </c>
    </row>
    <row r="440" spans="16:19" s="6" customFormat="1" x14ac:dyDescent="0.3">
      <c r="P440" s="7">
        <f t="shared" ca="1" si="41"/>
        <v>0.8668953005259018</v>
      </c>
      <c r="Q440" s="6">
        <f t="shared" ca="1" si="42"/>
        <v>0.1331046994740982</v>
      </c>
      <c r="R440" s="6">
        <f t="shared" ca="1" si="39"/>
        <v>1.5763574855424116E-2</v>
      </c>
      <c r="S440" s="6">
        <f t="shared" ca="1" si="40"/>
        <v>5.3138010798578321E-3</v>
      </c>
    </row>
    <row r="441" spans="16:19" s="6" customFormat="1" x14ac:dyDescent="0.3">
      <c r="P441" s="7">
        <f t="shared" ca="1" si="41"/>
        <v>0.63635573886946006</v>
      </c>
      <c r="Q441" s="6">
        <f t="shared" ca="1" si="42"/>
        <v>0.36364426113053994</v>
      </c>
      <c r="R441" s="6">
        <f t="shared" ca="1" si="39"/>
        <v>1.6934496862123446E-2</v>
      </c>
      <c r="S441" s="6">
        <f t="shared" ca="1" si="40"/>
        <v>5.947876921700835E-3</v>
      </c>
    </row>
    <row r="442" spans="16:19" s="6" customFormat="1" x14ac:dyDescent="0.3">
      <c r="P442" s="7">
        <f t="shared" ca="1" si="41"/>
        <v>0.76515215535743086</v>
      </c>
      <c r="Q442" s="6">
        <f t="shared" ca="1" si="42"/>
        <v>0.23484784464256914</v>
      </c>
      <c r="R442" s="6">
        <f t="shared" ca="1" si="39"/>
        <v>1.6218400204288125E-2</v>
      </c>
      <c r="S442" s="6">
        <f t="shared" ca="1" si="40"/>
        <v>5.5936353519494587E-3</v>
      </c>
    </row>
    <row r="443" spans="16:19" s="6" customFormat="1" x14ac:dyDescent="0.3">
      <c r="P443" s="7">
        <f t="shared" ca="1" si="41"/>
        <v>0.77484519251682149</v>
      </c>
      <c r="Q443" s="6">
        <f t="shared" ca="1" si="42"/>
        <v>0.22515480748317851</v>
      </c>
      <c r="R443" s="6">
        <f t="shared" ca="1" si="39"/>
        <v>1.6170671892370547E-2</v>
      </c>
      <c r="S443" s="6">
        <f t="shared" ca="1" si="40"/>
        <v>5.5669756296324053E-3</v>
      </c>
    </row>
    <row r="444" spans="16:19" s="6" customFormat="1" x14ac:dyDescent="0.3">
      <c r="P444" s="7">
        <f t="shared" ca="1" si="41"/>
        <v>0.61116943513145372</v>
      </c>
      <c r="Q444" s="6">
        <f t="shared" ca="1" si="42"/>
        <v>0.38883056486854628</v>
      </c>
      <c r="R444" s="6">
        <f t="shared" ca="1" si="39"/>
        <v>1.7091384859751008E-2</v>
      </c>
      <c r="S444" s="6">
        <f t="shared" ca="1" si="40"/>
        <v>6.0171493130892987E-3</v>
      </c>
    </row>
    <row r="445" spans="16:19" s="6" customFormat="1" x14ac:dyDescent="0.3">
      <c r="P445" s="7">
        <f t="shared" ca="1" si="41"/>
        <v>0.28015535278544113</v>
      </c>
      <c r="Q445" s="6">
        <f t="shared" ca="1" si="42"/>
        <v>0.71984464721455887</v>
      </c>
      <c r="R445" s="6">
        <f t="shared" ca="1" si="39"/>
        <v>1.9581262481678342E-2</v>
      </c>
      <c r="S445" s="6">
        <f t="shared" ca="1" si="40"/>
        <v>6.9275702031845951E-3</v>
      </c>
    </row>
    <row r="446" spans="16:19" s="6" customFormat="1" x14ac:dyDescent="0.3">
      <c r="P446" s="7">
        <f t="shared" ca="1" si="41"/>
        <v>0.75735943767301295</v>
      </c>
      <c r="Q446" s="6">
        <f t="shared" ca="1" si="42"/>
        <v>0.24264056232698705</v>
      </c>
      <c r="R446" s="6">
        <f t="shared" ca="1" si="39"/>
        <v>1.6257421580415047E-2</v>
      </c>
      <c r="S446" s="6">
        <f t="shared" ca="1" si="40"/>
        <v>5.6150684369717842E-3</v>
      </c>
    </row>
    <row r="447" spans="16:19" s="6" customFormat="1" x14ac:dyDescent="0.3">
      <c r="P447" s="7">
        <f t="shared" ca="1" si="41"/>
        <v>3.2541297369201194E-2</v>
      </c>
      <c r="Q447" s="6">
        <f t="shared" ca="1" si="42"/>
        <v>0.96745870263079881</v>
      </c>
      <c r="R447" s="6">
        <f t="shared" ca="1" si="39"/>
        <v>2.1850242937089599E-2</v>
      </c>
      <c r="S447" s="6">
        <f t="shared" ca="1" si="40"/>
        <v>7.608607720182169E-3</v>
      </c>
    </row>
    <row r="448" spans="16:19" s="6" customFormat="1" x14ac:dyDescent="0.3">
      <c r="P448" s="7">
        <f t="shared" ca="1" si="41"/>
        <v>0.92524021022978775</v>
      </c>
      <c r="Q448" s="6">
        <f t="shared" ca="1" si="42"/>
        <v>7.4759789770212248E-2</v>
      </c>
      <c r="R448" s="6">
        <f t="shared" ca="1" si="39"/>
        <v>1.5550701361497079E-2</v>
      </c>
      <c r="S448" s="6">
        <f t="shared" ca="1" si="40"/>
        <v>5.1533292828615457E-3</v>
      </c>
    </row>
    <row r="449" spans="16:19" s="6" customFormat="1" x14ac:dyDescent="0.3">
      <c r="P449" s="7">
        <f t="shared" ca="1" si="41"/>
        <v>0.17101357853051657</v>
      </c>
      <c r="Q449" s="6">
        <f t="shared" ca="1" si="42"/>
        <v>0.82898642146948343</v>
      </c>
      <c r="R449" s="6">
        <f t="shared" ca="1" si="39"/>
        <v>2.0546303590774508E-2</v>
      </c>
      <c r="S449" s="6">
        <f t="shared" ca="1" si="40"/>
        <v>7.2277536593068062E-3</v>
      </c>
    </row>
    <row r="450" spans="16:19" s="6" customFormat="1" x14ac:dyDescent="0.3">
      <c r="P450" s="7">
        <f t="shared" ca="1" si="41"/>
        <v>0.64623343677668621</v>
      </c>
      <c r="Q450" s="6">
        <f t="shared" ca="1" si="42"/>
        <v>0.35376656322331379</v>
      </c>
      <c r="R450" s="6">
        <f t="shared" ca="1" si="39"/>
        <v>1.6874410596284237E-2</v>
      </c>
      <c r="S450" s="6">
        <f t="shared" ca="1" si="40"/>
        <v>5.9207093085979316E-3</v>
      </c>
    </row>
    <row r="451" spans="16:19" s="6" customFormat="1" x14ac:dyDescent="0.3">
      <c r="P451" s="7">
        <f t="shared" ca="1" si="41"/>
        <v>0.47525580682707425</v>
      </c>
      <c r="Q451" s="6">
        <f t="shared" ca="1" si="42"/>
        <v>0.52474419317292575</v>
      </c>
      <c r="R451" s="6">
        <f t="shared" ref="R451:R464" ca="1" si="43">SQRT((P451*L$22)^2+(Q451*M$22)^2+2*O$22*P451*Q451)</f>
        <v>1.8023605264908912E-2</v>
      </c>
      <c r="S451" s="6">
        <f t="shared" ca="1" si="40"/>
        <v>6.3909660570174599E-3</v>
      </c>
    </row>
    <row r="452" spans="16:19" s="6" customFormat="1" x14ac:dyDescent="0.3">
      <c r="P452" s="7">
        <f t="shared" ca="1" si="41"/>
        <v>0.62990760456722661</v>
      </c>
      <c r="Q452" s="6">
        <f t="shared" ca="1" si="42"/>
        <v>0.37009239543277339</v>
      </c>
      <c r="R452" s="6">
        <f t="shared" ca="1" si="43"/>
        <v>1.6974162558981473E-2</v>
      </c>
      <c r="S452" s="6">
        <f t="shared" ca="1" si="40"/>
        <v>5.9656118655717636E-3</v>
      </c>
    </row>
    <row r="453" spans="16:19" s="6" customFormat="1" x14ac:dyDescent="0.3">
      <c r="P453" s="7">
        <f t="shared" ca="1" si="41"/>
        <v>0.45396258677199208</v>
      </c>
      <c r="Q453" s="6">
        <f t="shared" ca="1" si="42"/>
        <v>0.54603741322800792</v>
      </c>
      <c r="R453" s="6">
        <f t="shared" ca="1" si="43"/>
        <v>1.818184105702305E-2</v>
      </c>
      <c r="S453" s="6">
        <f t="shared" ca="1" si="40"/>
        <v>6.4495309138904635E-3</v>
      </c>
    </row>
    <row r="454" spans="16:19" s="6" customFormat="1" x14ac:dyDescent="0.3">
      <c r="P454" s="7">
        <f t="shared" ca="1" si="41"/>
        <v>0.12513080727621029</v>
      </c>
      <c r="Q454" s="6">
        <f t="shared" ca="1" si="42"/>
        <v>0.87486919272378971</v>
      </c>
      <c r="R454" s="6">
        <f t="shared" ca="1" si="43"/>
        <v>2.0969175927772719E-2</v>
      </c>
      <c r="S454" s="6">
        <f t="shared" ca="1" si="40"/>
        <v>7.3539495998218652E-3</v>
      </c>
    </row>
    <row r="455" spans="16:19" s="6" customFormat="1" x14ac:dyDescent="0.3">
      <c r="P455" s="7">
        <f t="shared" ca="1" si="41"/>
        <v>0.18159127179412149</v>
      </c>
      <c r="Q455" s="6">
        <f t="shared" ca="1" si="42"/>
        <v>0.81840872820587851</v>
      </c>
      <c r="R455" s="6">
        <f t="shared" ca="1" si="43"/>
        <v>2.045019493288288E-2</v>
      </c>
      <c r="S455" s="6">
        <f t="shared" ca="1" si="40"/>
        <v>7.1986607794874528E-3</v>
      </c>
    </row>
    <row r="456" spans="16:19" s="6" customFormat="1" x14ac:dyDescent="0.3">
      <c r="P456" s="7">
        <f t="shared" ca="1" si="41"/>
        <v>0.15956428889212759</v>
      </c>
      <c r="Q456" s="6">
        <f t="shared" ca="1" si="42"/>
        <v>0.84043571110787241</v>
      </c>
      <c r="R456" s="6">
        <f t="shared" ca="1" si="43"/>
        <v>2.0650922863994909E-2</v>
      </c>
      <c r="S456" s="6">
        <f t="shared" ca="1" si="40"/>
        <v>7.259243777158181E-3</v>
      </c>
    </row>
    <row r="457" spans="16:19" s="6" customFormat="1" x14ac:dyDescent="0.3">
      <c r="P457" s="7">
        <f t="shared" ca="1" si="41"/>
        <v>0.47179958944391875</v>
      </c>
      <c r="Q457" s="6">
        <f t="shared" ca="1" si="42"/>
        <v>0.52820041055608125</v>
      </c>
      <c r="R457" s="6">
        <f t="shared" ca="1" si="43"/>
        <v>1.8049077314229747E-2</v>
      </c>
      <c r="S457" s="6">
        <f t="shared" ca="1" si="40"/>
        <v>6.4004720347814077E-3</v>
      </c>
    </row>
    <row r="458" spans="16:19" s="6" customFormat="1" x14ac:dyDescent="0.3">
      <c r="P458" s="7">
        <f t="shared" ca="1" si="41"/>
        <v>0.9929326721675743</v>
      </c>
      <c r="Q458" s="6">
        <f t="shared" ca="1" si="42"/>
        <v>7.0673278324256961E-3</v>
      </c>
      <c r="R458" s="6">
        <f t="shared" ca="1" si="43"/>
        <v>1.5349948095260484E-2</v>
      </c>
      <c r="S458" s="6">
        <f t="shared" ca="1" si="40"/>
        <v>4.9671479850347039E-3</v>
      </c>
    </row>
    <row r="459" spans="16:19" s="6" customFormat="1" x14ac:dyDescent="0.3">
      <c r="P459" s="7">
        <f t="shared" ca="1" si="41"/>
        <v>0.82719488179146272</v>
      </c>
      <c r="Q459" s="6">
        <f t="shared" ca="1" si="42"/>
        <v>0.17280511820853728</v>
      </c>
      <c r="R459" s="6">
        <f t="shared" ca="1" si="43"/>
        <v>1.5928728515961995E-2</v>
      </c>
      <c r="S459" s="6">
        <f t="shared" ca="1" si="40"/>
        <v>5.4229930825218826E-3</v>
      </c>
    </row>
    <row r="460" spans="16:19" s="6" customFormat="1" x14ac:dyDescent="0.3">
      <c r="P460" s="7">
        <f t="shared" ca="1" si="41"/>
        <v>0.9706241166939058</v>
      </c>
      <c r="Q460" s="6">
        <f t="shared" ca="1" si="42"/>
        <v>2.9375883306094197E-2</v>
      </c>
      <c r="R460" s="6">
        <f t="shared" ca="1" si="43"/>
        <v>1.5410504821664828E-2</v>
      </c>
      <c r="S460" s="6">
        <f t="shared" ca="1" si="40"/>
        <v>5.0285054197007229E-3</v>
      </c>
    </row>
    <row r="461" spans="16:19" s="6" customFormat="1" x14ac:dyDescent="0.3">
      <c r="P461" s="7">
        <f t="shared" ca="1" si="41"/>
        <v>0.65087900107012431</v>
      </c>
      <c r="Q461" s="6">
        <f t="shared" ca="1" si="42"/>
        <v>0.34912099892987569</v>
      </c>
      <c r="R461" s="6">
        <f t="shared" ca="1" si="43"/>
        <v>1.6846436653864649E-2</v>
      </c>
      <c r="S461" s="6">
        <f t="shared" ca="1" si="40"/>
        <v>5.9079321519614168E-3</v>
      </c>
    </row>
    <row r="462" spans="16:19" s="6" customFormat="1" x14ac:dyDescent="0.3">
      <c r="P462" s="7">
        <f t="shared" ca="1" si="41"/>
        <v>0.68432745327811884</v>
      </c>
      <c r="Q462" s="6">
        <f t="shared" ca="1" si="42"/>
        <v>0.31567254672188116</v>
      </c>
      <c r="R462" s="6">
        <f t="shared" ca="1" si="43"/>
        <v>1.6650499475775158E-2</v>
      </c>
      <c r="S462" s="6">
        <f t="shared" ca="1" si="40"/>
        <v>5.8159355534611757E-3</v>
      </c>
    </row>
    <row r="463" spans="16:19" s="6" customFormat="1" x14ac:dyDescent="0.3">
      <c r="P463" s="7">
        <f t="shared" ca="1" si="41"/>
        <v>0.40813138759073853</v>
      </c>
      <c r="Q463" s="6">
        <f t="shared" ca="1" si="42"/>
        <v>0.59186861240926147</v>
      </c>
      <c r="R463" s="6">
        <f t="shared" ca="1" si="43"/>
        <v>1.853273411907928E-2</v>
      </c>
      <c r="S463" s="6">
        <f t="shared" ca="1" si="40"/>
        <v>6.5755850106135006E-3</v>
      </c>
    </row>
    <row r="464" spans="16:19" s="6" customFormat="1" x14ac:dyDescent="0.3">
      <c r="P464" s="7">
        <f t="shared" ca="1" si="41"/>
        <v>0.34943661027589679</v>
      </c>
      <c r="Q464" s="6">
        <f t="shared" ca="1" si="42"/>
        <v>0.65056338972410321</v>
      </c>
      <c r="R464" s="6">
        <f t="shared" ca="1" si="43"/>
        <v>1.9001621044701593E-2</v>
      </c>
      <c r="S464" s="6">
        <f t="shared" ca="1" si="40"/>
        <v>6.7370190832311879E-3</v>
      </c>
    </row>
  </sheetData>
  <sortState ref="A3:AC1307">
    <sortCondition descending="1" ref="A1"/>
  </sortState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X1307"/>
  <sheetViews>
    <sheetView workbookViewId="0">
      <pane ySplit="2" topLeftCell="A3" activePane="bottomLeft" state="frozen"/>
      <selection pane="bottomLeft" activeCell="F8" sqref="F8"/>
    </sheetView>
  </sheetViews>
  <sheetFormatPr defaultRowHeight="14.4" x14ac:dyDescent="0.3"/>
  <cols>
    <col min="1" max="1" width="10.44140625" bestFit="1" customWidth="1"/>
    <col min="5" max="5" width="17.5546875" bestFit="1" customWidth="1"/>
    <col min="6" max="6" width="14.88671875" bestFit="1" customWidth="1"/>
    <col min="7" max="7" width="12" bestFit="1" customWidth="1"/>
    <col min="8" max="8" width="12.6640625" bestFit="1" customWidth="1"/>
    <col min="9" max="9" width="12.6640625" customWidth="1"/>
    <col min="10" max="10" width="12.44140625" bestFit="1" customWidth="1"/>
    <col min="11" max="11" width="12.88671875" bestFit="1" customWidth="1"/>
    <col min="12" max="18" width="12.44140625" bestFit="1" customWidth="1"/>
    <col min="19" max="19" width="13.5546875" bestFit="1" customWidth="1"/>
    <col min="30" max="30" width="7" bestFit="1" customWidth="1"/>
    <col min="154" max="154" width="14.5546875" bestFit="1" customWidth="1"/>
  </cols>
  <sheetData>
    <row r="1" spans="1:154" s="2" customFormat="1" x14ac:dyDescent="0.3">
      <c r="A1" s="2" t="s">
        <v>2</v>
      </c>
    </row>
    <row r="2" spans="1:154" s="22" customFormat="1" x14ac:dyDescent="0.3">
      <c r="A2" s="22" t="s">
        <v>0</v>
      </c>
      <c r="B2" s="22" t="s">
        <v>1</v>
      </c>
      <c r="C2" s="22" t="s">
        <v>20</v>
      </c>
      <c r="E2" s="22" t="s">
        <v>21</v>
      </c>
      <c r="F2" s="22" t="s">
        <v>22</v>
      </c>
      <c r="G2" s="22" t="s">
        <v>23</v>
      </c>
      <c r="H2" s="22" t="s">
        <v>24</v>
      </c>
      <c r="J2" s="22" t="s">
        <v>25</v>
      </c>
      <c r="K2" s="22" t="s">
        <v>43</v>
      </c>
      <c r="L2" s="22" t="s">
        <v>26</v>
      </c>
      <c r="M2" s="22" t="s">
        <v>27</v>
      </c>
      <c r="N2" s="22" t="s">
        <v>28</v>
      </c>
      <c r="O2" s="22" t="s">
        <v>29</v>
      </c>
      <c r="P2" s="22" t="s">
        <v>30</v>
      </c>
      <c r="Q2" s="22" t="s">
        <v>31</v>
      </c>
      <c r="R2" s="22" t="s">
        <v>32</v>
      </c>
      <c r="S2" s="22" t="s">
        <v>33</v>
      </c>
      <c r="T2" s="22" t="s">
        <v>44</v>
      </c>
      <c r="U2" s="22" t="s">
        <v>45</v>
      </c>
      <c r="V2" s="22" t="s">
        <v>46</v>
      </c>
      <c r="W2" s="22" t="s">
        <v>47</v>
      </c>
      <c r="X2" s="22" t="s">
        <v>48</v>
      </c>
      <c r="Y2" s="22" t="s">
        <v>49</v>
      </c>
      <c r="Z2" s="22" t="s">
        <v>50</v>
      </c>
      <c r="AA2" s="22" t="s">
        <v>51</v>
      </c>
      <c r="AB2" s="22" t="s">
        <v>52</v>
      </c>
      <c r="AC2" s="22" t="s">
        <v>53</v>
      </c>
      <c r="AD2" s="22" t="s">
        <v>54</v>
      </c>
      <c r="AE2" s="22" t="s">
        <v>55</v>
      </c>
      <c r="AF2" s="22" t="s">
        <v>56</v>
      </c>
      <c r="AG2" s="22" t="s">
        <v>57</v>
      </c>
      <c r="AH2" s="22" t="s">
        <v>58</v>
      </c>
      <c r="AI2" s="22" t="s">
        <v>59</v>
      </c>
      <c r="AJ2" s="22" t="s">
        <v>60</v>
      </c>
      <c r="AK2" s="22" t="s">
        <v>61</v>
      </c>
      <c r="AL2" s="22" t="s">
        <v>62</v>
      </c>
      <c r="AM2" s="22" t="s">
        <v>63</v>
      </c>
      <c r="AN2" s="22" t="s">
        <v>64</v>
      </c>
      <c r="AO2" s="22" t="s">
        <v>65</v>
      </c>
      <c r="AP2" s="22" t="s">
        <v>66</v>
      </c>
      <c r="AQ2" s="22" t="s">
        <v>67</v>
      </c>
      <c r="AR2" s="22" t="s">
        <v>68</v>
      </c>
      <c r="AS2" s="22" t="s">
        <v>69</v>
      </c>
      <c r="AT2" s="22" t="s">
        <v>70</v>
      </c>
      <c r="AU2" s="22" t="s">
        <v>71</v>
      </c>
      <c r="AV2" s="22" t="s">
        <v>72</v>
      </c>
      <c r="AW2" s="22" t="s">
        <v>73</v>
      </c>
      <c r="AX2" s="22" t="s">
        <v>74</v>
      </c>
      <c r="AY2" s="22" t="s">
        <v>75</v>
      </c>
      <c r="AZ2" s="22" t="s">
        <v>76</v>
      </c>
      <c r="BA2" s="22" t="s">
        <v>77</v>
      </c>
      <c r="BB2" s="22" t="s">
        <v>78</v>
      </c>
      <c r="BC2" s="22" t="s">
        <v>79</v>
      </c>
      <c r="BD2" s="22" t="s">
        <v>80</v>
      </c>
      <c r="BE2" s="22" t="s">
        <v>81</v>
      </c>
      <c r="BF2" s="22" t="s">
        <v>82</v>
      </c>
      <c r="BG2" s="22" t="s">
        <v>83</v>
      </c>
      <c r="BH2" s="22" t="s">
        <v>84</v>
      </c>
      <c r="BI2" s="22" t="s">
        <v>85</v>
      </c>
      <c r="BJ2" s="22" t="s">
        <v>86</v>
      </c>
      <c r="BK2" s="22" t="s">
        <v>87</v>
      </c>
      <c r="BL2" s="22" t="s">
        <v>88</v>
      </c>
      <c r="BM2" s="22" t="s">
        <v>89</v>
      </c>
      <c r="BN2" s="22" t="s">
        <v>90</v>
      </c>
      <c r="BO2" s="22" t="s">
        <v>91</v>
      </c>
      <c r="BP2" s="22" t="s">
        <v>92</v>
      </c>
      <c r="BQ2" s="22" t="s">
        <v>93</v>
      </c>
      <c r="BR2" s="22" t="s">
        <v>94</v>
      </c>
      <c r="BS2" s="22" t="s">
        <v>95</v>
      </c>
      <c r="BT2" s="22" t="s">
        <v>96</v>
      </c>
      <c r="BU2" s="22" t="s">
        <v>97</v>
      </c>
      <c r="BV2" s="22" t="s">
        <v>98</v>
      </c>
      <c r="BW2" s="22" t="s">
        <v>99</v>
      </c>
      <c r="BX2" s="22" t="s">
        <v>100</v>
      </c>
      <c r="BY2" s="22" t="s">
        <v>101</v>
      </c>
      <c r="BZ2" s="22" t="s">
        <v>102</v>
      </c>
      <c r="CA2" s="22" t="s">
        <v>103</v>
      </c>
      <c r="CB2" s="22" t="s">
        <v>104</v>
      </c>
      <c r="CC2" s="22" t="s">
        <v>105</v>
      </c>
      <c r="CD2" s="22" t="s">
        <v>106</v>
      </c>
      <c r="CE2" s="22" t="s">
        <v>107</v>
      </c>
      <c r="CF2" s="22" t="s">
        <v>108</v>
      </c>
      <c r="CG2" s="22" t="s">
        <v>109</v>
      </c>
      <c r="CH2" s="22" t="s">
        <v>110</v>
      </c>
      <c r="CI2" s="22" t="s">
        <v>111</v>
      </c>
      <c r="CJ2" s="22" t="s">
        <v>112</v>
      </c>
      <c r="CK2" s="22" t="s">
        <v>113</v>
      </c>
      <c r="CL2" s="22" t="s">
        <v>114</v>
      </c>
      <c r="CM2" s="22" t="s">
        <v>115</v>
      </c>
      <c r="CN2" s="22" t="s">
        <v>116</v>
      </c>
      <c r="CO2" s="22" t="s">
        <v>117</v>
      </c>
      <c r="CP2" s="22" t="s">
        <v>118</v>
      </c>
      <c r="CQ2" s="22" t="s">
        <v>119</v>
      </c>
      <c r="CR2" s="22" t="s">
        <v>120</v>
      </c>
      <c r="CS2" s="22" t="s">
        <v>121</v>
      </c>
      <c r="CT2" s="22" t="s">
        <v>122</v>
      </c>
      <c r="CU2" s="22" t="s">
        <v>123</v>
      </c>
      <c r="CV2" s="22" t="s">
        <v>124</v>
      </c>
      <c r="CW2" s="22" t="s">
        <v>125</v>
      </c>
      <c r="CX2" s="22" t="s">
        <v>126</v>
      </c>
      <c r="CY2" s="22" t="s">
        <v>127</v>
      </c>
      <c r="CZ2" s="22" t="s">
        <v>128</v>
      </c>
      <c r="DA2" s="22" t="s">
        <v>129</v>
      </c>
      <c r="DB2" s="22" t="s">
        <v>130</v>
      </c>
      <c r="DC2" s="22" t="s">
        <v>131</v>
      </c>
      <c r="DD2" s="22" t="s">
        <v>132</v>
      </c>
      <c r="DE2" s="22" t="s">
        <v>133</v>
      </c>
      <c r="DF2" s="22" t="s">
        <v>134</v>
      </c>
      <c r="DG2" s="22" t="s">
        <v>135</v>
      </c>
      <c r="DH2" s="22" t="s">
        <v>136</v>
      </c>
      <c r="DI2" s="22" t="s">
        <v>137</v>
      </c>
      <c r="DJ2" s="22" t="s">
        <v>138</v>
      </c>
      <c r="DK2" s="22" t="s">
        <v>139</v>
      </c>
      <c r="DL2" s="22" t="s">
        <v>140</v>
      </c>
      <c r="DM2" s="22" t="s">
        <v>141</v>
      </c>
      <c r="DN2" s="22" t="s">
        <v>142</v>
      </c>
      <c r="DO2" s="22" t="s">
        <v>143</v>
      </c>
      <c r="DP2" s="22" t="s">
        <v>144</v>
      </c>
      <c r="DQ2" s="22" t="s">
        <v>145</v>
      </c>
      <c r="DR2" s="22" t="s">
        <v>146</v>
      </c>
      <c r="DS2" s="22" t="s">
        <v>147</v>
      </c>
      <c r="DT2" s="22" t="s">
        <v>148</v>
      </c>
      <c r="DU2" s="22" t="s">
        <v>149</v>
      </c>
      <c r="DV2" s="22" t="s">
        <v>150</v>
      </c>
      <c r="DW2" s="22" t="s">
        <v>151</v>
      </c>
      <c r="DX2" s="22" t="s">
        <v>152</v>
      </c>
      <c r="DY2" s="22" t="s">
        <v>153</v>
      </c>
      <c r="DZ2" s="22" t="s">
        <v>154</v>
      </c>
      <c r="EA2" s="22" t="s">
        <v>155</v>
      </c>
      <c r="EB2" s="22" t="s">
        <v>156</v>
      </c>
      <c r="EC2" s="22" t="s">
        <v>157</v>
      </c>
      <c r="ED2" s="22" t="s">
        <v>158</v>
      </c>
      <c r="EE2" s="22" t="s">
        <v>159</v>
      </c>
      <c r="EF2" s="22" t="s">
        <v>160</v>
      </c>
      <c r="EG2" s="22" t="s">
        <v>161</v>
      </c>
      <c r="EH2" s="22" t="s">
        <v>162</v>
      </c>
      <c r="EI2" s="22" t="s">
        <v>163</v>
      </c>
      <c r="EJ2" s="22" t="s">
        <v>164</v>
      </c>
      <c r="EK2" s="22" t="s">
        <v>165</v>
      </c>
      <c r="EL2" s="22" t="s">
        <v>166</v>
      </c>
      <c r="EM2" s="22" t="s">
        <v>167</v>
      </c>
      <c r="EN2" s="22" t="s">
        <v>168</v>
      </c>
      <c r="EO2" s="22" t="s">
        <v>169</v>
      </c>
      <c r="EP2" s="22" t="s">
        <v>170</v>
      </c>
      <c r="EQ2" s="22" t="s">
        <v>171</v>
      </c>
      <c r="ER2" s="22" t="s">
        <v>172</v>
      </c>
      <c r="ES2" s="22" t="s">
        <v>173</v>
      </c>
      <c r="ET2" s="22" t="s">
        <v>174</v>
      </c>
      <c r="EU2" s="22" t="s">
        <v>175</v>
      </c>
      <c r="EV2" s="22" t="s">
        <v>176</v>
      </c>
      <c r="EW2" s="22" t="s">
        <v>177</v>
      </c>
      <c r="EX2" s="22" t="s">
        <v>178</v>
      </c>
    </row>
    <row r="3" spans="1:154" s="4" customFormat="1" x14ac:dyDescent="0.3">
      <c r="A3" s="3">
        <v>42776</v>
      </c>
      <c r="B3" s="4">
        <v>276.35000000000002</v>
      </c>
      <c r="C3" s="4">
        <f t="shared" ref="C3:C34" si="0">LN(B3/B4)</f>
        <v>1.8109385608320661E-3</v>
      </c>
      <c r="E3" s="4">
        <f>AVERAGE(C:C)</f>
        <v>-1.5646413070819255E-3</v>
      </c>
      <c r="F3" s="4">
        <f>_xlfn.STDEV.S(C:C)</f>
        <v>6.6179202861920958E-2</v>
      </c>
      <c r="G3" s="4">
        <f>_xlfn.VAR.S(C:C)</f>
        <v>4.3796868914392868E-3</v>
      </c>
      <c r="H3" s="4">
        <f>E3-(G3/2)</f>
        <v>-3.7544847528015691E-3</v>
      </c>
      <c r="J3" s="4">
        <v>276.35000000000002</v>
      </c>
      <c r="K3" s="4">
        <v>276.35000000000002</v>
      </c>
      <c r="L3" s="4">
        <v>276.35000000000002</v>
      </c>
      <c r="M3" s="4">
        <v>276.35000000000002</v>
      </c>
      <c r="N3" s="4">
        <v>276.35000000000002</v>
      </c>
      <c r="O3" s="4">
        <v>276.35000000000002</v>
      </c>
      <c r="P3" s="4">
        <v>276.35000000000002</v>
      </c>
      <c r="Q3" s="4">
        <v>276.35000000000002</v>
      </c>
      <c r="R3" s="4">
        <v>276.35000000000002</v>
      </c>
      <c r="S3" s="4">
        <v>276.35000000000002</v>
      </c>
      <c r="T3" s="4">
        <v>276.35000000000002</v>
      </c>
      <c r="U3" s="4">
        <v>276.35000000000002</v>
      </c>
      <c r="V3" s="4">
        <v>276.35000000000002</v>
      </c>
      <c r="W3" s="4">
        <v>276.35000000000002</v>
      </c>
      <c r="X3" s="4">
        <v>276.35000000000002</v>
      </c>
      <c r="Y3" s="4">
        <v>276.35000000000002</v>
      </c>
      <c r="Z3" s="4">
        <v>276.35000000000002</v>
      </c>
      <c r="AA3" s="4">
        <v>276.35000000000002</v>
      </c>
      <c r="AB3" s="4">
        <v>276.35000000000002</v>
      </c>
      <c r="AC3" s="4">
        <v>276.35000000000002</v>
      </c>
      <c r="AD3" s="4">
        <v>276.35000000000002</v>
      </c>
      <c r="AE3" s="4">
        <v>276.35000000000002</v>
      </c>
      <c r="AF3" s="4">
        <v>276.35000000000002</v>
      </c>
      <c r="AG3" s="4">
        <v>276.35000000000002</v>
      </c>
      <c r="AH3" s="4">
        <v>276.35000000000002</v>
      </c>
      <c r="AI3" s="4">
        <v>276.35000000000002</v>
      </c>
      <c r="AJ3" s="4">
        <v>276.35000000000002</v>
      </c>
      <c r="AK3" s="4">
        <v>276.35000000000002</v>
      </c>
      <c r="AL3" s="4">
        <v>276.35000000000002</v>
      </c>
      <c r="AM3" s="4">
        <v>276.35000000000002</v>
      </c>
      <c r="AN3" s="4">
        <v>276.35000000000002</v>
      </c>
      <c r="AO3" s="4">
        <v>276.35000000000002</v>
      </c>
      <c r="AP3" s="4">
        <v>276.35000000000002</v>
      </c>
      <c r="AQ3" s="4">
        <v>276.35000000000002</v>
      </c>
      <c r="AR3" s="4">
        <v>276.35000000000002</v>
      </c>
      <c r="AS3" s="4">
        <v>276.35000000000002</v>
      </c>
      <c r="AT3" s="4">
        <v>276.35000000000002</v>
      </c>
      <c r="AU3" s="4">
        <v>276.35000000000002</v>
      </c>
      <c r="AV3" s="4">
        <v>276.35000000000002</v>
      </c>
      <c r="AW3" s="4">
        <v>276.35000000000002</v>
      </c>
      <c r="AX3" s="4">
        <v>276.35000000000002</v>
      </c>
      <c r="AY3" s="4">
        <v>276.35000000000002</v>
      </c>
      <c r="AZ3" s="4">
        <v>276.35000000000002</v>
      </c>
      <c r="BA3" s="4">
        <v>276.35000000000002</v>
      </c>
      <c r="BB3" s="4">
        <v>276.35000000000002</v>
      </c>
      <c r="BC3" s="4">
        <v>276.35000000000002</v>
      </c>
      <c r="BD3" s="4">
        <v>276.35000000000002</v>
      </c>
      <c r="BE3" s="4">
        <v>276.35000000000002</v>
      </c>
      <c r="BF3" s="4">
        <v>276.35000000000002</v>
      </c>
      <c r="BG3" s="4">
        <v>276.35000000000002</v>
      </c>
      <c r="BH3" s="4">
        <v>276.35000000000002</v>
      </c>
      <c r="BI3" s="4">
        <v>276.35000000000002</v>
      </c>
      <c r="BJ3" s="4">
        <v>276.35000000000002</v>
      </c>
      <c r="BK3" s="4">
        <v>276.35000000000002</v>
      </c>
      <c r="BL3" s="4">
        <v>276.35000000000002</v>
      </c>
      <c r="BM3" s="4">
        <v>276.35000000000002</v>
      </c>
      <c r="BN3" s="4">
        <v>276.35000000000002</v>
      </c>
      <c r="BO3" s="4">
        <v>276.35000000000002</v>
      </c>
      <c r="BP3" s="4">
        <v>276.35000000000002</v>
      </c>
      <c r="BQ3" s="4">
        <v>276.35000000000002</v>
      </c>
      <c r="BR3" s="4">
        <v>276.35000000000002</v>
      </c>
      <c r="BS3" s="4">
        <v>276.35000000000002</v>
      </c>
      <c r="BT3" s="4">
        <v>276.35000000000002</v>
      </c>
      <c r="BU3" s="4">
        <v>276.35000000000002</v>
      </c>
      <c r="BV3" s="4">
        <v>276.35000000000002</v>
      </c>
      <c r="BW3" s="4">
        <v>276.35000000000002</v>
      </c>
      <c r="BX3" s="4">
        <v>276.35000000000002</v>
      </c>
      <c r="BY3" s="4">
        <v>276.35000000000002</v>
      </c>
      <c r="BZ3" s="4">
        <v>276.35000000000002</v>
      </c>
      <c r="CA3" s="4">
        <v>276.35000000000002</v>
      </c>
      <c r="CB3" s="4">
        <v>276.35000000000002</v>
      </c>
      <c r="CC3" s="4">
        <v>276.35000000000002</v>
      </c>
      <c r="CD3" s="4">
        <v>276.35000000000002</v>
      </c>
      <c r="CE3" s="4">
        <v>276.35000000000002</v>
      </c>
      <c r="CF3" s="4">
        <v>276.35000000000002</v>
      </c>
      <c r="CG3" s="4">
        <v>276.35000000000002</v>
      </c>
      <c r="CH3" s="4">
        <v>276.35000000000002</v>
      </c>
      <c r="CI3" s="4">
        <v>276.35000000000002</v>
      </c>
      <c r="CJ3" s="4">
        <v>276.35000000000002</v>
      </c>
      <c r="CK3" s="4">
        <v>276.35000000000002</v>
      </c>
      <c r="CL3" s="4">
        <v>276.35000000000002</v>
      </c>
      <c r="CM3" s="4">
        <v>276.35000000000002</v>
      </c>
      <c r="CN3" s="4">
        <v>276.35000000000002</v>
      </c>
      <c r="CO3" s="4">
        <v>276.35000000000002</v>
      </c>
      <c r="CP3" s="4">
        <v>276.35000000000002</v>
      </c>
      <c r="CQ3" s="4">
        <v>276.35000000000002</v>
      </c>
      <c r="CR3" s="4">
        <v>276.35000000000002</v>
      </c>
      <c r="CS3" s="4">
        <v>276.35000000000002</v>
      </c>
      <c r="CT3" s="4">
        <v>276.35000000000002</v>
      </c>
      <c r="CU3" s="4">
        <v>276.35000000000002</v>
      </c>
      <c r="CV3" s="4">
        <v>276.35000000000002</v>
      </c>
      <c r="CW3" s="4">
        <v>276.35000000000002</v>
      </c>
      <c r="CX3" s="4">
        <v>276.35000000000002</v>
      </c>
      <c r="CY3" s="4">
        <v>276.35000000000002</v>
      </c>
      <c r="CZ3" s="4">
        <v>276.35000000000002</v>
      </c>
      <c r="DA3" s="4">
        <v>276.35000000000002</v>
      </c>
      <c r="DB3" s="4">
        <v>276.35000000000002</v>
      </c>
      <c r="DC3" s="4">
        <v>276.35000000000002</v>
      </c>
      <c r="DD3" s="4">
        <v>276.35000000000002</v>
      </c>
      <c r="DE3" s="4">
        <v>276.35000000000002</v>
      </c>
      <c r="DF3" s="4">
        <v>276.35000000000002</v>
      </c>
      <c r="DG3" s="4">
        <v>276.35000000000002</v>
      </c>
      <c r="DH3" s="4">
        <v>276.35000000000002</v>
      </c>
      <c r="DI3" s="4">
        <v>276.35000000000002</v>
      </c>
      <c r="DJ3" s="4">
        <v>276.35000000000002</v>
      </c>
      <c r="DK3" s="4">
        <v>276.35000000000002</v>
      </c>
      <c r="DL3" s="4">
        <v>276.35000000000002</v>
      </c>
      <c r="DM3" s="4">
        <v>276.35000000000002</v>
      </c>
      <c r="DN3" s="4">
        <v>276.35000000000002</v>
      </c>
      <c r="DO3" s="4">
        <v>276.35000000000002</v>
      </c>
      <c r="DP3" s="4">
        <v>276.35000000000002</v>
      </c>
      <c r="DQ3" s="4">
        <v>276.35000000000002</v>
      </c>
      <c r="DR3" s="4">
        <v>276.35000000000002</v>
      </c>
      <c r="DS3" s="4">
        <v>276.35000000000002</v>
      </c>
      <c r="DT3" s="4">
        <v>276.35000000000002</v>
      </c>
      <c r="DU3" s="4">
        <v>276.35000000000002</v>
      </c>
      <c r="DV3" s="4">
        <v>276.35000000000002</v>
      </c>
      <c r="DW3" s="4">
        <v>276.35000000000002</v>
      </c>
      <c r="DX3" s="4">
        <v>276.35000000000002</v>
      </c>
      <c r="DY3" s="4">
        <v>276.35000000000002</v>
      </c>
      <c r="DZ3" s="4">
        <v>276.35000000000002</v>
      </c>
      <c r="EA3" s="4">
        <v>276.35000000000002</v>
      </c>
      <c r="EB3" s="4">
        <v>276.35000000000002</v>
      </c>
      <c r="EC3" s="4">
        <v>276.35000000000002</v>
      </c>
      <c r="ED3" s="4">
        <v>276.35000000000002</v>
      </c>
      <c r="EE3" s="4">
        <v>276.35000000000002</v>
      </c>
      <c r="EF3" s="4">
        <v>276.35000000000002</v>
      </c>
      <c r="EG3" s="4">
        <v>276.35000000000002</v>
      </c>
      <c r="EH3" s="4">
        <v>276.35000000000002</v>
      </c>
      <c r="EI3" s="4">
        <v>276.35000000000002</v>
      </c>
      <c r="EJ3" s="4">
        <v>276.35000000000002</v>
      </c>
      <c r="EK3" s="4">
        <v>276.35000000000002</v>
      </c>
      <c r="EL3" s="4">
        <v>276.35000000000002</v>
      </c>
      <c r="EM3" s="4">
        <v>276.35000000000002</v>
      </c>
      <c r="EN3" s="4">
        <v>276.35000000000002</v>
      </c>
      <c r="EO3" s="4">
        <v>276.35000000000002</v>
      </c>
      <c r="EP3" s="4">
        <v>276.35000000000002</v>
      </c>
      <c r="EQ3" s="4">
        <v>276.35000000000002</v>
      </c>
      <c r="ER3" s="4">
        <v>276.35000000000002</v>
      </c>
      <c r="ES3" s="4">
        <v>276.35000000000002</v>
      </c>
      <c r="ET3" s="4">
        <v>276.35000000000002</v>
      </c>
      <c r="EU3" s="4">
        <v>276.35000000000002</v>
      </c>
      <c r="EV3" s="4">
        <v>276.35000000000002</v>
      </c>
      <c r="EW3" s="4">
        <v>276.35000000000002</v>
      </c>
      <c r="EX3" s="4">
        <v>276.35000000000002</v>
      </c>
    </row>
    <row r="4" spans="1:154" s="4" customFormat="1" ht="15" thickBot="1" x14ac:dyDescent="0.35">
      <c r="A4" s="3">
        <v>42777</v>
      </c>
      <c r="B4" s="4">
        <v>275.85000000000002</v>
      </c>
      <c r="C4" s="4">
        <f t="shared" si="0"/>
        <v>-4.8820275973083102E-3</v>
      </c>
      <c r="J4" s="5">
        <f ca="1">MROUND(J3*EXP($H$3+$F$3*_xlfn.NORM.S.INV(RAND()))*100,5)/100</f>
        <v>285.35000000000002</v>
      </c>
      <c r="K4" s="5">
        <f t="shared" ref="K4:BV7" ca="1" si="1">MROUND(K3*EXP($H$3+$F$3*_xlfn.NORM.S.INV(RAND()))*100,5)/100</f>
        <v>293.14999999999998</v>
      </c>
      <c r="L4" s="5">
        <f t="shared" ca="1" si="1"/>
        <v>277</v>
      </c>
      <c r="M4" s="5">
        <f t="shared" ca="1" si="1"/>
        <v>272.75</v>
      </c>
      <c r="N4" s="5">
        <f t="shared" ca="1" si="1"/>
        <v>240.65</v>
      </c>
      <c r="O4" s="5">
        <f t="shared" ca="1" si="1"/>
        <v>299.95</v>
      </c>
      <c r="P4" s="5">
        <f t="shared" ca="1" si="1"/>
        <v>284.3</v>
      </c>
      <c r="Q4" s="5">
        <f t="shared" ca="1" si="1"/>
        <v>290.39999999999998</v>
      </c>
      <c r="R4" s="5">
        <f t="shared" ca="1" si="1"/>
        <v>268.14999999999998</v>
      </c>
      <c r="S4" s="5">
        <f t="shared" ca="1" si="1"/>
        <v>271.85000000000002</v>
      </c>
      <c r="T4" s="5">
        <f t="shared" ca="1" si="1"/>
        <v>266.39999999999998</v>
      </c>
      <c r="U4" s="5">
        <f t="shared" ca="1" si="1"/>
        <v>268.5</v>
      </c>
      <c r="V4" s="5">
        <f t="shared" ca="1" si="1"/>
        <v>253.6</v>
      </c>
      <c r="W4" s="5">
        <f t="shared" ca="1" si="1"/>
        <v>276.89999999999998</v>
      </c>
      <c r="X4" s="5">
        <f t="shared" ca="1" si="1"/>
        <v>295.25</v>
      </c>
      <c r="Y4" s="5">
        <f t="shared" ca="1" si="1"/>
        <v>297.60000000000002</v>
      </c>
      <c r="Z4" s="5">
        <f t="shared" ca="1" si="1"/>
        <v>254.65</v>
      </c>
      <c r="AA4" s="5">
        <f t="shared" ca="1" si="1"/>
        <v>268.85000000000002</v>
      </c>
      <c r="AB4" s="5">
        <f t="shared" ca="1" si="1"/>
        <v>249.35</v>
      </c>
      <c r="AC4" s="5">
        <f t="shared" ca="1" si="1"/>
        <v>267.14999999999998</v>
      </c>
      <c r="AD4" s="5">
        <f t="shared" ca="1" si="1"/>
        <v>240.75</v>
      </c>
      <c r="AE4" s="5">
        <f t="shared" ca="1" si="1"/>
        <v>278.85000000000002</v>
      </c>
      <c r="AF4" s="5">
        <f t="shared" ca="1" si="1"/>
        <v>290.45</v>
      </c>
      <c r="AG4" s="5">
        <f t="shared" ca="1" si="1"/>
        <v>306.64999999999998</v>
      </c>
      <c r="AH4" s="5">
        <f t="shared" ca="1" si="1"/>
        <v>264.2</v>
      </c>
      <c r="AI4" s="5">
        <f t="shared" ca="1" si="1"/>
        <v>301.55</v>
      </c>
      <c r="AJ4" s="5">
        <f t="shared" ca="1" si="1"/>
        <v>279.05</v>
      </c>
      <c r="AK4" s="5">
        <f t="shared" ca="1" si="1"/>
        <v>256.10000000000002</v>
      </c>
      <c r="AL4" s="5">
        <f t="shared" ca="1" si="1"/>
        <v>275.35000000000002</v>
      </c>
      <c r="AM4" s="5">
        <f t="shared" ca="1" si="1"/>
        <v>274.89999999999998</v>
      </c>
      <c r="AN4" s="5">
        <f t="shared" ca="1" si="1"/>
        <v>274.5</v>
      </c>
      <c r="AO4" s="5">
        <f t="shared" ca="1" si="1"/>
        <v>269.8</v>
      </c>
      <c r="AP4" s="5">
        <f t="shared" ca="1" si="1"/>
        <v>283.39999999999998</v>
      </c>
      <c r="AQ4" s="5">
        <f t="shared" ca="1" si="1"/>
        <v>261.7</v>
      </c>
      <c r="AR4" s="5">
        <f t="shared" ca="1" si="1"/>
        <v>246.95</v>
      </c>
      <c r="AS4" s="5">
        <f t="shared" ca="1" si="1"/>
        <v>277.85000000000002</v>
      </c>
      <c r="AT4" s="5">
        <f t="shared" ca="1" si="1"/>
        <v>315.14999999999998</v>
      </c>
      <c r="AU4" s="5">
        <f t="shared" ca="1" si="1"/>
        <v>259.89999999999998</v>
      </c>
      <c r="AV4" s="5">
        <f t="shared" ca="1" si="1"/>
        <v>291.95</v>
      </c>
      <c r="AW4" s="5">
        <f t="shared" ca="1" si="1"/>
        <v>263.5</v>
      </c>
      <c r="AX4" s="5">
        <f t="shared" ca="1" si="1"/>
        <v>269</v>
      </c>
      <c r="AY4" s="5">
        <f t="shared" ca="1" si="1"/>
        <v>299.64999999999998</v>
      </c>
      <c r="AZ4" s="5">
        <f t="shared" ca="1" si="1"/>
        <v>273.14999999999998</v>
      </c>
      <c r="BA4" s="5">
        <f t="shared" ca="1" si="1"/>
        <v>302.25</v>
      </c>
      <c r="BB4" s="5">
        <f t="shared" ca="1" si="1"/>
        <v>257.05</v>
      </c>
      <c r="BC4" s="5">
        <f t="shared" ca="1" si="1"/>
        <v>264</v>
      </c>
      <c r="BD4" s="5">
        <f t="shared" ca="1" si="1"/>
        <v>285.2</v>
      </c>
      <c r="BE4" s="5">
        <f t="shared" ca="1" si="1"/>
        <v>268.55</v>
      </c>
      <c r="BF4" s="5">
        <f t="shared" ca="1" si="1"/>
        <v>247.25</v>
      </c>
      <c r="BG4" s="5">
        <f t="shared" ca="1" si="1"/>
        <v>263.05</v>
      </c>
      <c r="BH4" s="5">
        <f t="shared" ca="1" si="1"/>
        <v>275</v>
      </c>
      <c r="BI4" s="5">
        <f t="shared" ca="1" si="1"/>
        <v>290.8</v>
      </c>
      <c r="BJ4" s="5">
        <f t="shared" ca="1" si="1"/>
        <v>280.89999999999998</v>
      </c>
      <c r="BK4" s="5">
        <f t="shared" ca="1" si="1"/>
        <v>278</v>
      </c>
      <c r="BL4" s="5">
        <f t="shared" ca="1" si="1"/>
        <v>259.60000000000002</v>
      </c>
      <c r="BM4" s="5">
        <f t="shared" ca="1" si="1"/>
        <v>274.85000000000002</v>
      </c>
      <c r="BN4" s="5">
        <f t="shared" ca="1" si="1"/>
        <v>273.64999999999998</v>
      </c>
      <c r="BO4" s="5">
        <f t="shared" ca="1" si="1"/>
        <v>296.35000000000002</v>
      </c>
      <c r="BP4" s="5">
        <f t="shared" ca="1" si="1"/>
        <v>280.60000000000002</v>
      </c>
      <c r="BQ4" s="5">
        <f t="shared" ca="1" si="1"/>
        <v>279.10000000000002</v>
      </c>
      <c r="BR4" s="5">
        <f t="shared" ca="1" si="1"/>
        <v>267.75</v>
      </c>
      <c r="BS4" s="5">
        <f t="shared" ca="1" si="1"/>
        <v>291.8</v>
      </c>
      <c r="BT4" s="5">
        <f t="shared" ca="1" si="1"/>
        <v>247</v>
      </c>
      <c r="BU4" s="5">
        <f t="shared" ca="1" si="1"/>
        <v>276.75</v>
      </c>
      <c r="BV4" s="5">
        <f t="shared" ca="1" si="1"/>
        <v>277.25</v>
      </c>
      <c r="BW4" s="5">
        <f t="shared" ref="BW4:EH7" ca="1" si="2">MROUND(BW3*EXP($H$3+$F$3*_xlfn.NORM.S.INV(RAND()))*100,5)/100</f>
        <v>300.64999999999998</v>
      </c>
      <c r="BX4" s="5">
        <f t="shared" ca="1" si="2"/>
        <v>275</v>
      </c>
      <c r="BY4" s="5">
        <f t="shared" ca="1" si="2"/>
        <v>324.85000000000002</v>
      </c>
      <c r="BZ4" s="5">
        <f t="shared" ca="1" si="2"/>
        <v>272</v>
      </c>
      <c r="CA4" s="5">
        <f t="shared" ca="1" si="2"/>
        <v>306.05</v>
      </c>
      <c r="CB4" s="5">
        <f t="shared" ca="1" si="2"/>
        <v>272.14999999999998</v>
      </c>
      <c r="CC4" s="5">
        <f t="shared" ca="1" si="2"/>
        <v>287.75</v>
      </c>
      <c r="CD4" s="5">
        <f t="shared" ca="1" si="2"/>
        <v>290.25</v>
      </c>
      <c r="CE4" s="5">
        <f t="shared" ca="1" si="2"/>
        <v>282.5</v>
      </c>
      <c r="CF4" s="5">
        <f t="shared" ca="1" si="2"/>
        <v>251.6</v>
      </c>
      <c r="CG4" s="5">
        <f t="shared" ca="1" si="2"/>
        <v>269.2</v>
      </c>
      <c r="CH4" s="5">
        <f t="shared" ca="1" si="2"/>
        <v>250.55</v>
      </c>
      <c r="CI4" s="5">
        <f t="shared" ca="1" si="2"/>
        <v>274.3</v>
      </c>
      <c r="CJ4" s="5">
        <f t="shared" ca="1" si="2"/>
        <v>279.7</v>
      </c>
      <c r="CK4" s="5">
        <f t="shared" ca="1" si="2"/>
        <v>289.45</v>
      </c>
      <c r="CL4" s="5">
        <f t="shared" ca="1" si="2"/>
        <v>283.05</v>
      </c>
      <c r="CM4" s="5">
        <f t="shared" ca="1" si="2"/>
        <v>267.45</v>
      </c>
      <c r="CN4" s="5">
        <f t="shared" ca="1" si="2"/>
        <v>257.2</v>
      </c>
      <c r="CO4" s="5">
        <f t="shared" ca="1" si="2"/>
        <v>262.10000000000002</v>
      </c>
      <c r="CP4" s="5">
        <f t="shared" ca="1" si="2"/>
        <v>264.85000000000002</v>
      </c>
      <c r="CQ4" s="5">
        <f t="shared" ca="1" si="2"/>
        <v>256</v>
      </c>
      <c r="CR4" s="5">
        <f t="shared" ca="1" si="2"/>
        <v>333.2</v>
      </c>
      <c r="CS4" s="5">
        <f t="shared" ca="1" si="2"/>
        <v>288.39999999999998</v>
      </c>
      <c r="CT4" s="5">
        <f t="shared" ca="1" si="2"/>
        <v>249.4</v>
      </c>
      <c r="CU4" s="5">
        <f t="shared" ca="1" si="2"/>
        <v>289.75</v>
      </c>
      <c r="CV4" s="5">
        <f t="shared" ca="1" si="2"/>
        <v>306.05</v>
      </c>
      <c r="CW4" s="5">
        <f t="shared" ca="1" si="2"/>
        <v>258</v>
      </c>
      <c r="CX4" s="5">
        <f t="shared" ca="1" si="2"/>
        <v>276.45</v>
      </c>
      <c r="CY4" s="5">
        <f t="shared" ca="1" si="2"/>
        <v>295.35000000000002</v>
      </c>
      <c r="CZ4" s="5">
        <f t="shared" ca="1" si="2"/>
        <v>279.7</v>
      </c>
      <c r="DA4" s="5">
        <f t="shared" ca="1" si="2"/>
        <v>270.05</v>
      </c>
      <c r="DB4" s="5">
        <f t="shared" ca="1" si="2"/>
        <v>303.3</v>
      </c>
      <c r="DC4" s="5">
        <f t="shared" ca="1" si="2"/>
        <v>272.75</v>
      </c>
      <c r="DD4" s="5">
        <f t="shared" ca="1" si="2"/>
        <v>272.10000000000002</v>
      </c>
      <c r="DE4" s="5">
        <f t="shared" ca="1" si="2"/>
        <v>287.7</v>
      </c>
      <c r="DF4" s="5">
        <f t="shared" ca="1" si="2"/>
        <v>255.3</v>
      </c>
      <c r="DG4" s="5">
        <f t="shared" ca="1" si="2"/>
        <v>254.75</v>
      </c>
      <c r="DH4" s="5">
        <f t="shared" ca="1" si="2"/>
        <v>264.35000000000002</v>
      </c>
      <c r="DI4" s="5">
        <f t="shared" ca="1" si="2"/>
        <v>286.35000000000002</v>
      </c>
      <c r="DJ4" s="5">
        <f t="shared" ca="1" si="2"/>
        <v>266.5</v>
      </c>
      <c r="DK4" s="5">
        <f t="shared" ca="1" si="2"/>
        <v>266.35000000000002</v>
      </c>
      <c r="DL4" s="5">
        <f t="shared" ca="1" si="2"/>
        <v>279.10000000000002</v>
      </c>
      <c r="DM4" s="5">
        <f t="shared" ca="1" si="2"/>
        <v>286.8</v>
      </c>
      <c r="DN4" s="5">
        <f t="shared" ca="1" si="2"/>
        <v>259.7</v>
      </c>
      <c r="DO4" s="5">
        <f t="shared" ca="1" si="2"/>
        <v>296.14999999999998</v>
      </c>
      <c r="DP4" s="5">
        <f t="shared" ca="1" si="2"/>
        <v>253.05</v>
      </c>
      <c r="DQ4" s="5">
        <f t="shared" ca="1" si="2"/>
        <v>293.25</v>
      </c>
      <c r="DR4" s="5">
        <f t="shared" ca="1" si="2"/>
        <v>264.35000000000002</v>
      </c>
      <c r="DS4" s="5">
        <f t="shared" ca="1" si="2"/>
        <v>288.8</v>
      </c>
      <c r="DT4" s="5">
        <f t="shared" ca="1" si="2"/>
        <v>271.35000000000002</v>
      </c>
      <c r="DU4" s="5">
        <f t="shared" ca="1" si="2"/>
        <v>280.64999999999998</v>
      </c>
      <c r="DV4" s="5">
        <f t="shared" ca="1" si="2"/>
        <v>263.55</v>
      </c>
      <c r="DW4" s="5">
        <f t="shared" ca="1" si="2"/>
        <v>278.10000000000002</v>
      </c>
      <c r="DX4" s="5">
        <f t="shared" ca="1" si="2"/>
        <v>317.25</v>
      </c>
      <c r="DY4" s="5">
        <f t="shared" ca="1" si="2"/>
        <v>278.2</v>
      </c>
      <c r="DZ4" s="5">
        <f t="shared" ca="1" si="2"/>
        <v>284.35000000000002</v>
      </c>
      <c r="EA4" s="5">
        <f t="shared" ca="1" si="2"/>
        <v>302.7</v>
      </c>
      <c r="EB4" s="5">
        <f t="shared" ca="1" si="2"/>
        <v>283.25</v>
      </c>
      <c r="EC4" s="5">
        <f t="shared" ca="1" si="2"/>
        <v>283.25</v>
      </c>
      <c r="ED4" s="5">
        <f t="shared" ca="1" si="2"/>
        <v>262.55</v>
      </c>
      <c r="EE4" s="5">
        <f t="shared" ca="1" si="2"/>
        <v>253.7</v>
      </c>
      <c r="EF4" s="5">
        <f t="shared" ca="1" si="2"/>
        <v>291.95</v>
      </c>
      <c r="EG4" s="5">
        <f t="shared" ca="1" si="2"/>
        <v>264.5</v>
      </c>
      <c r="EH4" s="5">
        <f t="shared" ca="1" si="2"/>
        <v>269.95</v>
      </c>
      <c r="EI4" s="5">
        <f t="shared" ref="EI4:EX19" ca="1" si="3">MROUND(EI3*EXP($H$3+$F$3*_xlfn.NORM.S.INV(RAND()))*100,5)/100</f>
        <v>284.3</v>
      </c>
      <c r="EJ4" s="5">
        <f t="shared" ca="1" si="3"/>
        <v>276.64999999999998</v>
      </c>
      <c r="EK4" s="5">
        <f t="shared" ca="1" si="3"/>
        <v>248.7</v>
      </c>
      <c r="EL4" s="5">
        <f t="shared" ca="1" si="3"/>
        <v>281.95</v>
      </c>
      <c r="EM4" s="5">
        <f t="shared" ca="1" si="3"/>
        <v>279.25</v>
      </c>
      <c r="EN4" s="5">
        <f t="shared" ca="1" si="3"/>
        <v>260.25</v>
      </c>
      <c r="EO4" s="5">
        <f t="shared" ca="1" si="3"/>
        <v>280.85000000000002</v>
      </c>
      <c r="EP4" s="5">
        <f t="shared" ca="1" si="3"/>
        <v>291.3</v>
      </c>
      <c r="EQ4" s="5">
        <f t="shared" ca="1" si="3"/>
        <v>251.15</v>
      </c>
      <c r="ER4" s="5">
        <f t="shared" ca="1" si="3"/>
        <v>257.60000000000002</v>
      </c>
      <c r="ES4" s="5">
        <f t="shared" ca="1" si="3"/>
        <v>290.3</v>
      </c>
      <c r="ET4" s="5">
        <f t="shared" ca="1" si="3"/>
        <v>267.55</v>
      </c>
      <c r="EU4" s="5">
        <f t="shared" ca="1" si="3"/>
        <v>273.5</v>
      </c>
      <c r="EV4" s="5">
        <f t="shared" ca="1" si="3"/>
        <v>276.45</v>
      </c>
      <c r="EW4" s="5">
        <f t="shared" ca="1" si="3"/>
        <v>311.45</v>
      </c>
      <c r="EX4" s="5">
        <f t="shared" ca="1" si="3"/>
        <v>302.39999999999998</v>
      </c>
    </row>
    <row r="5" spans="1:154" s="4" customFormat="1" x14ac:dyDescent="0.3">
      <c r="A5" s="3">
        <v>42778</v>
      </c>
      <c r="B5" s="4">
        <v>277.2</v>
      </c>
      <c r="C5" s="4">
        <f t="shared" si="0"/>
        <v>-2.522069432709835E-3</v>
      </c>
      <c r="E5" s="12" t="s">
        <v>41</v>
      </c>
      <c r="F5" s="13">
        <v>1000000</v>
      </c>
      <c r="J5" s="5">
        <f t="shared" ref="J5:J23" ca="1" si="4">MROUND(J4*EXP($H$3+$F$3*_xlfn.NORM.S.INV(RAND()))*100,5)/100</f>
        <v>285.14999999999998</v>
      </c>
      <c r="K5" s="5">
        <f t="shared" ca="1" si="1"/>
        <v>297.10000000000002</v>
      </c>
      <c r="L5" s="5">
        <f t="shared" ca="1" si="1"/>
        <v>290.8</v>
      </c>
      <c r="M5" s="5">
        <f t="shared" ca="1" si="1"/>
        <v>292.14999999999998</v>
      </c>
      <c r="N5" s="5">
        <f t="shared" ca="1" si="1"/>
        <v>235.75</v>
      </c>
      <c r="O5" s="5">
        <f t="shared" ca="1" si="1"/>
        <v>274.2</v>
      </c>
      <c r="P5" s="5">
        <f t="shared" ca="1" si="1"/>
        <v>266</v>
      </c>
      <c r="Q5" s="5">
        <f t="shared" ca="1" si="1"/>
        <v>299.85000000000002</v>
      </c>
      <c r="R5" s="5">
        <f t="shared" ca="1" si="1"/>
        <v>286.60000000000002</v>
      </c>
      <c r="S5" s="5">
        <f t="shared" ca="1" si="1"/>
        <v>271.55</v>
      </c>
      <c r="T5" s="5">
        <f t="shared" ca="1" si="1"/>
        <v>276.85000000000002</v>
      </c>
      <c r="U5" s="5">
        <f t="shared" ca="1" si="1"/>
        <v>278.3</v>
      </c>
      <c r="V5" s="5">
        <f t="shared" ca="1" si="1"/>
        <v>259.45</v>
      </c>
      <c r="W5" s="5">
        <f t="shared" ca="1" si="1"/>
        <v>250.85</v>
      </c>
      <c r="X5" s="5">
        <f t="shared" ca="1" si="1"/>
        <v>309.25</v>
      </c>
      <c r="Y5" s="5">
        <f t="shared" ca="1" si="1"/>
        <v>320.10000000000002</v>
      </c>
      <c r="Z5" s="5">
        <f t="shared" ca="1" si="1"/>
        <v>273.8</v>
      </c>
      <c r="AA5" s="5">
        <f t="shared" ca="1" si="1"/>
        <v>279.3</v>
      </c>
      <c r="AB5" s="5">
        <f t="shared" ca="1" si="1"/>
        <v>250.7</v>
      </c>
      <c r="AC5" s="5">
        <f t="shared" ca="1" si="1"/>
        <v>259.05</v>
      </c>
      <c r="AD5" s="5">
        <f t="shared" ca="1" si="1"/>
        <v>261.39999999999998</v>
      </c>
      <c r="AE5" s="5">
        <f t="shared" ca="1" si="1"/>
        <v>296.7</v>
      </c>
      <c r="AF5" s="5">
        <f t="shared" ca="1" si="1"/>
        <v>297.55</v>
      </c>
      <c r="AG5" s="5">
        <f t="shared" ca="1" si="1"/>
        <v>307</v>
      </c>
      <c r="AH5" s="5">
        <f t="shared" ca="1" si="1"/>
        <v>247.65</v>
      </c>
      <c r="AI5" s="5">
        <f t="shared" ca="1" si="1"/>
        <v>279.35000000000002</v>
      </c>
      <c r="AJ5" s="5">
        <f t="shared" ca="1" si="1"/>
        <v>276.3</v>
      </c>
      <c r="AK5" s="5">
        <f t="shared" ca="1" si="1"/>
        <v>241.75</v>
      </c>
      <c r="AL5" s="5">
        <f t="shared" ca="1" si="1"/>
        <v>309.2</v>
      </c>
      <c r="AM5" s="5">
        <f t="shared" ca="1" si="1"/>
        <v>276.7</v>
      </c>
      <c r="AN5" s="5">
        <f t="shared" ca="1" si="1"/>
        <v>238.85</v>
      </c>
      <c r="AO5" s="5">
        <f t="shared" ca="1" si="1"/>
        <v>240.4</v>
      </c>
      <c r="AP5" s="5">
        <f t="shared" ca="1" si="1"/>
        <v>283.8</v>
      </c>
      <c r="AQ5" s="5">
        <f t="shared" ca="1" si="1"/>
        <v>251.75</v>
      </c>
      <c r="AR5" s="5">
        <f t="shared" ca="1" si="1"/>
        <v>234.45</v>
      </c>
      <c r="AS5" s="5">
        <f t="shared" ca="1" si="1"/>
        <v>284.05</v>
      </c>
      <c r="AT5" s="5">
        <f t="shared" ca="1" si="1"/>
        <v>294.25</v>
      </c>
      <c r="AU5" s="5">
        <f t="shared" ca="1" si="1"/>
        <v>258.05</v>
      </c>
      <c r="AV5" s="5">
        <f t="shared" ca="1" si="1"/>
        <v>298</v>
      </c>
      <c r="AW5" s="5">
        <f t="shared" ca="1" si="1"/>
        <v>266.7</v>
      </c>
      <c r="AX5" s="5">
        <f t="shared" ca="1" si="1"/>
        <v>297.64999999999998</v>
      </c>
      <c r="AY5" s="5">
        <f t="shared" ca="1" si="1"/>
        <v>270.14999999999998</v>
      </c>
      <c r="AZ5" s="5">
        <f t="shared" ca="1" si="1"/>
        <v>289.05</v>
      </c>
      <c r="BA5" s="5">
        <f t="shared" ca="1" si="1"/>
        <v>284.60000000000002</v>
      </c>
      <c r="BB5" s="5">
        <f t="shared" ca="1" si="1"/>
        <v>254.85</v>
      </c>
      <c r="BC5" s="5">
        <f t="shared" ca="1" si="1"/>
        <v>273.2</v>
      </c>
      <c r="BD5" s="5">
        <f t="shared" ca="1" si="1"/>
        <v>254.3</v>
      </c>
      <c r="BE5" s="5">
        <f t="shared" ca="1" si="1"/>
        <v>289.55</v>
      </c>
      <c r="BF5" s="5">
        <f t="shared" ca="1" si="1"/>
        <v>278.45</v>
      </c>
      <c r="BG5" s="5">
        <f t="shared" ca="1" si="1"/>
        <v>309.35000000000002</v>
      </c>
      <c r="BH5" s="5">
        <f t="shared" ca="1" si="1"/>
        <v>283.55</v>
      </c>
      <c r="BI5" s="5">
        <f t="shared" ca="1" si="1"/>
        <v>293.45</v>
      </c>
      <c r="BJ5" s="5">
        <f t="shared" ca="1" si="1"/>
        <v>296.39999999999998</v>
      </c>
      <c r="BK5" s="5">
        <f t="shared" ca="1" si="1"/>
        <v>239.45</v>
      </c>
      <c r="BL5" s="5">
        <f t="shared" ca="1" si="1"/>
        <v>259.75</v>
      </c>
      <c r="BM5" s="5">
        <f t="shared" ca="1" si="1"/>
        <v>249.65</v>
      </c>
      <c r="BN5" s="5">
        <f t="shared" ca="1" si="1"/>
        <v>266.3</v>
      </c>
      <c r="BO5" s="5">
        <f t="shared" ca="1" si="1"/>
        <v>271.75</v>
      </c>
      <c r="BP5" s="5">
        <f t="shared" ca="1" si="1"/>
        <v>274.60000000000002</v>
      </c>
      <c r="BQ5" s="5">
        <f t="shared" ca="1" si="1"/>
        <v>284.2</v>
      </c>
      <c r="BR5" s="5">
        <f t="shared" ca="1" si="1"/>
        <v>268.89999999999998</v>
      </c>
      <c r="BS5" s="5">
        <f t="shared" ca="1" si="1"/>
        <v>310.35000000000002</v>
      </c>
      <c r="BT5" s="5">
        <f t="shared" ca="1" si="1"/>
        <v>245.35</v>
      </c>
      <c r="BU5" s="5">
        <f t="shared" ca="1" si="1"/>
        <v>265.3</v>
      </c>
      <c r="BV5" s="5">
        <f t="shared" ca="1" si="1"/>
        <v>280.14999999999998</v>
      </c>
      <c r="BW5" s="5">
        <f t="shared" ca="1" si="2"/>
        <v>323.14999999999998</v>
      </c>
      <c r="BX5" s="5">
        <f t="shared" ca="1" si="2"/>
        <v>231.35</v>
      </c>
      <c r="BY5" s="5">
        <f t="shared" ca="1" si="2"/>
        <v>322.45</v>
      </c>
      <c r="BZ5" s="5">
        <f t="shared" ca="1" si="2"/>
        <v>289.45</v>
      </c>
      <c r="CA5" s="5">
        <f t="shared" ca="1" si="2"/>
        <v>306.8</v>
      </c>
      <c r="CB5" s="5">
        <f t="shared" ca="1" si="2"/>
        <v>291.8</v>
      </c>
      <c r="CC5" s="5">
        <f t="shared" ca="1" si="2"/>
        <v>265.5</v>
      </c>
      <c r="CD5" s="5">
        <f t="shared" ca="1" si="2"/>
        <v>274.2</v>
      </c>
      <c r="CE5" s="5">
        <f t="shared" ca="1" si="2"/>
        <v>244.85</v>
      </c>
      <c r="CF5" s="5">
        <f t="shared" ca="1" si="2"/>
        <v>257.2</v>
      </c>
      <c r="CG5" s="5">
        <f t="shared" ca="1" si="2"/>
        <v>296.25</v>
      </c>
      <c r="CH5" s="5">
        <f t="shared" ca="1" si="2"/>
        <v>266.14999999999998</v>
      </c>
      <c r="CI5" s="5">
        <f t="shared" ca="1" si="2"/>
        <v>313.60000000000002</v>
      </c>
      <c r="CJ5" s="5">
        <f t="shared" ca="1" si="2"/>
        <v>283.25</v>
      </c>
      <c r="CK5" s="5">
        <f t="shared" ca="1" si="2"/>
        <v>274.05</v>
      </c>
      <c r="CL5" s="5">
        <f t="shared" ca="1" si="2"/>
        <v>271.2</v>
      </c>
      <c r="CM5" s="5">
        <f t="shared" ca="1" si="2"/>
        <v>290.14999999999998</v>
      </c>
      <c r="CN5" s="5">
        <f t="shared" ca="1" si="2"/>
        <v>271.35000000000002</v>
      </c>
      <c r="CO5" s="5">
        <f t="shared" ca="1" si="2"/>
        <v>246.35</v>
      </c>
      <c r="CP5" s="5">
        <f t="shared" ca="1" si="2"/>
        <v>244.15</v>
      </c>
      <c r="CQ5" s="5">
        <f t="shared" ca="1" si="2"/>
        <v>268.5</v>
      </c>
      <c r="CR5" s="5">
        <f t="shared" ca="1" si="2"/>
        <v>299.39999999999998</v>
      </c>
      <c r="CS5" s="5">
        <f t="shared" ca="1" si="2"/>
        <v>289.25</v>
      </c>
      <c r="CT5" s="5">
        <f t="shared" ca="1" si="2"/>
        <v>249.3</v>
      </c>
      <c r="CU5" s="5">
        <f t="shared" ca="1" si="2"/>
        <v>291.75</v>
      </c>
      <c r="CV5" s="5">
        <f t="shared" ca="1" si="2"/>
        <v>239.65</v>
      </c>
      <c r="CW5" s="5">
        <f t="shared" ca="1" si="2"/>
        <v>293.64999999999998</v>
      </c>
      <c r="CX5" s="5">
        <f t="shared" ca="1" si="2"/>
        <v>295.5</v>
      </c>
      <c r="CY5" s="5">
        <f t="shared" ca="1" si="2"/>
        <v>285.14999999999998</v>
      </c>
      <c r="CZ5" s="5">
        <f t="shared" ca="1" si="2"/>
        <v>297.35000000000002</v>
      </c>
      <c r="DA5" s="5">
        <f t="shared" ca="1" si="2"/>
        <v>297.5</v>
      </c>
      <c r="DB5" s="5">
        <f t="shared" ca="1" si="2"/>
        <v>305.39999999999998</v>
      </c>
      <c r="DC5" s="5">
        <f t="shared" ca="1" si="2"/>
        <v>247.3</v>
      </c>
      <c r="DD5" s="5">
        <f t="shared" ca="1" si="2"/>
        <v>281.60000000000002</v>
      </c>
      <c r="DE5" s="5">
        <f t="shared" ca="1" si="2"/>
        <v>299.5</v>
      </c>
      <c r="DF5" s="5">
        <f t="shared" ca="1" si="2"/>
        <v>246.35</v>
      </c>
      <c r="DG5" s="5">
        <f t="shared" ca="1" si="2"/>
        <v>248.2</v>
      </c>
      <c r="DH5" s="5">
        <f t="shared" ca="1" si="2"/>
        <v>221.25</v>
      </c>
      <c r="DI5" s="5">
        <f t="shared" ca="1" si="2"/>
        <v>275.25</v>
      </c>
      <c r="DJ5" s="5">
        <f t="shared" ca="1" si="2"/>
        <v>268.45</v>
      </c>
      <c r="DK5" s="5">
        <f t="shared" ca="1" si="2"/>
        <v>302.75</v>
      </c>
      <c r="DL5" s="5">
        <f t="shared" ca="1" si="2"/>
        <v>269.3</v>
      </c>
      <c r="DM5" s="5">
        <f t="shared" ca="1" si="2"/>
        <v>247.75</v>
      </c>
      <c r="DN5" s="5">
        <f t="shared" ca="1" si="2"/>
        <v>238.6</v>
      </c>
      <c r="DO5" s="5">
        <f t="shared" ca="1" si="2"/>
        <v>307.2</v>
      </c>
      <c r="DP5" s="5">
        <f t="shared" ca="1" si="2"/>
        <v>261.75</v>
      </c>
      <c r="DQ5" s="5">
        <f t="shared" ca="1" si="2"/>
        <v>284.05</v>
      </c>
      <c r="DR5" s="5">
        <f t="shared" ca="1" si="2"/>
        <v>252.4</v>
      </c>
      <c r="DS5" s="5">
        <f t="shared" ca="1" si="2"/>
        <v>308.95</v>
      </c>
      <c r="DT5" s="5">
        <f t="shared" ca="1" si="2"/>
        <v>298.5</v>
      </c>
      <c r="DU5" s="5">
        <f t="shared" ca="1" si="2"/>
        <v>295.7</v>
      </c>
      <c r="DV5" s="5">
        <f t="shared" ca="1" si="2"/>
        <v>292.75</v>
      </c>
      <c r="DW5" s="5">
        <f t="shared" ca="1" si="2"/>
        <v>280.10000000000002</v>
      </c>
      <c r="DX5" s="5">
        <f t="shared" ca="1" si="2"/>
        <v>332.9</v>
      </c>
      <c r="DY5" s="5">
        <f t="shared" ca="1" si="2"/>
        <v>256.39999999999998</v>
      </c>
      <c r="DZ5" s="5">
        <f t="shared" ca="1" si="2"/>
        <v>285.7</v>
      </c>
      <c r="EA5" s="5">
        <f t="shared" ca="1" si="2"/>
        <v>287.64999999999998</v>
      </c>
      <c r="EB5" s="5">
        <f t="shared" ca="1" si="2"/>
        <v>312.2</v>
      </c>
      <c r="EC5" s="5">
        <f t="shared" ca="1" si="2"/>
        <v>287.75</v>
      </c>
      <c r="ED5" s="5">
        <f t="shared" ca="1" si="2"/>
        <v>245.95</v>
      </c>
      <c r="EE5" s="5">
        <f t="shared" ca="1" si="2"/>
        <v>225.5</v>
      </c>
      <c r="EF5" s="5">
        <f t="shared" ca="1" si="2"/>
        <v>307.8</v>
      </c>
      <c r="EG5" s="5">
        <f t="shared" ca="1" si="2"/>
        <v>242.15</v>
      </c>
      <c r="EH5" s="5">
        <f t="shared" ca="1" si="2"/>
        <v>273.55</v>
      </c>
      <c r="EI5" s="5">
        <f t="shared" ca="1" si="3"/>
        <v>259</v>
      </c>
      <c r="EJ5" s="5">
        <f t="shared" ca="1" si="3"/>
        <v>264.25</v>
      </c>
      <c r="EK5" s="5">
        <f t="shared" ca="1" si="3"/>
        <v>224</v>
      </c>
      <c r="EL5" s="5">
        <f t="shared" ca="1" si="3"/>
        <v>259.14999999999998</v>
      </c>
      <c r="EM5" s="5">
        <f t="shared" ca="1" si="3"/>
        <v>304.2</v>
      </c>
      <c r="EN5" s="5">
        <f t="shared" ca="1" si="3"/>
        <v>260</v>
      </c>
      <c r="EO5" s="5">
        <f t="shared" ca="1" si="3"/>
        <v>290.75</v>
      </c>
      <c r="EP5" s="5">
        <f t="shared" ca="1" si="3"/>
        <v>268.89999999999998</v>
      </c>
      <c r="EQ5" s="5">
        <f t="shared" ca="1" si="3"/>
        <v>255.5</v>
      </c>
      <c r="ER5" s="5">
        <f t="shared" ca="1" si="3"/>
        <v>245</v>
      </c>
      <c r="ES5" s="5">
        <f t="shared" ca="1" si="3"/>
        <v>293.89999999999998</v>
      </c>
      <c r="ET5" s="5">
        <f t="shared" ca="1" si="3"/>
        <v>267.55</v>
      </c>
      <c r="EU5" s="5">
        <f t="shared" ca="1" si="3"/>
        <v>254</v>
      </c>
      <c r="EV5" s="5">
        <f t="shared" ca="1" si="3"/>
        <v>304.3</v>
      </c>
      <c r="EW5" s="5">
        <f t="shared" ca="1" si="3"/>
        <v>275.5</v>
      </c>
      <c r="EX5" s="5">
        <f t="shared" ca="1" si="3"/>
        <v>309.95</v>
      </c>
    </row>
    <row r="6" spans="1:154" s="4" customFormat="1" x14ac:dyDescent="0.3">
      <c r="A6" s="3">
        <v>42779</v>
      </c>
      <c r="B6" s="4">
        <v>277.89999999999998</v>
      </c>
      <c r="C6" s="4">
        <f t="shared" si="0"/>
        <v>3.0633414350992537E-3</v>
      </c>
      <c r="E6" s="14" t="s">
        <v>38</v>
      </c>
      <c r="F6" s="15">
        <v>0.95</v>
      </c>
      <c r="J6" s="5">
        <f t="shared" ca="1" si="4"/>
        <v>305.14999999999998</v>
      </c>
      <c r="K6" s="5">
        <f t="shared" ca="1" si="1"/>
        <v>292</v>
      </c>
      <c r="L6" s="5">
        <f t="shared" ca="1" si="1"/>
        <v>278.89999999999998</v>
      </c>
      <c r="M6" s="5">
        <f t="shared" ca="1" si="1"/>
        <v>290.85000000000002</v>
      </c>
      <c r="N6" s="5">
        <f t="shared" ca="1" si="1"/>
        <v>229.9</v>
      </c>
      <c r="O6" s="5">
        <f t="shared" ca="1" si="1"/>
        <v>248.7</v>
      </c>
      <c r="P6" s="5">
        <f t="shared" ca="1" si="1"/>
        <v>273.7</v>
      </c>
      <c r="Q6" s="5">
        <f t="shared" ca="1" si="1"/>
        <v>307</v>
      </c>
      <c r="R6" s="5">
        <f t="shared" ca="1" si="1"/>
        <v>324.25</v>
      </c>
      <c r="S6" s="5">
        <f t="shared" ca="1" si="1"/>
        <v>269.45</v>
      </c>
      <c r="T6" s="5">
        <f t="shared" ca="1" si="1"/>
        <v>295.89999999999998</v>
      </c>
      <c r="U6" s="5">
        <f t="shared" ca="1" si="1"/>
        <v>283.85000000000002</v>
      </c>
      <c r="V6" s="5">
        <f t="shared" ca="1" si="1"/>
        <v>238.4</v>
      </c>
      <c r="W6" s="5">
        <f t="shared" ca="1" si="1"/>
        <v>283.25</v>
      </c>
      <c r="X6" s="5">
        <f t="shared" ca="1" si="1"/>
        <v>336.95</v>
      </c>
      <c r="Y6" s="5">
        <f t="shared" ca="1" si="1"/>
        <v>323</v>
      </c>
      <c r="Z6" s="5">
        <f t="shared" ca="1" si="1"/>
        <v>257.95</v>
      </c>
      <c r="AA6" s="5">
        <f t="shared" ca="1" si="1"/>
        <v>262.39999999999998</v>
      </c>
      <c r="AB6" s="5">
        <f t="shared" ca="1" si="1"/>
        <v>233.45</v>
      </c>
      <c r="AC6" s="5">
        <f t="shared" ca="1" si="1"/>
        <v>252.65</v>
      </c>
      <c r="AD6" s="5">
        <f t="shared" ca="1" si="1"/>
        <v>252.95</v>
      </c>
      <c r="AE6" s="5">
        <f t="shared" ca="1" si="1"/>
        <v>316.3</v>
      </c>
      <c r="AF6" s="5">
        <f t="shared" ca="1" si="1"/>
        <v>309.14999999999998</v>
      </c>
      <c r="AG6" s="5">
        <f t="shared" ca="1" si="1"/>
        <v>305.45</v>
      </c>
      <c r="AH6" s="5">
        <f t="shared" ca="1" si="1"/>
        <v>232.85</v>
      </c>
      <c r="AI6" s="5">
        <f t="shared" ca="1" si="1"/>
        <v>283</v>
      </c>
      <c r="AJ6" s="5">
        <f t="shared" ca="1" si="1"/>
        <v>305.85000000000002</v>
      </c>
      <c r="AK6" s="5">
        <f t="shared" ca="1" si="1"/>
        <v>252.4</v>
      </c>
      <c r="AL6" s="5">
        <f t="shared" ca="1" si="1"/>
        <v>312.25</v>
      </c>
      <c r="AM6" s="5">
        <f t="shared" ca="1" si="1"/>
        <v>288.45</v>
      </c>
      <c r="AN6" s="5">
        <f t="shared" ca="1" si="1"/>
        <v>222.95</v>
      </c>
      <c r="AO6" s="5">
        <f t="shared" ca="1" si="1"/>
        <v>229.05</v>
      </c>
      <c r="AP6" s="5">
        <f t="shared" ca="1" si="1"/>
        <v>310.8</v>
      </c>
      <c r="AQ6" s="5">
        <f t="shared" ca="1" si="1"/>
        <v>232.05</v>
      </c>
      <c r="AR6" s="5">
        <f t="shared" ca="1" si="1"/>
        <v>247.55</v>
      </c>
      <c r="AS6" s="5">
        <f t="shared" ca="1" si="1"/>
        <v>299.39999999999998</v>
      </c>
      <c r="AT6" s="5">
        <f t="shared" ca="1" si="1"/>
        <v>305.05</v>
      </c>
      <c r="AU6" s="5">
        <f t="shared" ca="1" si="1"/>
        <v>250.5</v>
      </c>
      <c r="AV6" s="5">
        <f t="shared" ca="1" si="1"/>
        <v>307.3</v>
      </c>
      <c r="AW6" s="5">
        <f t="shared" ca="1" si="1"/>
        <v>296.7</v>
      </c>
      <c r="AX6" s="5">
        <f t="shared" ca="1" si="1"/>
        <v>276.60000000000002</v>
      </c>
      <c r="AY6" s="5">
        <f t="shared" ca="1" si="1"/>
        <v>314</v>
      </c>
      <c r="AZ6" s="5">
        <f t="shared" ca="1" si="1"/>
        <v>265.95</v>
      </c>
      <c r="BA6" s="5">
        <f t="shared" ca="1" si="1"/>
        <v>279.2</v>
      </c>
      <c r="BB6" s="5">
        <f t="shared" ca="1" si="1"/>
        <v>222.95</v>
      </c>
      <c r="BC6" s="5">
        <f t="shared" ca="1" si="1"/>
        <v>256.60000000000002</v>
      </c>
      <c r="BD6" s="5">
        <f t="shared" ca="1" si="1"/>
        <v>270.89999999999998</v>
      </c>
      <c r="BE6" s="5">
        <f t="shared" ca="1" si="1"/>
        <v>303.8</v>
      </c>
      <c r="BF6" s="5">
        <f t="shared" ca="1" si="1"/>
        <v>293.3</v>
      </c>
      <c r="BG6" s="5">
        <f t="shared" ca="1" si="1"/>
        <v>375.8</v>
      </c>
      <c r="BH6" s="5">
        <f t="shared" ca="1" si="1"/>
        <v>290.5</v>
      </c>
      <c r="BI6" s="5">
        <f t="shared" ca="1" si="1"/>
        <v>286.60000000000002</v>
      </c>
      <c r="BJ6" s="5">
        <f t="shared" ca="1" si="1"/>
        <v>305.8</v>
      </c>
      <c r="BK6" s="5">
        <f t="shared" ca="1" si="1"/>
        <v>240.4</v>
      </c>
      <c r="BL6" s="5">
        <f t="shared" ca="1" si="1"/>
        <v>257.25</v>
      </c>
      <c r="BM6" s="5">
        <f t="shared" ca="1" si="1"/>
        <v>246.6</v>
      </c>
      <c r="BN6" s="5">
        <f t="shared" ca="1" si="1"/>
        <v>242.2</v>
      </c>
      <c r="BO6" s="5">
        <f t="shared" ca="1" si="1"/>
        <v>256.25</v>
      </c>
      <c r="BP6" s="5">
        <f t="shared" ca="1" si="1"/>
        <v>286.8</v>
      </c>
      <c r="BQ6" s="5">
        <f t="shared" ca="1" si="1"/>
        <v>278.45</v>
      </c>
      <c r="BR6" s="5">
        <f t="shared" ca="1" si="1"/>
        <v>232.05</v>
      </c>
      <c r="BS6" s="5">
        <f t="shared" ca="1" si="1"/>
        <v>301.55</v>
      </c>
      <c r="BT6" s="5">
        <f t="shared" ca="1" si="1"/>
        <v>233.6</v>
      </c>
      <c r="BU6" s="5">
        <f t="shared" ca="1" si="1"/>
        <v>269.39999999999998</v>
      </c>
      <c r="BV6" s="5">
        <f t="shared" ca="1" si="1"/>
        <v>273.64999999999998</v>
      </c>
      <c r="BW6" s="5">
        <f t="shared" ca="1" si="2"/>
        <v>344.4</v>
      </c>
      <c r="BX6" s="5">
        <f t="shared" ca="1" si="2"/>
        <v>244.7</v>
      </c>
      <c r="BY6" s="5">
        <f t="shared" ca="1" si="2"/>
        <v>350.75</v>
      </c>
      <c r="BZ6" s="5">
        <f t="shared" ca="1" si="2"/>
        <v>268.64999999999998</v>
      </c>
      <c r="CA6" s="5">
        <f t="shared" ca="1" si="2"/>
        <v>320.3</v>
      </c>
      <c r="CB6" s="5">
        <f t="shared" ca="1" si="2"/>
        <v>291.05</v>
      </c>
      <c r="CC6" s="5">
        <f t="shared" ca="1" si="2"/>
        <v>249.3</v>
      </c>
      <c r="CD6" s="5">
        <f t="shared" ca="1" si="2"/>
        <v>283.5</v>
      </c>
      <c r="CE6" s="5">
        <f t="shared" ca="1" si="2"/>
        <v>229.55</v>
      </c>
      <c r="CF6" s="5">
        <f t="shared" ca="1" si="2"/>
        <v>259.55</v>
      </c>
      <c r="CG6" s="5">
        <f t="shared" ca="1" si="2"/>
        <v>295.60000000000002</v>
      </c>
      <c r="CH6" s="5">
        <f t="shared" ca="1" si="2"/>
        <v>243</v>
      </c>
      <c r="CI6" s="5">
        <f t="shared" ca="1" si="2"/>
        <v>305.8</v>
      </c>
      <c r="CJ6" s="5">
        <f t="shared" ca="1" si="2"/>
        <v>284.5</v>
      </c>
      <c r="CK6" s="5">
        <f t="shared" ca="1" si="2"/>
        <v>271.64999999999998</v>
      </c>
      <c r="CL6" s="5">
        <f t="shared" ca="1" si="2"/>
        <v>263.75</v>
      </c>
      <c r="CM6" s="5">
        <f t="shared" ca="1" si="2"/>
        <v>279.60000000000002</v>
      </c>
      <c r="CN6" s="5">
        <f t="shared" ca="1" si="2"/>
        <v>285.75</v>
      </c>
      <c r="CO6" s="5">
        <f t="shared" ca="1" si="2"/>
        <v>226.75</v>
      </c>
      <c r="CP6" s="5">
        <f t="shared" ca="1" si="2"/>
        <v>251</v>
      </c>
      <c r="CQ6" s="5">
        <f t="shared" ca="1" si="2"/>
        <v>272.2</v>
      </c>
      <c r="CR6" s="5">
        <f t="shared" ca="1" si="2"/>
        <v>298.7</v>
      </c>
      <c r="CS6" s="5">
        <f t="shared" ca="1" si="2"/>
        <v>290.60000000000002</v>
      </c>
      <c r="CT6" s="5">
        <f t="shared" ca="1" si="2"/>
        <v>239.7</v>
      </c>
      <c r="CU6" s="5">
        <f t="shared" ca="1" si="2"/>
        <v>295.89999999999998</v>
      </c>
      <c r="CV6" s="5">
        <f t="shared" ca="1" si="2"/>
        <v>237.8</v>
      </c>
      <c r="CW6" s="5">
        <f t="shared" ca="1" si="2"/>
        <v>317.3</v>
      </c>
      <c r="CX6" s="5">
        <f t="shared" ca="1" si="2"/>
        <v>283.55</v>
      </c>
      <c r="CY6" s="5">
        <f t="shared" ca="1" si="2"/>
        <v>271.14999999999998</v>
      </c>
      <c r="CZ6" s="5">
        <f t="shared" ca="1" si="2"/>
        <v>322.3</v>
      </c>
      <c r="DA6" s="5">
        <f t="shared" ca="1" si="2"/>
        <v>295.8</v>
      </c>
      <c r="DB6" s="5">
        <f t="shared" ca="1" si="2"/>
        <v>315.95</v>
      </c>
      <c r="DC6" s="5">
        <f t="shared" ca="1" si="2"/>
        <v>253.7</v>
      </c>
      <c r="DD6" s="5">
        <f t="shared" ca="1" si="2"/>
        <v>291.05</v>
      </c>
      <c r="DE6" s="5">
        <f t="shared" ca="1" si="2"/>
        <v>316.7</v>
      </c>
      <c r="DF6" s="5">
        <f t="shared" ca="1" si="2"/>
        <v>262.05</v>
      </c>
      <c r="DG6" s="5">
        <f t="shared" ca="1" si="2"/>
        <v>277.14999999999998</v>
      </c>
      <c r="DH6" s="5">
        <f t="shared" ca="1" si="2"/>
        <v>245.75</v>
      </c>
      <c r="DI6" s="5">
        <f t="shared" ca="1" si="2"/>
        <v>280.25</v>
      </c>
      <c r="DJ6" s="5">
        <f t="shared" ca="1" si="2"/>
        <v>283.35000000000002</v>
      </c>
      <c r="DK6" s="5">
        <f t="shared" ca="1" si="2"/>
        <v>297.45</v>
      </c>
      <c r="DL6" s="5">
        <f t="shared" ca="1" si="2"/>
        <v>298.85000000000002</v>
      </c>
      <c r="DM6" s="5">
        <f t="shared" ca="1" si="2"/>
        <v>268.35000000000002</v>
      </c>
      <c r="DN6" s="5">
        <f t="shared" ca="1" si="2"/>
        <v>231.1</v>
      </c>
      <c r="DO6" s="5">
        <f t="shared" ca="1" si="2"/>
        <v>296.75</v>
      </c>
      <c r="DP6" s="5">
        <f t="shared" ca="1" si="2"/>
        <v>265.8</v>
      </c>
      <c r="DQ6" s="5">
        <f t="shared" ca="1" si="2"/>
        <v>293.8</v>
      </c>
      <c r="DR6" s="5">
        <f t="shared" ca="1" si="2"/>
        <v>233.7</v>
      </c>
      <c r="DS6" s="5">
        <f t="shared" ca="1" si="2"/>
        <v>317.45</v>
      </c>
      <c r="DT6" s="5">
        <f t="shared" ca="1" si="2"/>
        <v>274.39999999999998</v>
      </c>
      <c r="DU6" s="5">
        <f t="shared" ca="1" si="2"/>
        <v>297.55</v>
      </c>
      <c r="DV6" s="5">
        <f t="shared" ca="1" si="2"/>
        <v>282.39999999999998</v>
      </c>
      <c r="DW6" s="5">
        <f t="shared" ca="1" si="2"/>
        <v>279.25</v>
      </c>
      <c r="DX6" s="5">
        <f t="shared" ca="1" si="2"/>
        <v>321.7</v>
      </c>
      <c r="DY6" s="5">
        <f t="shared" ca="1" si="2"/>
        <v>241.45</v>
      </c>
      <c r="DZ6" s="5">
        <f t="shared" ca="1" si="2"/>
        <v>304.60000000000002</v>
      </c>
      <c r="EA6" s="5">
        <f t="shared" ca="1" si="2"/>
        <v>301.95</v>
      </c>
      <c r="EB6" s="5">
        <f t="shared" ca="1" si="2"/>
        <v>376.8</v>
      </c>
      <c r="EC6" s="5">
        <f t="shared" ca="1" si="2"/>
        <v>283.5</v>
      </c>
      <c r="ED6" s="5">
        <f t="shared" ca="1" si="2"/>
        <v>242</v>
      </c>
      <c r="EE6" s="5">
        <f t="shared" ca="1" si="2"/>
        <v>223</v>
      </c>
      <c r="EF6" s="5">
        <f t="shared" ca="1" si="2"/>
        <v>318.45</v>
      </c>
      <c r="EG6" s="5">
        <f t="shared" ca="1" si="2"/>
        <v>244.2</v>
      </c>
      <c r="EH6" s="5">
        <f t="shared" ca="1" si="2"/>
        <v>259.10000000000002</v>
      </c>
      <c r="EI6" s="5">
        <f t="shared" ca="1" si="3"/>
        <v>244.4</v>
      </c>
      <c r="EJ6" s="5">
        <f t="shared" ca="1" si="3"/>
        <v>271.5</v>
      </c>
      <c r="EK6" s="5">
        <f t="shared" ca="1" si="3"/>
        <v>211.2</v>
      </c>
      <c r="EL6" s="5">
        <f t="shared" ca="1" si="3"/>
        <v>260.75</v>
      </c>
      <c r="EM6" s="5">
        <f t="shared" ca="1" si="3"/>
        <v>319.05</v>
      </c>
      <c r="EN6" s="5">
        <f t="shared" ca="1" si="3"/>
        <v>266.5</v>
      </c>
      <c r="EO6" s="5">
        <f t="shared" ca="1" si="3"/>
        <v>280.55</v>
      </c>
      <c r="EP6" s="5">
        <f t="shared" ca="1" si="3"/>
        <v>267</v>
      </c>
      <c r="EQ6" s="5">
        <f t="shared" ca="1" si="3"/>
        <v>242.9</v>
      </c>
      <c r="ER6" s="5">
        <f t="shared" ca="1" si="3"/>
        <v>247.85</v>
      </c>
      <c r="ES6" s="5">
        <f t="shared" ca="1" si="3"/>
        <v>303.60000000000002</v>
      </c>
      <c r="ET6" s="5">
        <f t="shared" ca="1" si="3"/>
        <v>284.7</v>
      </c>
      <c r="EU6" s="5">
        <f t="shared" ca="1" si="3"/>
        <v>242.3</v>
      </c>
      <c r="EV6" s="5">
        <f t="shared" ca="1" si="3"/>
        <v>285.25</v>
      </c>
      <c r="EW6" s="5">
        <f t="shared" ca="1" si="3"/>
        <v>276.8</v>
      </c>
      <c r="EX6" s="5">
        <f t="shared" ca="1" si="3"/>
        <v>292.3</v>
      </c>
    </row>
    <row r="7" spans="1:154" s="4" customFormat="1" x14ac:dyDescent="0.3">
      <c r="A7" s="3">
        <v>42780</v>
      </c>
      <c r="B7" s="4">
        <v>277.05</v>
      </c>
      <c r="C7" s="4">
        <f t="shared" si="0"/>
        <v>-1.8031018228116561E-3</v>
      </c>
      <c r="E7" s="14" t="s">
        <v>39</v>
      </c>
      <c r="F7" s="16">
        <f ca="1" xml:space="preserve"> PERCENTILE(J3:EX23,1-F6)</f>
        <v>194.08</v>
      </c>
      <c r="J7" s="5">
        <f t="shared" ca="1" si="4"/>
        <v>302.55</v>
      </c>
      <c r="K7" s="5">
        <f t="shared" ca="1" si="1"/>
        <v>320.25</v>
      </c>
      <c r="L7" s="5">
        <f t="shared" ca="1" si="1"/>
        <v>252.85</v>
      </c>
      <c r="M7" s="5">
        <f t="shared" ca="1" si="1"/>
        <v>317.7</v>
      </c>
      <c r="N7" s="5">
        <f t="shared" ca="1" si="1"/>
        <v>221.7</v>
      </c>
      <c r="O7" s="5">
        <f t="shared" ca="1" si="1"/>
        <v>258.60000000000002</v>
      </c>
      <c r="P7" s="5">
        <f t="shared" ca="1" si="1"/>
        <v>256.8</v>
      </c>
      <c r="Q7" s="5">
        <f t="shared" ca="1" si="1"/>
        <v>290.89999999999998</v>
      </c>
      <c r="R7" s="5">
        <f t="shared" ca="1" si="1"/>
        <v>305.5</v>
      </c>
      <c r="S7" s="5">
        <f t="shared" ca="1" si="1"/>
        <v>309.7</v>
      </c>
      <c r="T7" s="5">
        <f t="shared" ca="1" si="1"/>
        <v>296.25</v>
      </c>
      <c r="U7" s="5">
        <f t="shared" ca="1" si="1"/>
        <v>284.05</v>
      </c>
      <c r="V7" s="5">
        <f t="shared" ca="1" si="1"/>
        <v>259.85000000000002</v>
      </c>
      <c r="W7" s="5">
        <f t="shared" ca="1" si="1"/>
        <v>282.2</v>
      </c>
      <c r="X7" s="5">
        <f t="shared" ca="1" si="1"/>
        <v>346.45</v>
      </c>
      <c r="Y7" s="5">
        <f t="shared" ca="1" si="1"/>
        <v>302.5</v>
      </c>
      <c r="Z7" s="5">
        <f t="shared" ca="1" si="1"/>
        <v>273.14999999999998</v>
      </c>
      <c r="AA7" s="5">
        <f t="shared" ca="1" si="1"/>
        <v>265.10000000000002</v>
      </c>
      <c r="AB7" s="5">
        <f t="shared" ca="1" si="1"/>
        <v>243.7</v>
      </c>
      <c r="AC7" s="5">
        <f t="shared" ca="1" si="1"/>
        <v>260.2</v>
      </c>
      <c r="AD7" s="5">
        <f t="shared" ca="1" si="1"/>
        <v>268.05</v>
      </c>
      <c r="AE7" s="5">
        <f t="shared" ca="1" si="1"/>
        <v>304.35000000000002</v>
      </c>
      <c r="AF7" s="5">
        <f t="shared" ca="1" si="1"/>
        <v>303.3</v>
      </c>
      <c r="AG7" s="5">
        <f t="shared" ca="1" si="1"/>
        <v>338.45</v>
      </c>
      <c r="AH7" s="5">
        <f t="shared" ca="1" si="1"/>
        <v>237.45</v>
      </c>
      <c r="AI7" s="5">
        <f t="shared" ca="1" si="1"/>
        <v>291.55</v>
      </c>
      <c r="AJ7" s="5">
        <f t="shared" ca="1" si="1"/>
        <v>283.85000000000002</v>
      </c>
      <c r="AK7" s="5">
        <f t="shared" ca="1" si="1"/>
        <v>230.35</v>
      </c>
      <c r="AL7" s="5">
        <f t="shared" ca="1" si="1"/>
        <v>317.95</v>
      </c>
      <c r="AM7" s="5">
        <f t="shared" ca="1" si="1"/>
        <v>282.35000000000002</v>
      </c>
      <c r="AN7" s="5">
        <f t="shared" ca="1" si="1"/>
        <v>191.85</v>
      </c>
      <c r="AO7" s="5">
        <f t="shared" ca="1" si="1"/>
        <v>222.1</v>
      </c>
      <c r="AP7" s="5">
        <f t="shared" ca="1" si="1"/>
        <v>303.45</v>
      </c>
      <c r="AQ7" s="5">
        <f t="shared" ca="1" si="1"/>
        <v>224.1</v>
      </c>
      <c r="AR7" s="5">
        <f t="shared" ca="1" si="1"/>
        <v>260.64999999999998</v>
      </c>
      <c r="AS7" s="5">
        <f t="shared" ca="1" si="1"/>
        <v>315.7</v>
      </c>
      <c r="AT7" s="5">
        <f t="shared" ca="1" si="1"/>
        <v>326.75</v>
      </c>
      <c r="AU7" s="5">
        <f t="shared" ca="1" si="1"/>
        <v>229.6</v>
      </c>
      <c r="AV7" s="5">
        <f t="shared" ca="1" si="1"/>
        <v>312.89999999999998</v>
      </c>
      <c r="AW7" s="5">
        <f t="shared" ca="1" si="1"/>
        <v>309.35000000000002</v>
      </c>
      <c r="AX7" s="5">
        <f t="shared" ca="1" si="1"/>
        <v>252.1</v>
      </c>
      <c r="AY7" s="5">
        <f t="shared" ca="1" si="1"/>
        <v>292.3</v>
      </c>
      <c r="AZ7" s="5">
        <f t="shared" ca="1" si="1"/>
        <v>265.2</v>
      </c>
      <c r="BA7" s="5">
        <f t="shared" ca="1" si="1"/>
        <v>276.3</v>
      </c>
      <c r="BB7" s="5">
        <f t="shared" ca="1" si="1"/>
        <v>221.65</v>
      </c>
      <c r="BC7" s="5">
        <f t="shared" ca="1" si="1"/>
        <v>243.05</v>
      </c>
      <c r="BD7" s="5">
        <f t="shared" ca="1" si="1"/>
        <v>258.75</v>
      </c>
      <c r="BE7" s="5">
        <f t="shared" ca="1" si="1"/>
        <v>308.60000000000002</v>
      </c>
      <c r="BF7" s="5">
        <f t="shared" ca="1" si="1"/>
        <v>274.8</v>
      </c>
      <c r="BG7" s="5">
        <f t="shared" ca="1" si="1"/>
        <v>381.3</v>
      </c>
      <c r="BH7" s="5">
        <f t="shared" ca="1" si="1"/>
        <v>301.60000000000002</v>
      </c>
      <c r="BI7" s="5">
        <f t="shared" ca="1" si="1"/>
        <v>279.75</v>
      </c>
      <c r="BJ7" s="5">
        <f t="shared" ca="1" si="1"/>
        <v>270.05</v>
      </c>
      <c r="BK7" s="5">
        <f t="shared" ca="1" si="1"/>
        <v>234.15</v>
      </c>
      <c r="BL7" s="5">
        <f t="shared" ca="1" si="1"/>
        <v>261.64999999999998</v>
      </c>
      <c r="BM7" s="5">
        <f t="shared" ca="1" si="1"/>
        <v>217.05</v>
      </c>
      <c r="BN7" s="5">
        <f t="shared" ca="1" si="1"/>
        <v>229.65</v>
      </c>
      <c r="BO7" s="5">
        <f t="shared" ca="1" si="1"/>
        <v>258.85000000000002</v>
      </c>
      <c r="BP7" s="5">
        <f t="shared" ca="1" si="1"/>
        <v>289.3</v>
      </c>
      <c r="BQ7" s="5">
        <f t="shared" ca="1" si="1"/>
        <v>282.35000000000002</v>
      </c>
      <c r="BR7" s="5">
        <f t="shared" ca="1" si="1"/>
        <v>211.45</v>
      </c>
      <c r="BS7" s="5">
        <f t="shared" ca="1" si="1"/>
        <v>291.2</v>
      </c>
      <c r="BT7" s="5">
        <f t="shared" ca="1" si="1"/>
        <v>244.5</v>
      </c>
      <c r="BU7" s="5">
        <f t="shared" ca="1" si="1"/>
        <v>248.45</v>
      </c>
      <c r="BV7" s="5">
        <f t="shared" ref="BV7:BV23" ca="1" si="5">MROUND(BV6*EXP($H$3+$F$3*_xlfn.NORM.S.INV(RAND()))*100,5)/100</f>
        <v>298.75</v>
      </c>
      <c r="BW7" s="5">
        <f t="shared" ca="1" si="2"/>
        <v>331.15</v>
      </c>
      <c r="BX7" s="5">
        <f t="shared" ca="1" si="2"/>
        <v>239.7</v>
      </c>
      <c r="BY7" s="5">
        <f t="shared" ca="1" si="2"/>
        <v>399.35</v>
      </c>
      <c r="BZ7" s="5">
        <f t="shared" ca="1" si="2"/>
        <v>269.10000000000002</v>
      </c>
      <c r="CA7" s="5">
        <f t="shared" ca="1" si="2"/>
        <v>319.25</v>
      </c>
      <c r="CB7" s="5">
        <f t="shared" ca="1" si="2"/>
        <v>274.85000000000002</v>
      </c>
      <c r="CC7" s="5">
        <f t="shared" ca="1" si="2"/>
        <v>222.6</v>
      </c>
      <c r="CD7" s="5">
        <f t="shared" ca="1" si="2"/>
        <v>271.3</v>
      </c>
      <c r="CE7" s="5">
        <f t="shared" ca="1" si="2"/>
        <v>218.65</v>
      </c>
      <c r="CF7" s="5">
        <f t="shared" ca="1" si="2"/>
        <v>266.55</v>
      </c>
      <c r="CG7" s="5">
        <f t="shared" ca="1" si="2"/>
        <v>307.10000000000002</v>
      </c>
      <c r="CH7" s="5">
        <f t="shared" ca="1" si="2"/>
        <v>244.95</v>
      </c>
      <c r="CI7" s="5">
        <f t="shared" ca="1" si="2"/>
        <v>292</v>
      </c>
      <c r="CJ7" s="5">
        <f t="shared" ca="1" si="2"/>
        <v>331</v>
      </c>
      <c r="CK7" s="5">
        <f t="shared" ca="1" si="2"/>
        <v>262.75</v>
      </c>
      <c r="CL7" s="5">
        <f t="shared" ca="1" si="2"/>
        <v>243.05</v>
      </c>
      <c r="CM7" s="5">
        <f t="shared" ca="1" si="2"/>
        <v>291.05</v>
      </c>
      <c r="CN7" s="5">
        <f t="shared" ca="1" si="2"/>
        <v>287.2</v>
      </c>
      <c r="CO7" s="5">
        <f t="shared" ca="1" si="2"/>
        <v>264.39999999999998</v>
      </c>
      <c r="CP7" s="5">
        <f t="shared" ca="1" si="2"/>
        <v>258.3</v>
      </c>
      <c r="CQ7" s="5">
        <f t="shared" ca="1" si="2"/>
        <v>267.3</v>
      </c>
      <c r="CR7" s="5">
        <f t="shared" ca="1" si="2"/>
        <v>271.39999999999998</v>
      </c>
      <c r="CS7" s="5">
        <f t="shared" ca="1" si="2"/>
        <v>310.35000000000002</v>
      </c>
      <c r="CT7" s="5">
        <f t="shared" ca="1" si="2"/>
        <v>255.25</v>
      </c>
      <c r="CU7" s="5">
        <f t="shared" ca="1" si="2"/>
        <v>271.85000000000002</v>
      </c>
      <c r="CV7" s="5">
        <f t="shared" ca="1" si="2"/>
        <v>241.25</v>
      </c>
      <c r="CW7" s="5">
        <f t="shared" ca="1" si="2"/>
        <v>331.15</v>
      </c>
      <c r="CX7" s="5">
        <f t="shared" ca="1" si="2"/>
        <v>279.60000000000002</v>
      </c>
      <c r="CY7" s="5">
        <f t="shared" ca="1" si="2"/>
        <v>259.45</v>
      </c>
      <c r="CZ7" s="5">
        <f t="shared" ca="1" si="2"/>
        <v>313.14999999999998</v>
      </c>
      <c r="DA7" s="5">
        <f t="shared" ca="1" si="2"/>
        <v>296.45</v>
      </c>
      <c r="DB7" s="5">
        <f t="shared" ca="1" si="2"/>
        <v>318.55</v>
      </c>
      <c r="DC7" s="5">
        <f t="shared" ca="1" si="2"/>
        <v>273.55</v>
      </c>
      <c r="DD7" s="5">
        <f t="shared" ca="1" si="2"/>
        <v>313.45</v>
      </c>
      <c r="DE7" s="5">
        <f t="shared" ca="1" si="2"/>
        <v>307.5</v>
      </c>
      <c r="DF7" s="5">
        <f t="shared" ca="1" si="2"/>
        <v>278.5</v>
      </c>
      <c r="DG7" s="5">
        <f t="shared" ca="1" si="2"/>
        <v>312.89999999999998</v>
      </c>
      <c r="DH7" s="5">
        <f t="shared" ca="1" si="2"/>
        <v>255.55</v>
      </c>
      <c r="DI7" s="5">
        <f t="shared" ca="1" si="2"/>
        <v>288.64999999999998</v>
      </c>
      <c r="DJ7" s="5">
        <f t="shared" ca="1" si="2"/>
        <v>295.75</v>
      </c>
      <c r="DK7" s="5">
        <f t="shared" ca="1" si="2"/>
        <v>324.55</v>
      </c>
      <c r="DL7" s="5">
        <f t="shared" ca="1" si="2"/>
        <v>314.14999999999998</v>
      </c>
      <c r="DM7" s="5">
        <f t="shared" ca="1" si="2"/>
        <v>270.89999999999998</v>
      </c>
      <c r="DN7" s="5">
        <f t="shared" ca="1" si="2"/>
        <v>234.85</v>
      </c>
      <c r="DO7" s="5">
        <f t="shared" ca="1" si="2"/>
        <v>290.14999999999998</v>
      </c>
      <c r="DP7" s="5">
        <f t="shared" ca="1" si="2"/>
        <v>250.5</v>
      </c>
      <c r="DQ7" s="5">
        <f t="shared" ca="1" si="2"/>
        <v>290.60000000000002</v>
      </c>
      <c r="DR7" s="5">
        <f t="shared" ca="1" si="2"/>
        <v>231.1</v>
      </c>
      <c r="DS7" s="5">
        <f t="shared" ca="1" si="2"/>
        <v>340.05</v>
      </c>
      <c r="DT7" s="5">
        <f t="shared" ca="1" si="2"/>
        <v>283.3</v>
      </c>
      <c r="DU7" s="5">
        <f t="shared" ca="1" si="2"/>
        <v>293.55</v>
      </c>
      <c r="DV7" s="5">
        <f t="shared" ca="1" si="2"/>
        <v>250.95</v>
      </c>
      <c r="DW7" s="5">
        <f t="shared" ca="1" si="2"/>
        <v>273.3</v>
      </c>
      <c r="DX7" s="5">
        <f t="shared" ca="1" si="2"/>
        <v>346.8</v>
      </c>
      <c r="DY7" s="5">
        <f t="shared" ca="1" si="2"/>
        <v>234.9</v>
      </c>
      <c r="DZ7" s="5">
        <f t="shared" ca="1" si="2"/>
        <v>275.8</v>
      </c>
      <c r="EA7" s="5">
        <f t="shared" ca="1" si="2"/>
        <v>309.89999999999998</v>
      </c>
      <c r="EB7" s="5">
        <f t="shared" ca="1" si="2"/>
        <v>408.2</v>
      </c>
      <c r="EC7" s="5">
        <f t="shared" ca="1" si="2"/>
        <v>304.25</v>
      </c>
      <c r="ED7" s="5">
        <f t="shared" ca="1" si="2"/>
        <v>270.89999999999998</v>
      </c>
      <c r="EE7" s="5">
        <f t="shared" ca="1" si="2"/>
        <v>246.6</v>
      </c>
      <c r="EF7" s="5">
        <f t="shared" ca="1" si="2"/>
        <v>303.35000000000002</v>
      </c>
      <c r="EG7" s="5">
        <f t="shared" ca="1" si="2"/>
        <v>252.05</v>
      </c>
      <c r="EH7" s="5">
        <f t="shared" ref="EH7:EH23" ca="1" si="6">MROUND(EH6*EXP($H$3+$F$3*_xlfn.NORM.S.INV(RAND()))*100,5)/100</f>
        <v>233.65</v>
      </c>
      <c r="EI7" s="5">
        <f t="shared" ca="1" si="3"/>
        <v>232.5</v>
      </c>
      <c r="EJ7" s="5">
        <f t="shared" ca="1" si="3"/>
        <v>283.14999999999998</v>
      </c>
      <c r="EK7" s="5">
        <f t="shared" ca="1" si="3"/>
        <v>218.55</v>
      </c>
      <c r="EL7" s="5">
        <f t="shared" ca="1" si="3"/>
        <v>280.05</v>
      </c>
      <c r="EM7" s="5">
        <f t="shared" ca="1" si="3"/>
        <v>297.3</v>
      </c>
      <c r="EN7" s="5">
        <f t="shared" ca="1" si="3"/>
        <v>277.14999999999998</v>
      </c>
      <c r="EO7" s="5">
        <f t="shared" ca="1" si="3"/>
        <v>261.39999999999998</v>
      </c>
      <c r="EP7" s="5">
        <f t="shared" ca="1" si="3"/>
        <v>275.3</v>
      </c>
      <c r="EQ7" s="5">
        <f t="shared" ca="1" si="3"/>
        <v>232.1</v>
      </c>
      <c r="ER7" s="5">
        <f t="shared" ca="1" si="3"/>
        <v>268.14999999999998</v>
      </c>
      <c r="ES7" s="5">
        <f t="shared" ca="1" si="3"/>
        <v>309.10000000000002</v>
      </c>
      <c r="ET7" s="5">
        <f t="shared" ca="1" si="3"/>
        <v>277.85000000000002</v>
      </c>
      <c r="EU7" s="5">
        <f t="shared" ca="1" si="3"/>
        <v>242.55</v>
      </c>
      <c r="EV7" s="5">
        <f t="shared" ca="1" si="3"/>
        <v>286.2</v>
      </c>
      <c r="EW7" s="5">
        <f t="shared" ca="1" si="3"/>
        <v>291.2</v>
      </c>
      <c r="EX7" s="5">
        <f t="shared" ca="1" si="3"/>
        <v>301.64999999999998</v>
      </c>
    </row>
    <row r="8" spans="1:154" s="4" customFormat="1" ht="15" thickBot="1" x14ac:dyDescent="0.35">
      <c r="A8" s="3">
        <v>42781</v>
      </c>
      <c r="B8" s="4">
        <v>277.55</v>
      </c>
      <c r="C8" s="4">
        <f t="shared" si="0"/>
        <v>1.5431004202148003E-2</v>
      </c>
      <c r="E8" s="17" t="s">
        <v>40</v>
      </c>
      <c r="F8" s="18">
        <f ca="1">(LN($F$7/$B$3))*$F$5</f>
        <v>-353397.7330835319</v>
      </c>
      <c r="J8" s="5">
        <f t="shared" ca="1" si="4"/>
        <v>279.05</v>
      </c>
      <c r="K8" s="5">
        <f t="shared" ref="K8:K23" ca="1" si="7">MROUND(K7*EXP($H$3+$F$3*_xlfn.NORM.S.INV(RAND()))*100,5)/100</f>
        <v>327.85</v>
      </c>
      <c r="L8" s="5">
        <f t="shared" ref="L8:L23" ca="1" si="8">MROUND(L7*EXP($H$3+$F$3*_xlfn.NORM.S.INV(RAND()))*100,5)/100</f>
        <v>244.65</v>
      </c>
      <c r="M8" s="5">
        <f t="shared" ref="M8:M23" ca="1" si="9">MROUND(M7*EXP($H$3+$F$3*_xlfn.NORM.S.INV(RAND()))*100,5)/100</f>
        <v>321.3</v>
      </c>
      <c r="N8" s="5">
        <f t="shared" ref="N8:N23" ca="1" si="10">MROUND(N7*EXP($H$3+$F$3*_xlfn.NORM.S.INV(RAND()))*100,5)/100</f>
        <v>216.7</v>
      </c>
      <c r="O8" s="5">
        <f t="shared" ref="O8:O23" ca="1" si="11">MROUND(O7*EXP($H$3+$F$3*_xlfn.NORM.S.INV(RAND()))*100,5)/100</f>
        <v>265.89999999999998</v>
      </c>
      <c r="P8" s="5">
        <f t="shared" ref="P8:P23" ca="1" si="12">MROUND(P7*EXP($H$3+$F$3*_xlfn.NORM.S.INV(RAND()))*100,5)/100</f>
        <v>237.7</v>
      </c>
      <c r="Q8" s="5">
        <f t="shared" ref="Q8:Q23" ca="1" si="13">MROUND(Q7*EXP($H$3+$F$3*_xlfn.NORM.S.INV(RAND()))*100,5)/100</f>
        <v>326.8</v>
      </c>
      <c r="R8" s="5">
        <f t="shared" ref="R8:R23" ca="1" si="14">MROUND(R7*EXP($H$3+$F$3*_xlfn.NORM.S.INV(RAND()))*100,5)/100</f>
        <v>331.05</v>
      </c>
      <c r="S8" s="5">
        <f t="shared" ref="S8:S23" ca="1" si="15">MROUND(S7*EXP($H$3+$F$3*_xlfn.NORM.S.INV(RAND()))*100,5)/100</f>
        <v>271.75</v>
      </c>
      <c r="T8" s="5">
        <f t="shared" ref="T8:T23" ca="1" si="16">MROUND(T7*EXP($H$3+$F$3*_xlfn.NORM.S.INV(RAND()))*100,5)/100</f>
        <v>284.60000000000002</v>
      </c>
      <c r="U8" s="5">
        <f t="shared" ref="U8:U23" ca="1" si="17">MROUND(U7*EXP($H$3+$F$3*_xlfn.NORM.S.INV(RAND()))*100,5)/100</f>
        <v>292.64999999999998</v>
      </c>
      <c r="V8" s="5">
        <f t="shared" ref="V8:V23" ca="1" si="18">MROUND(V7*EXP($H$3+$F$3*_xlfn.NORM.S.INV(RAND()))*100,5)/100</f>
        <v>252.05</v>
      </c>
      <c r="W8" s="5">
        <f t="shared" ref="W8:W23" ca="1" si="19">MROUND(W7*EXP($H$3+$F$3*_xlfn.NORM.S.INV(RAND()))*100,5)/100</f>
        <v>317.75</v>
      </c>
      <c r="X8" s="5">
        <f t="shared" ref="X8:X23" ca="1" si="20">MROUND(X7*EXP($H$3+$F$3*_xlfn.NORM.S.INV(RAND()))*100,5)/100</f>
        <v>350.6</v>
      </c>
      <c r="Y8" s="5">
        <f t="shared" ref="Y8:Y23" ca="1" si="21">MROUND(Y7*EXP($H$3+$F$3*_xlfn.NORM.S.INV(RAND()))*100,5)/100</f>
        <v>275.05</v>
      </c>
      <c r="Z8" s="5">
        <f t="shared" ref="Z8:Z23" ca="1" si="22">MROUND(Z7*EXP($H$3+$F$3*_xlfn.NORM.S.INV(RAND()))*100,5)/100</f>
        <v>294.64999999999998</v>
      </c>
      <c r="AA8" s="5">
        <f t="shared" ref="AA8:AA23" ca="1" si="23">MROUND(AA7*EXP($H$3+$F$3*_xlfn.NORM.S.INV(RAND()))*100,5)/100</f>
        <v>284.05</v>
      </c>
      <c r="AB8" s="5">
        <f t="shared" ref="AB8:AB23" ca="1" si="24">MROUND(AB7*EXP($H$3+$F$3*_xlfn.NORM.S.INV(RAND()))*100,5)/100</f>
        <v>234.65</v>
      </c>
      <c r="AC8" s="5">
        <f t="shared" ref="AC8:AC23" ca="1" si="25">MROUND(AC7*EXP($H$3+$F$3*_xlfn.NORM.S.INV(RAND()))*100,5)/100</f>
        <v>273.64999999999998</v>
      </c>
      <c r="AD8" s="5">
        <f t="shared" ref="AD8:AD23" ca="1" si="26">MROUND(AD7*EXP($H$3+$F$3*_xlfn.NORM.S.INV(RAND()))*100,5)/100</f>
        <v>237.45</v>
      </c>
      <c r="AE8" s="5">
        <f t="shared" ref="AE8:AE23" ca="1" si="27">MROUND(AE7*EXP($H$3+$F$3*_xlfn.NORM.S.INV(RAND()))*100,5)/100</f>
        <v>313.14999999999998</v>
      </c>
      <c r="AF8" s="5">
        <f t="shared" ref="AF8:AF23" ca="1" si="28">MROUND(AF7*EXP($H$3+$F$3*_xlfn.NORM.S.INV(RAND()))*100,5)/100</f>
        <v>293.45</v>
      </c>
      <c r="AG8" s="5">
        <f t="shared" ref="AG8:AG23" ca="1" si="29">MROUND(AG7*EXP($H$3+$F$3*_xlfn.NORM.S.INV(RAND()))*100,5)/100</f>
        <v>340.35</v>
      </c>
      <c r="AH8" s="5">
        <f t="shared" ref="AH8:AH23" ca="1" si="30">MROUND(AH7*EXP($H$3+$F$3*_xlfn.NORM.S.INV(RAND()))*100,5)/100</f>
        <v>232.9</v>
      </c>
      <c r="AI8" s="5">
        <f t="shared" ref="AI8:AI23" ca="1" si="31">MROUND(AI7*EXP($H$3+$F$3*_xlfn.NORM.S.INV(RAND()))*100,5)/100</f>
        <v>296.39999999999998</v>
      </c>
      <c r="AJ8" s="5">
        <f t="shared" ref="AJ8:AJ23" ca="1" si="32">MROUND(AJ7*EXP($H$3+$F$3*_xlfn.NORM.S.INV(RAND()))*100,5)/100</f>
        <v>292.60000000000002</v>
      </c>
      <c r="AK8" s="5">
        <f t="shared" ref="AK8:AK23" ca="1" si="33">MROUND(AK7*EXP($H$3+$F$3*_xlfn.NORM.S.INV(RAND()))*100,5)/100</f>
        <v>232.55</v>
      </c>
      <c r="AL8" s="5">
        <f t="shared" ref="AL8:AL23" ca="1" si="34">MROUND(AL7*EXP($H$3+$F$3*_xlfn.NORM.S.INV(RAND()))*100,5)/100</f>
        <v>324.39999999999998</v>
      </c>
      <c r="AM8" s="5">
        <f t="shared" ref="AM8:AM23" ca="1" si="35">MROUND(AM7*EXP($H$3+$F$3*_xlfn.NORM.S.INV(RAND()))*100,5)/100</f>
        <v>249.8</v>
      </c>
      <c r="AN8" s="5">
        <f t="shared" ref="AN8:AN23" ca="1" si="36">MROUND(AN7*EXP($H$3+$F$3*_xlfn.NORM.S.INV(RAND()))*100,5)/100</f>
        <v>196.7</v>
      </c>
      <c r="AO8" s="5">
        <f t="shared" ref="AO8:AO23" ca="1" si="37">MROUND(AO7*EXP($H$3+$F$3*_xlfn.NORM.S.INV(RAND()))*100,5)/100</f>
        <v>211.1</v>
      </c>
      <c r="AP8" s="5">
        <f t="shared" ref="AP8:AP23" ca="1" si="38">MROUND(AP7*EXP($H$3+$F$3*_xlfn.NORM.S.INV(RAND()))*100,5)/100</f>
        <v>281.89999999999998</v>
      </c>
      <c r="AQ8" s="5">
        <f t="shared" ref="AQ8:AQ23" ca="1" si="39">MROUND(AQ7*EXP($H$3+$F$3*_xlfn.NORM.S.INV(RAND()))*100,5)/100</f>
        <v>239</v>
      </c>
      <c r="AR8" s="5">
        <f t="shared" ref="AR8:AR23" ca="1" si="40">MROUND(AR7*EXP($H$3+$F$3*_xlfn.NORM.S.INV(RAND()))*100,5)/100</f>
        <v>229.55</v>
      </c>
      <c r="AS8" s="5">
        <f t="shared" ref="AS8:AS23" ca="1" si="41">MROUND(AS7*EXP($H$3+$F$3*_xlfn.NORM.S.INV(RAND()))*100,5)/100</f>
        <v>346.5</v>
      </c>
      <c r="AT8" s="5">
        <f t="shared" ref="AT8:AT23" ca="1" si="42">MROUND(AT7*EXP($H$3+$F$3*_xlfn.NORM.S.INV(RAND()))*100,5)/100</f>
        <v>295.89999999999998</v>
      </c>
      <c r="AU8" s="5">
        <f t="shared" ref="AU8:AU23" ca="1" si="43">MROUND(AU7*EXP($H$3+$F$3*_xlfn.NORM.S.INV(RAND()))*100,5)/100</f>
        <v>246.75</v>
      </c>
      <c r="AV8" s="5">
        <f t="shared" ref="AV8:AV23" ca="1" si="44">MROUND(AV7*EXP($H$3+$F$3*_xlfn.NORM.S.INV(RAND()))*100,5)/100</f>
        <v>321.45</v>
      </c>
      <c r="AW8" s="5">
        <f t="shared" ref="AW8:AW23" ca="1" si="45">MROUND(AW7*EXP($H$3+$F$3*_xlfn.NORM.S.INV(RAND()))*100,5)/100</f>
        <v>302.2</v>
      </c>
      <c r="AX8" s="5">
        <f t="shared" ref="AX8:AX23" ca="1" si="46">MROUND(AX7*EXP($H$3+$F$3*_xlfn.NORM.S.INV(RAND()))*100,5)/100</f>
        <v>241.75</v>
      </c>
      <c r="AY8" s="5">
        <f t="shared" ref="AY8:AY23" ca="1" si="47">MROUND(AY7*EXP($H$3+$F$3*_xlfn.NORM.S.INV(RAND()))*100,5)/100</f>
        <v>281.3</v>
      </c>
      <c r="AZ8" s="5">
        <f t="shared" ref="AZ8:AZ23" ca="1" si="48">MROUND(AZ7*EXP($H$3+$F$3*_xlfn.NORM.S.INV(RAND()))*100,5)/100</f>
        <v>260.3</v>
      </c>
      <c r="BA8" s="5">
        <f t="shared" ref="BA8:BA23" ca="1" si="49">MROUND(BA7*EXP($H$3+$F$3*_xlfn.NORM.S.INV(RAND()))*100,5)/100</f>
        <v>298.45</v>
      </c>
      <c r="BB8" s="5">
        <f t="shared" ref="BB8:BB23" ca="1" si="50">MROUND(BB7*EXP($H$3+$F$3*_xlfn.NORM.S.INV(RAND()))*100,5)/100</f>
        <v>229.05</v>
      </c>
      <c r="BC8" s="5">
        <f t="shared" ref="BC8:BC23" ca="1" si="51">MROUND(BC7*EXP($H$3+$F$3*_xlfn.NORM.S.INV(RAND()))*100,5)/100</f>
        <v>270.7</v>
      </c>
      <c r="BD8" s="5">
        <f t="shared" ref="BD8:BD23" ca="1" si="52">MROUND(BD7*EXP($H$3+$F$3*_xlfn.NORM.S.INV(RAND()))*100,5)/100</f>
        <v>269</v>
      </c>
      <c r="BE8" s="5">
        <f t="shared" ref="BE8:BE23" ca="1" si="53">MROUND(BE7*EXP($H$3+$F$3*_xlfn.NORM.S.INV(RAND()))*100,5)/100</f>
        <v>340.1</v>
      </c>
      <c r="BF8" s="5">
        <f t="shared" ref="BF8:BF23" ca="1" si="54">MROUND(BF7*EXP($H$3+$F$3*_xlfn.NORM.S.INV(RAND()))*100,5)/100</f>
        <v>274</v>
      </c>
      <c r="BG8" s="5">
        <f t="shared" ref="BG8:BG23" ca="1" si="55">MROUND(BG7*EXP($H$3+$F$3*_xlfn.NORM.S.INV(RAND()))*100,5)/100</f>
        <v>362.5</v>
      </c>
      <c r="BH8" s="5">
        <f t="shared" ref="BH8:BH23" ca="1" si="56">MROUND(BH7*EXP($H$3+$F$3*_xlfn.NORM.S.INV(RAND()))*100,5)/100</f>
        <v>278.5</v>
      </c>
      <c r="BI8" s="5">
        <f t="shared" ref="BI8:BI23" ca="1" si="57">MROUND(BI7*EXP($H$3+$F$3*_xlfn.NORM.S.INV(RAND()))*100,5)/100</f>
        <v>295.60000000000002</v>
      </c>
      <c r="BJ8" s="5">
        <f t="shared" ref="BJ8:BJ23" ca="1" si="58">MROUND(BJ7*EXP($H$3+$F$3*_xlfn.NORM.S.INV(RAND()))*100,5)/100</f>
        <v>260.14999999999998</v>
      </c>
      <c r="BK8" s="5">
        <f t="shared" ref="BK8:BK23" ca="1" si="59">MROUND(BK7*EXP($H$3+$F$3*_xlfn.NORM.S.INV(RAND()))*100,5)/100</f>
        <v>248.8</v>
      </c>
      <c r="BL8" s="5">
        <f t="shared" ref="BL8:BL23" ca="1" si="60">MROUND(BL7*EXP($H$3+$F$3*_xlfn.NORM.S.INV(RAND()))*100,5)/100</f>
        <v>247</v>
      </c>
      <c r="BM8" s="5">
        <f t="shared" ref="BM8:BM23" ca="1" si="61">MROUND(BM7*EXP($H$3+$F$3*_xlfn.NORM.S.INV(RAND()))*100,5)/100</f>
        <v>205.25</v>
      </c>
      <c r="BN8" s="5">
        <f t="shared" ref="BN8:BN23" ca="1" si="62">MROUND(BN7*EXP($H$3+$F$3*_xlfn.NORM.S.INV(RAND()))*100,5)/100</f>
        <v>261.85000000000002</v>
      </c>
      <c r="BO8" s="5">
        <f t="shared" ref="BO8:BO23" ca="1" si="63">MROUND(BO7*EXP($H$3+$F$3*_xlfn.NORM.S.INV(RAND()))*100,5)/100</f>
        <v>249.6</v>
      </c>
      <c r="BP8" s="5">
        <f t="shared" ref="BP8:BP23" ca="1" si="64">MROUND(BP7*EXP($H$3+$F$3*_xlfn.NORM.S.INV(RAND()))*100,5)/100</f>
        <v>282.5</v>
      </c>
      <c r="BQ8" s="5">
        <f t="shared" ref="BQ8:BQ23" ca="1" si="65">MROUND(BQ7*EXP($H$3+$F$3*_xlfn.NORM.S.INV(RAND()))*100,5)/100</f>
        <v>313.2</v>
      </c>
      <c r="BR8" s="5">
        <f t="shared" ref="BR8:BR23" ca="1" si="66">MROUND(BR7*EXP($H$3+$F$3*_xlfn.NORM.S.INV(RAND()))*100,5)/100</f>
        <v>200.85</v>
      </c>
      <c r="BS8" s="5">
        <f t="shared" ref="BS8:BS23" ca="1" si="67">MROUND(BS7*EXP($H$3+$F$3*_xlfn.NORM.S.INV(RAND()))*100,5)/100</f>
        <v>306.14999999999998</v>
      </c>
      <c r="BT8" s="5">
        <f t="shared" ref="BT8:BT23" ca="1" si="68">MROUND(BT7*EXP($H$3+$F$3*_xlfn.NORM.S.INV(RAND()))*100,5)/100</f>
        <v>223.75</v>
      </c>
      <c r="BU8" s="5">
        <f t="shared" ref="BU8:BU23" ca="1" si="69">MROUND(BU7*EXP($H$3+$F$3*_xlfn.NORM.S.INV(RAND()))*100,5)/100</f>
        <v>252.6</v>
      </c>
      <c r="BV8" s="5">
        <f t="shared" ca="1" si="5"/>
        <v>315.2</v>
      </c>
      <c r="BW8" s="5">
        <f t="shared" ref="BW8:BW23" ca="1" si="70">MROUND(BW7*EXP($H$3+$F$3*_xlfn.NORM.S.INV(RAND()))*100,5)/100</f>
        <v>340.45</v>
      </c>
      <c r="BX8" s="5">
        <f t="shared" ref="BX8:BX23" ca="1" si="71">MROUND(BX7*EXP($H$3+$F$3*_xlfn.NORM.S.INV(RAND()))*100,5)/100</f>
        <v>215.15</v>
      </c>
      <c r="BY8" s="5">
        <f t="shared" ref="BY8:BY23" ca="1" si="72">MROUND(BY7*EXP($H$3+$F$3*_xlfn.NORM.S.INV(RAND()))*100,5)/100</f>
        <v>387.45</v>
      </c>
      <c r="BZ8" s="5">
        <f t="shared" ref="BZ8:BZ23" ca="1" si="73">MROUND(BZ7*EXP($H$3+$F$3*_xlfn.NORM.S.INV(RAND()))*100,5)/100</f>
        <v>253.7</v>
      </c>
      <c r="CA8" s="5">
        <f t="shared" ref="CA8:CA23" ca="1" si="74">MROUND(CA7*EXP($H$3+$F$3*_xlfn.NORM.S.INV(RAND()))*100,5)/100</f>
        <v>272.75</v>
      </c>
      <c r="CB8" s="5">
        <f t="shared" ref="CB8:CB23" ca="1" si="75">MROUND(CB7*EXP($H$3+$F$3*_xlfn.NORM.S.INV(RAND()))*100,5)/100</f>
        <v>327.8</v>
      </c>
      <c r="CC8" s="5">
        <f t="shared" ref="CC8:CC23" ca="1" si="76">MROUND(CC7*EXP($H$3+$F$3*_xlfn.NORM.S.INV(RAND()))*100,5)/100</f>
        <v>231.4</v>
      </c>
      <c r="CD8" s="5">
        <f t="shared" ref="CD8:CD23" ca="1" si="77">MROUND(CD7*EXP($H$3+$F$3*_xlfn.NORM.S.INV(RAND()))*100,5)/100</f>
        <v>292.75</v>
      </c>
      <c r="CE8" s="5">
        <f t="shared" ref="CE8:CE23" ca="1" si="78">MROUND(CE7*EXP($H$3+$F$3*_xlfn.NORM.S.INV(RAND()))*100,5)/100</f>
        <v>203.35</v>
      </c>
      <c r="CF8" s="5">
        <f t="shared" ref="CF8:CF23" ca="1" si="79">MROUND(CF7*EXP($H$3+$F$3*_xlfn.NORM.S.INV(RAND()))*100,5)/100</f>
        <v>266.89999999999998</v>
      </c>
      <c r="CG8" s="5">
        <f t="shared" ref="CG8:CG23" ca="1" si="80">MROUND(CG7*EXP($H$3+$F$3*_xlfn.NORM.S.INV(RAND()))*100,5)/100</f>
        <v>303.45</v>
      </c>
      <c r="CH8" s="5">
        <f t="shared" ref="CH8:CH23" ca="1" si="81">MROUND(CH7*EXP($H$3+$F$3*_xlfn.NORM.S.INV(RAND()))*100,5)/100</f>
        <v>218.95</v>
      </c>
      <c r="CI8" s="5">
        <f t="shared" ref="CI8:CI23" ca="1" si="82">MROUND(CI7*EXP($H$3+$F$3*_xlfn.NORM.S.INV(RAND()))*100,5)/100</f>
        <v>329.4</v>
      </c>
      <c r="CJ8" s="5">
        <f t="shared" ref="CJ8:CJ23" ca="1" si="83">MROUND(CJ7*EXP($H$3+$F$3*_xlfn.NORM.S.INV(RAND()))*100,5)/100</f>
        <v>339.8</v>
      </c>
      <c r="CK8" s="5">
        <f t="shared" ref="CK8:CK23" ca="1" si="84">MROUND(CK7*EXP($H$3+$F$3*_xlfn.NORM.S.INV(RAND()))*100,5)/100</f>
        <v>265.7</v>
      </c>
      <c r="CL8" s="5">
        <f t="shared" ref="CL8:CL23" ca="1" si="85">MROUND(CL7*EXP($H$3+$F$3*_xlfn.NORM.S.INV(RAND()))*100,5)/100</f>
        <v>254.7</v>
      </c>
      <c r="CM8" s="5">
        <f t="shared" ref="CM8:CM23" ca="1" si="86">MROUND(CM7*EXP($H$3+$F$3*_xlfn.NORM.S.INV(RAND()))*100,5)/100</f>
        <v>237.65</v>
      </c>
      <c r="CN8" s="5">
        <f t="shared" ref="CN8:CN23" ca="1" si="87">MROUND(CN7*EXP($H$3+$F$3*_xlfn.NORM.S.INV(RAND()))*100,5)/100</f>
        <v>283.85000000000002</v>
      </c>
      <c r="CO8" s="5">
        <f t="shared" ref="CO8:CO23" ca="1" si="88">MROUND(CO7*EXP($H$3+$F$3*_xlfn.NORM.S.INV(RAND()))*100,5)/100</f>
        <v>284.3</v>
      </c>
      <c r="CP8" s="5">
        <f t="shared" ref="CP8:CP23" ca="1" si="89">MROUND(CP7*EXP($H$3+$F$3*_xlfn.NORM.S.INV(RAND()))*100,5)/100</f>
        <v>285.75</v>
      </c>
      <c r="CQ8" s="5">
        <f t="shared" ref="CQ8:CQ23" ca="1" si="90">MROUND(CQ7*EXP($H$3+$F$3*_xlfn.NORM.S.INV(RAND()))*100,5)/100</f>
        <v>294.14999999999998</v>
      </c>
      <c r="CR8" s="5">
        <f t="shared" ref="CR8:CR23" ca="1" si="91">MROUND(CR7*EXP($H$3+$F$3*_xlfn.NORM.S.INV(RAND()))*100,5)/100</f>
        <v>289.75</v>
      </c>
      <c r="CS8" s="5">
        <f t="shared" ref="CS8:CS23" ca="1" si="92">MROUND(CS7*EXP($H$3+$F$3*_xlfn.NORM.S.INV(RAND()))*100,5)/100</f>
        <v>292.7</v>
      </c>
      <c r="CT8" s="5">
        <f t="shared" ref="CT8:CT23" ca="1" si="93">MROUND(CT7*EXP($H$3+$F$3*_xlfn.NORM.S.INV(RAND()))*100,5)/100</f>
        <v>272.95</v>
      </c>
      <c r="CU8" s="5">
        <f t="shared" ref="CU8:CU23" ca="1" si="94">MROUND(CU7*EXP($H$3+$F$3*_xlfn.NORM.S.INV(RAND()))*100,5)/100</f>
        <v>287.2</v>
      </c>
      <c r="CV8" s="5">
        <f t="shared" ref="CV8:CV23" ca="1" si="95">MROUND(CV7*EXP($H$3+$F$3*_xlfn.NORM.S.INV(RAND()))*100,5)/100</f>
        <v>226.45</v>
      </c>
      <c r="CW8" s="5">
        <f t="shared" ref="CW8:CW23" ca="1" si="96">MROUND(CW7*EXP($H$3+$F$3*_xlfn.NORM.S.INV(RAND()))*100,5)/100</f>
        <v>309.2</v>
      </c>
      <c r="CX8" s="5">
        <f t="shared" ref="CX8:CX23" ca="1" si="97">MROUND(CX7*EXP($H$3+$F$3*_xlfn.NORM.S.INV(RAND()))*100,5)/100</f>
        <v>273.25</v>
      </c>
      <c r="CY8" s="5">
        <f t="shared" ref="CY8:CY23" ca="1" si="98">MROUND(CY7*EXP($H$3+$F$3*_xlfn.NORM.S.INV(RAND()))*100,5)/100</f>
        <v>237.9</v>
      </c>
      <c r="CZ8" s="5">
        <f t="shared" ref="CZ8:CZ23" ca="1" si="99">MROUND(CZ7*EXP($H$3+$F$3*_xlfn.NORM.S.INV(RAND()))*100,5)/100</f>
        <v>299.5</v>
      </c>
      <c r="DA8" s="5">
        <f t="shared" ref="DA8:DA23" ca="1" si="100">MROUND(DA7*EXP($H$3+$F$3*_xlfn.NORM.S.INV(RAND()))*100,5)/100</f>
        <v>337.8</v>
      </c>
      <c r="DB8" s="5">
        <f t="shared" ref="DB8:DB23" ca="1" si="101">MROUND(DB7*EXP($H$3+$F$3*_xlfn.NORM.S.INV(RAND()))*100,5)/100</f>
        <v>330.2</v>
      </c>
      <c r="DC8" s="5">
        <f t="shared" ref="DC8:DC23" ca="1" si="102">MROUND(DC7*EXP($H$3+$F$3*_xlfn.NORM.S.INV(RAND()))*100,5)/100</f>
        <v>271.95</v>
      </c>
      <c r="DD8" s="5">
        <f t="shared" ref="DD8:DD23" ca="1" si="103">MROUND(DD7*EXP($H$3+$F$3*_xlfn.NORM.S.INV(RAND()))*100,5)/100</f>
        <v>318.39999999999998</v>
      </c>
      <c r="DE8" s="5">
        <f t="shared" ref="DE8:DE23" ca="1" si="104">MROUND(DE7*EXP($H$3+$F$3*_xlfn.NORM.S.INV(RAND()))*100,5)/100</f>
        <v>295.14999999999998</v>
      </c>
      <c r="DF8" s="5">
        <f t="shared" ref="DF8:DF23" ca="1" si="105">MROUND(DF7*EXP($H$3+$F$3*_xlfn.NORM.S.INV(RAND()))*100,5)/100</f>
        <v>279.3</v>
      </c>
      <c r="DG8" s="5">
        <f t="shared" ref="DG8:DG23" ca="1" si="106">MROUND(DG7*EXP($H$3+$F$3*_xlfn.NORM.S.INV(RAND()))*100,5)/100</f>
        <v>349.8</v>
      </c>
      <c r="DH8" s="5">
        <f t="shared" ref="DH8:DH23" ca="1" si="107">MROUND(DH7*EXP($H$3+$F$3*_xlfn.NORM.S.INV(RAND()))*100,5)/100</f>
        <v>239.5</v>
      </c>
      <c r="DI8" s="5">
        <f t="shared" ref="DI8:DI23" ca="1" si="108">MROUND(DI7*EXP($H$3+$F$3*_xlfn.NORM.S.INV(RAND()))*100,5)/100</f>
        <v>270.7</v>
      </c>
      <c r="DJ8" s="5">
        <f t="shared" ref="DJ8:DJ23" ca="1" si="109">MROUND(DJ7*EXP($H$3+$F$3*_xlfn.NORM.S.INV(RAND()))*100,5)/100</f>
        <v>284.75</v>
      </c>
      <c r="DK8" s="5">
        <f t="shared" ref="DK8:DK23" ca="1" si="110">MROUND(DK7*EXP($H$3+$F$3*_xlfn.NORM.S.INV(RAND()))*100,5)/100</f>
        <v>331.3</v>
      </c>
      <c r="DL8" s="5">
        <f t="shared" ref="DL8:DL23" ca="1" si="111">MROUND(DL7*EXP($H$3+$F$3*_xlfn.NORM.S.INV(RAND()))*100,5)/100</f>
        <v>287.05</v>
      </c>
      <c r="DM8" s="5">
        <f t="shared" ref="DM8:DM23" ca="1" si="112">MROUND(DM7*EXP($H$3+$F$3*_xlfn.NORM.S.INV(RAND()))*100,5)/100</f>
        <v>265.10000000000002</v>
      </c>
      <c r="DN8" s="5">
        <f t="shared" ref="DN8:DN23" ca="1" si="113">MROUND(DN7*EXP($H$3+$F$3*_xlfn.NORM.S.INV(RAND()))*100,5)/100</f>
        <v>229.15</v>
      </c>
      <c r="DO8" s="5">
        <f t="shared" ref="DO8:DO23" ca="1" si="114">MROUND(DO7*EXP($H$3+$F$3*_xlfn.NORM.S.INV(RAND()))*100,5)/100</f>
        <v>327.8</v>
      </c>
      <c r="DP8" s="5">
        <f t="shared" ref="DP8:DP23" ca="1" si="115">MROUND(DP7*EXP($H$3+$F$3*_xlfn.NORM.S.INV(RAND()))*100,5)/100</f>
        <v>232.4</v>
      </c>
      <c r="DQ8" s="5">
        <f t="shared" ref="DQ8:DQ23" ca="1" si="116">MROUND(DQ7*EXP($H$3+$F$3*_xlfn.NORM.S.INV(RAND()))*100,5)/100</f>
        <v>286.14999999999998</v>
      </c>
      <c r="DR8" s="5">
        <f t="shared" ref="DR8:DR23" ca="1" si="117">MROUND(DR7*EXP($H$3+$F$3*_xlfn.NORM.S.INV(RAND()))*100,5)/100</f>
        <v>236.65</v>
      </c>
      <c r="DS8" s="5">
        <f t="shared" ref="DS8:DS23" ca="1" si="118">MROUND(DS7*EXP($H$3+$F$3*_xlfn.NORM.S.INV(RAND()))*100,5)/100</f>
        <v>312.8</v>
      </c>
      <c r="DT8" s="5">
        <f t="shared" ref="DT8:DT23" ca="1" si="119">MROUND(DT7*EXP($H$3+$F$3*_xlfn.NORM.S.INV(RAND()))*100,5)/100</f>
        <v>273.89999999999998</v>
      </c>
      <c r="DU8" s="5">
        <f t="shared" ref="DU8:DU23" ca="1" si="120">MROUND(DU7*EXP($H$3+$F$3*_xlfn.NORM.S.INV(RAND()))*100,5)/100</f>
        <v>319.55</v>
      </c>
      <c r="DV8" s="5">
        <f t="shared" ref="DV8:DV23" ca="1" si="121">MROUND(DV7*EXP($H$3+$F$3*_xlfn.NORM.S.INV(RAND()))*100,5)/100</f>
        <v>244.3</v>
      </c>
      <c r="DW8" s="5">
        <f t="shared" ref="DW8:DW23" ca="1" si="122">MROUND(DW7*EXP($H$3+$F$3*_xlfn.NORM.S.INV(RAND()))*100,5)/100</f>
        <v>261.60000000000002</v>
      </c>
      <c r="DX8" s="5">
        <f t="shared" ref="DX8:DX23" ca="1" si="123">MROUND(DX7*EXP($H$3+$F$3*_xlfn.NORM.S.INV(RAND()))*100,5)/100</f>
        <v>364.9</v>
      </c>
      <c r="DY8" s="5">
        <f t="shared" ref="DY8:DY23" ca="1" si="124">MROUND(DY7*EXP($H$3+$F$3*_xlfn.NORM.S.INV(RAND()))*100,5)/100</f>
        <v>234.95</v>
      </c>
      <c r="DZ8" s="5">
        <f t="shared" ref="DZ8:DZ23" ca="1" si="125">MROUND(DZ7*EXP($H$3+$F$3*_xlfn.NORM.S.INV(RAND()))*100,5)/100</f>
        <v>267.60000000000002</v>
      </c>
      <c r="EA8" s="5">
        <f t="shared" ref="EA8:EA23" ca="1" si="126">MROUND(EA7*EXP($H$3+$F$3*_xlfn.NORM.S.INV(RAND()))*100,5)/100</f>
        <v>304.10000000000002</v>
      </c>
      <c r="EB8" s="5">
        <f t="shared" ref="EB8:EB23" ca="1" si="127">MROUND(EB7*EXP($H$3+$F$3*_xlfn.NORM.S.INV(RAND()))*100,5)/100</f>
        <v>428.15</v>
      </c>
      <c r="EC8" s="5">
        <f t="shared" ref="EC8:EC23" ca="1" si="128">MROUND(EC7*EXP($H$3+$F$3*_xlfn.NORM.S.INV(RAND()))*100,5)/100</f>
        <v>313.5</v>
      </c>
      <c r="ED8" s="5">
        <f t="shared" ref="ED8:ED23" ca="1" si="129">MROUND(ED7*EXP($H$3+$F$3*_xlfn.NORM.S.INV(RAND()))*100,5)/100</f>
        <v>271.85000000000002</v>
      </c>
      <c r="EE8" s="5">
        <f t="shared" ref="EE8:EE23" ca="1" si="130">MROUND(EE7*EXP($H$3+$F$3*_xlfn.NORM.S.INV(RAND()))*100,5)/100</f>
        <v>221.1</v>
      </c>
      <c r="EF8" s="5">
        <f t="shared" ref="EF8:EF23" ca="1" si="131">MROUND(EF7*EXP($H$3+$F$3*_xlfn.NORM.S.INV(RAND()))*100,5)/100</f>
        <v>289.89999999999998</v>
      </c>
      <c r="EG8" s="5">
        <f t="shared" ref="EG8:EG23" ca="1" si="132">MROUND(EG7*EXP($H$3+$F$3*_xlfn.NORM.S.INV(RAND()))*100,5)/100</f>
        <v>249.45</v>
      </c>
      <c r="EH8" s="5">
        <f t="shared" ca="1" si="6"/>
        <v>220.75</v>
      </c>
      <c r="EI8" s="5">
        <f t="shared" ca="1" si="3"/>
        <v>231.5</v>
      </c>
      <c r="EJ8" s="5">
        <f t="shared" ca="1" si="3"/>
        <v>279.3</v>
      </c>
      <c r="EK8" s="5">
        <f t="shared" ca="1" si="3"/>
        <v>232.75</v>
      </c>
      <c r="EL8" s="5">
        <f t="shared" ca="1" si="3"/>
        <v>295.3</v>
      </c>
      <c r="EM8" s="5">
        <f t="shared" ca="1" si="3"/>
        <v>262.10000000000002</v>
      </c>
      <c r="EN8" s="5">
        <f t="shared" ca="1" si="3"/>
        <v>296.05</v>
      </c>
      <c r="EO8" s="5">
        <f t="shared" ca="1" si="3"/>
        <v>271</v>
      </c>
      <c r="EP8" s="5">
        <f t="shared" ca="1" si="3"/>
        <v>254.2</v>
      </c>
      <c r="EQ8" s="5">
        <f t="shared" ca="1" si="3"/>
        <v>229.6</v>
      </c>
      <c r="ER8" s="5">
        <f t="shared" ca="1" si="3"/>
        <v>255.85</v>
      </c>
      <c r="ES8" s="5">
        <f t="shared" ca="1" si="3"/>
        <v>290.75</v>
      </c>
      <c r="ET8" s="5">
        <f t="shared" ca="1" si="3"/>
        <v>261.64999999999998</v>
      </c>
      <c r="EU8" s="5">
        <f t="shared" ca="1" si="3"/>
        <v>229.75</v>
      </c>
      <c r="EV8" s="5">
        <f t="shared" ca="1" si="3"/>
        <v>274.75</v>
      </c>
      <c r="EW8" s="5">
        <f t="shared" ca="1" si="3"/>
        <v>315</v>
      </c>
      <c r="EX8" s="5">
        <f t="shared" ca="1" si="3"/>
        <v>301.2</v>
      </c>
    </row>
    <row r="9" spans="1:154" s="4" customFormat="1" x14ac:dyDescent="0.3">
      <c r="A9" s="3">
        <v>42782</v>
      </c>
      <c r="B9" s="4">
        <v>273.3</v>
      </c>
      <c r="C9" s="4">
        <f t="shared" si="0"/>
        <v>9.5588963137669836E-3</v>
      </c>
      <c r="J9" s="5">
        <f t="shared" ca="1" si="4"/>
        <v>287.8</v>
      </c>
      <c r="K9" s="5">
        <f t="shared" ca="1" si="7"/>
        <v>320.64999999999998</v>
      </c>
      <c r="L9" s="5">
        <f t="shared" ca="1" si="8"/>
        <v>231.15</v>
      </c>
      <c r="M9" s="5">
        <f t="shared" ca="1" si="9"/>
        <v>285.7</v>
      </c>
      <c r="N9" s="5">
        <f t="shared" ca="1" si="10"/>
        <v>213.9</v>
      </c>
      <c r="O9" s="5">
        <f t="shared" ca="1" si="11"/>
        <v>304.3</v>
      </c>
      <c r="P9" s="5">
        <f t="shared" ca="1" si="12"/>
        <v>249.85</v>
      </c>
      <c r="Q9" s="5">
        <f t="shared" ca="1" si="13"/>
        <v>307.55</v>
      </c>
      <c r="R9" s="5">
        <f t="shared" ca="1" si="14"/>
        <v>339.2</v>
      </c>
      <c r="S9" s="5">
        <f t="shared" ca="1" si="15"/>
        <v>259.45</v>
      </c>
      <c r="T9" s="5">
        <f t="shared" ca="1" si="16"/>
        <v>276.45</v>
      </c>
      <c r="U9" s="5">
        <f t="shared" ca="1" si="17"/>
        <v>317.7</v>
      </c>
      <c r="V9" s="5">
        <f t="shared" ca="1" si="18"/>
        <v>245.05</v>
      </c>
      <c r="W9" s="5">
        <f t="shared" ca="1" si="19"/>
        <v>324.35000000000002</v>
      </c>
      <c r="X9" s="5">
        <f t="shared" ca="1" si="20"/>
        <v>342.6</v>
      </c>
      <c r="Y9" s="5">
        <f t="shared" ca="1" si="21"/>
        <v>288.55</v>
      </c>
      <c r="Z9" s="5">
        <f t="shared" ca="1" si="22"/>
        <v>297.7</v>
      </c>
      <c r="AA9" s="5">
        <f t="shared" ca="1" si="23"/>
        <v>279.60000000000002</v>
      </c>
      <c r="AB9" s="5">
        <f t="shared" ca="1" si="24"/>
        <v>259.05</v>
      </c>
      <c r="AC9" s="5">
        <f t="shared" ca="1" si="25"/>
        <v>248.75</v>
      </c>
      <c r="AD9" s="5">
        <f t="shared" ca="1" si="26"/>
        <v>243.85</v>
      </c>
      <c r="AE9" s="5">
        <f t="shared" ca="1" si="27"/>
        <v>309.7</v>
      </c>
      <c r="AF9" s="5">
        <f t="shared" ca="1" si="28"/>
        <v>268.7</v>
      </c>
      <c r="AG9" s="5">
        <f t="shared" ca="1" si="29"/>
        <v>341.55</v>
      </c>
      <c r="AH9" s="5">
        <f t="shared" ca="1" si="30"/>
        <v>227.8</v>
      </c>
      <c r="AI9" s="5">
        <f t="shared" ca="1" si="31"/>
        <v>287.3</v>
      </c>
      <c r="AJ9" s="5">
        <f t="shared" ca="1" si="32"/>
        <v>286.8</v>
      </c>
      <c r="AK9" s="5">
        <f t="shared" ca="1" si="33"/>
        <v>209.05</v>
      </c>
      <c r="AL9" s="5">
        <f t="shared" ca="1" si="34"/>
        <v>351.6</v>
      </c>
      <c r="AM9" s="5">
        <f t="shared" ca="1" si="35"/>
        <v>237.6</v>
      </c>
      <c r="AN9" s="5">
        <f t="shared" ca="1" si="36"/>
        <v>203.1</v>
      </c>
      <c r="AO9" s="5">
        <f t="shared" ca="1" si="37"/>
        <v>214.55</v>
      </c>
      <c r="AP9" s="5">
        <f t="shared" ca="1" si="38"/>
        <v>273.3</v>
      </c>
      <c r="AQ9" s="5">
        <f t="shared" ca="1" si="39"/>
        <v>232.2</v>
      </c>
      <c r="AR9" s="5">
        <f t="shared" ca="1" si="40"/>
        <v>228.3</v>
      </c>
      <c r="AS9" s="5">
        <f t="shared" ca="1" si="41"/>
        <v>370.7</v>
      </c>
      <c r="AT9" s="5">
        <f t="shared" ca="1" si="42"/>
        <v>297.5</v>
      </c>
      <c r="AU9" s="5">
        <f t="shared" ca="1" si="43"/>
        <v>261.75</v>
      </c>
      <c r="AV9" s="5">
        <f t="shared" ca="1" si="44"/>
        <v>316.7</v>
      </c>
      <c r="AW9" s="5">
        <f t="shared" ca="1" si="45"/>
        <v>305</v>
      </c>
      <c r="AX9" s="5">
        <f t="shared" ca="1" si="46"/>
        <v>233.4</v>
      </c>
      <c r="AY9" s="5">
        <f t="shared" ca="1" si="47"/>
        <v>289.3</v>
      </c>
      <c r="AZ9" s="5">
        <f t="shared" ca="1" si="48"/>
        <v>281.45</v>
      </c>
      <c r="BA9" s="5">
        <f t="shared" ca="1" si="49"/>
        <v>289.45</v>
      </c>
      <c r="BB9" s="5">
        <f t="shared" ca="1" si="50"/>
        <v>213.5</v>
      </c>
      <c r="BC9" s="5">
        <f t="shared" ca="1" si="51"/>
        <v>278.35000000000002</v>
      </c>
      <c r="BD9" s="5">
        <f t="shared" ca="1" si="52"/>
        <v>242.65</v>
      </c>
      <c r="BE9" s="5">
        <f t="shared" ca="1" si="53"/>
        <v>341.55</v>
      </c>
      <c r="BF9" s="5">
        <f t="shared" ca="1" si="54"/>
        <v>257.55</v>
      </c>
      <c r="BG9" s="5">
        <f t="shared" ca="1" si="55"/>
        <v>413.95</v>
      </c>
      <c r="BH9" s="5">
        <f t="shared" ca="1" si="56"/>
        <v>267.55</v>
      </c>
      <c r="BI9" s="5">
        <f t="shared" ca="1" si="57"/>
        <v>275.8</v>
      </c>
      <c r="BJ9" s="5">
        <f t="shared" ca="1" si="58"/>
        <v>281.39999999999998</v>
      </c>
      <c r="BK9" s="5">
        <f t="shared" ca="1" si="59"/>
        <v>236.8</v>
      </c>
      <c r="BL9" s="5">
        <f t="shared" ca="1" si="60"/>
        <v>259.55</v>
      </c>
      <c r="BM9" s="5">
        <f t="shared" ca="1" si="61"/>
        <v>196.25</v>
      </c>
      <c r="BN9" s="5">
        <f t="shared" ca="1" si="62"/>
        <v>272.14999999999998</v>
      </c>
      <c r="BO9" s="5">
        <f t="shared" ca="1" si="63"/>
        <v>261.7</v>
      </c>
      <c r="BP9" s="5">
        <f t="shared" ca="1" si="64"/>
        <v>262.64999999999998</v>
      </c>
      <c r="BQ9" s="5">
        <f t="shared" ca="1" si="65"/>
        <v>307.64999999999998</v>
      </c>
      <c r="BR9" s="5">
        <f t="shared" ca="1" si="66"/>
        <v>192</v>
      </c>
      <c r="BS9" s="5">
        <f t="shared" ca="1" si="67"/>
        <v>276.25</v>
      </c>
      <c r="BT9" s="5">
        <f t="shared" ca="1" si="68"/>
        <v>200.95</v>
      </c>
      <c r="BU9" s="5">
        <f t="shared" ca="1" si="69"/>
        <v>248.9</v>
      </c>
      <c r="BV9" s="5">
        <f t="shared" ca="1" si="5"/>
        <v>304.60000000000002</v>
      </c>
      <c r="BW9" s="5">
        <f t="shared" ca="1" si="70"/>
        <v>349.95</v>
      </c>
      <c r="BX9" s="5">
        <f t="shared" ca="1" si="71"/>
        <v>200.25</v>
      </c>
      <c r="BY9" s="5">
        <f t="shared" ca="1" si="72"/>
        <v>381.65</v>
      </c>
      <c r="BZ9" s="5">
        <f t="shared" ca="1" si="73"/>
        <v>265.95</v>
      </c>
      <c r="CA9" s="5">
        <f t="shared" ca="1" si="74"/>
        <v>301.14999999999998</v>
      </c>
      <c r="CB9" s="5">
        <f t="shared" ca="1" si="75"/>
        <v>361.95</v>
      </c>
      <c r="CC9" s="5">
        <f t="shared" ca="1" si="76"/>
        <v>218.25</v>
      </c>
      <c r="CD9" s="5">
        <f t="shared" ca="1" si="77"/>
        <v>295.5</v>
      </c>
      <c r="CE9" s="5">
        <f t="shared" ca="1" si="78"/>
        <v>197.5</v>
      </c>
      <c r="CF9" s="5">
        <f t="shared" ca="1" si="79"/>
        <v>239.35</v>
      </c>
      <c r="CG9" s="5">
        <f t="shared" ca="1" si="80"/>
        <v>295</v>
      </c>
      <c r="CH9" s="5">
        <f t="shared" ca="1" si="81"/>
        <v>192.25</v>
      </c>
      <c r="CI9" s="5">
        <f t="shared" ca="1" si="82"/>
        <v>312</v>
      </c>
      <c r="CJ9" s="5">
        <f t="shared" ca="1" si="83"/>
        <v>356.95</v>
      </c>
      <c r="CK9" s="5">
        <f t="shared" ca="1" si="84"/>
        <v>252.05</v>
      </c>
      <c r="CL9" s="5">
        <f t="shared" ca="1" si="85"/>
        <v>282</v>
      </c>
      <c r="CM9" s="5">
        <f t="shared" ca="1" si="86"/>
        <v>237.15</v>
      </c>
      <c r="CN9" s="5">
        <f t="shared" ca="1" si="87"/>
        <v>303.7</v>
      </c>
      <c r="CO9" s="5">
        <f t="shared" ca="1" si="88"/>
        <v>277.3</v>
      </c>
      <c r="CP9" s="5">
        <f t="shared" ca="1" si="89"/>
        <v>296.45</v>
      </c>
      <c r="CQ9" s="5">
        <f t="shared" ca="1" si="90"/>
        <v>302.3</v>
      </c>
      <c r="CR9" s="5">
        <f t="shared" ca="1" si="91"/>
        <v>271.75</v>
      </c>
      <c r="CS9" s="5">
        <f t="shared" ca="1" si="92"/>
        <v>286.2</v>
      </c>
      <c r="CT9" s="5">
        <f t="shared" ca="1" si="93"/>
        <v>269.55</v>
      </c>
      <c r="CU9" s="5">
        <f t="shared" ca="1" si="94"/>
        <v>250</v>
      </c>
      <c r="CV9" s="5">
        <f t="shared" ca="1" si="95"/>
        <v>199.5</v>
      </c>
      <c r="CW9" s="5">
        <f t="shared" ca="1" si="96"/>
        <v>273.25</v>
      </c>
      <c r="CX9" s="5">
        <f t="shared" ca="1" si="97"/>
        <v>273.75</v>
      </c>
      <c r="CY9" s="5">
        <f t="shared" ca="1" si="98"/>
        <v>226.75</v>
      </c>
      <c r="CZ9" s="5">
        <f t="shared" ca="1" si="99"/>
        <v>336.3</v>
      </c>
      <c r="DA9" s="5">
        <f t="shared" ca="1" si="100"/>
        <v>343.75</v>
      </c>
      <c r="DB9" s="5">
        <f t="shared" ca="1" si="101"/>
        <v>336.9</v>
      </c>
      <c r="DC9" s="5">
        <f t="shared" ca="1" si="102"/>
        <v>235.3</v>
      </c>
      <c r="DD9" s="5">
        <f t="shared" ca="1" si="103"/>
        <v>312.89999999999998</v>
      </c>
      <c r="DE9" s="5">
        <f t="shared" ca="1" si="104"/>
        <v>269.60000000000002</v>
      </c>
      <c r="DF9" s="5">
        <f t="shared" ca="1" si="105"/>
        <v>277.64999999999998</v>
      </c>
      <c r="DG9" s="5">
        <f t="shared" ca="1" si="106"/>
        <v>363.45</v>
      </c>
      <c r="DH9" s="5">
        <f t="shared" ca="1" si="107"/>
        <v>213</v>
      </c>
      <c r="DI9" s="5">
        <f t="shared" ca="1" si="108"/>
        <v>272.7</v>
      </c>
      <c r="DJ9" s="5">
        <f t="shared" ca="1" si="109"/>
        <v>285.2</v>
      </c>
      <c r="DK9" s="5">
        <f t="shared" ca="1" si="110"/>
        <v>349.4</v>
      </c>
      <c r="DL9" s="5">
        <f t="shared" ca="1" si="111"/>
        <v>287</v>
      </c>
      <c r="DM9" s="5">
        <f t="shared" ca="1" si="112"/>
        <v>277</v>
      </c>
      <c r="DN9" s="5">
        <f t="shared" ca="1" si="113"/>
        <v>223.15</v>
      </c>
      <c r="DO9" s="5">
        <f t="shared" ca="1" si="114"/>
        <v>308.8</v>
      </c>
      <c r="DP9" s="5">
        <f t="shared" ca="1" si="115"/>
        <v>230.1</v>
      </c>
      <c r="DQ9" s="5">
        <f t="shared" ca="1" si="116"/>
        <v>271.85000000000002</v>
      </c>
      <c r="DR9" s="5">
        <f t="shared" ca="1" si="117"/>
        <v>221</v>
      </c>
      <c r="DS9" s="5">
        <f t="shared" ca="1" si="118"/>
        <v>287.10000000000002</v>
      </c>
      <c r="DT9" s="5">
        <f t="shared" ca="1" si="119"/>
        <v>295.14999999999998</v>
      </c>
      <c r="DU9" s="5">
        <f t="shared" ca="1" si="120"/>
        <v>343.55</v>
      </c>
      <c r="DV9" s="5">
        <f t="shared" ca="1" si="121"/>
        <v>240.85</v>
      </c>
      <c r="DW9" s="5">
        <f t="shared" ca="1" si="122"/>
        <v>259.8</v>
      </c>
      <c r="DX9" s="5">
        <f t="shared" ca="1" si="123"/>
        <v>371.95</v>
      </c>
      <c r="DY9" s="5">
        <f t="shared" ca="1" si="124"/>
        <v>236.3</v>
      </c>
      <c r="DZ9" s="5">
        <f t="shared" ca="1" si="125"/>
        <v>252.35</v>
      </c>
      <c r="EA9" s="5">
        <f t="shared" ca="1" si="126"/>
        <v>325.45</v>
      </c>
      <c r="EB9" s="5">
        <f t="shared" ca="1" si="127"/>
        <v>427.85</v>
      </c>
      <c r="EC9" s="5">
        <f t="shared" ca="1" si="128"/>
        <v>345.95</v>
      </c>
      <c r="ED9" s="5">
        <f t="shared" ca="1" si="129"/>
        <v>285.45</v>
      </c>
      <c r="EE9" s="5">
        <f t="shared" ca="1" si="130"/>
        <v>229.7</v>
      </c>
      <c r="EF9" s="5">
        <f t="shared" ca="1" si="131"/>
        <v>288.05</v>
      </c>
      <c r="EG9" s="5">
        <f t="shared" ca="1" si="132"/>
        <v>228.75</v>
      </c>
      <c r="EH9" s="5">
        <f t="shared" ca="1" si="6"/>
        <v>208.55</v>
      </c>
      <c r="EI9" s="5">
        <f t="shared" ca="1" si="3"/>
        <v>238.05</v>
      </c>
      <c r="EJ9" s="5">
        <f t="shared" ca="1" si="3"/>
        <v>256.14999999999998</v>
      </c>
      <c r="EK9" s="5">
        <f t="shared" ca="1" si="3"/>
        <v>241.2</v>
      </c>
      <c r="EL9" s="5">
        <f t="shared" ca="1" si="3"/>
        <v>291.3</v>
      </c>
      <c r="EM9" s="5">
        <f t="shared" ca="1" si="3"/>
        <v>267.10000000000002</v>
      </c>
      <c r="EN9" s="5">
        <f t="shared" ca="1" si="3"/>
        <v>306.14999999999998</v>
      </c>
      <c r="EO9" s="5">
        <f t="shared" ca="1" si="3"/>
        <v>276.25</v>
      </c>
      <c r="EP9" s="5">
        <f t="shared" ca="1" si="3"/>
        <v>254.35</v>
      </c>
      <c r="EQ9" s="5">
        <f t="shared" ca="1" si="3"/>
        <v>223.7</v>
      </c>
      <c r="ER9" s="5">
        <f t="shared" ca="1" si="3"/>
        <v>247.7</v>
      </c>
      <c r="ES9" s="5">
        <f t="shared" ca="1" si="3"/>
        <v>286.64999999999998</v>
      </c>
      <c r="ET9" s="5">
        <f t="shared" ca="1" si="3"/>
        <v>275.45</v>
      </c>
      <c r="EU9" s="5">
        <f t="shared" ca="1" si="3"/>
        <v>237.15</v>
      </c>
      <c r="EV9" s="5">
        <f t="shared" ca="1" si="3"/>
        <v>259.95</v>
      </c>
      <c r="EW9" s="5">
        <f t="shared" ca="1" si="3"/>
        <v>317.5</v>
      </c>
      <c r="EX9" s="5">
        <f t="shared" ca="1" si="3"/>
        <v>331.4</v>
      </c>
    </row>
    <row r="10" spans="1:154" s="4" customFormat="1" x14ac:dyDescent="0.3">
      <c r="A10" s="3">
        <v>42783</v>
      </c>
      <c r="B10" s="4">
        <v>270.7</v>
      </c>
      <c r="C10" s="4">
        <f t="shared" si="0"/>
        <v>3.8984317011347379E-2</v>
      </c>
      <c r="J10" s="5">
        <f t="shared" ca="1" si="4"/>
        <v>310.75</v>
      </c>
      <c r="K10" s="5">
        <f t="shared" ca="1" si="7"/>
        <v>339</v>
      </c>
      <c r="L10" s="5">
        <f t="shared" ca="1" si="8"/>
        <v>192.95</v>
      </c>
      <c r="M10" s="5">
        <f t="shared" ca="1" si="9"/>
        <v>267.3</v>
      </c>
      <c r="N10" s="5">
        <f t="shared" ca="1" si="10"/>
        <v>205.35</v>
      </c>
      <c r="O10" s="5">
        <f t="shared" ca="1" si="11"/>
        <v>326.5</v>
      </c>
      <c r="P10" s="5">
        <f t="shared" ca="1" si="12"/>
        <v>227.6</v>
      </c>
      <c r="Q10" s="5">
        <f t="shared" ca="1" si="13"/>
        <v>310.55</v>
      </c>
      <c r="R10" s="5">
        <f t="shared" ca="1" si="14"/>
        <v>334.3</v>
      </c>
      <c r="S10" s="5">
        <f t="shared" ca="1" si="15"/>
        <v>267.89999999999998</v>
      </c>
      <c r="T10" s="5">
        <f t="shared" ca="1" si="16"/>
        <v>258.10000000000002</v>
      </c>
      <c r="U10" s="5">
        <f t="shared" ca="1" si="17"/>
        <v>315.7</v>
      </c>
      <c r="V10" s="5">
        <f t="shared" ca="1" si="18"/>
        <v>246.5</v>
      </c>
      <c r="W10" s="5">
        <f t="shared" ca="1" si="19"/>
        <v>316.64999999999998</v>
      </c>
      <c r="X10" s="5">
        <f t="shared" ca="1" si="20"/>
        <v>334.25</v>
      </c>
      <c r="Y10" s="5">
        <f t="shared" ca="1" si="21"/>
        <v>297.5</v>
      </c>
      <c r="Z10" s="5">
        <f t="shared" ca="1" si="22"/>
        <v>331.25</v>
      </c>
      <c r="AA10" s="5">
        <f t="shared" ca="1" si="23"/>
        <v>277.5</v>
      </c>
      <c r="AB10" s="5">
        <f t="shared" ca="1" si="24"/>
        <v>285.7</v>
      </c>
      <c r="AC10" s="5">
        <f t="shared" ca="1" si="25"/>
        <v>292.10000000000002</v>
      </c>
      <c r="AD10" s="5">
        <f t="shared" ca="1" si="26"/>
        <v>247.75</v>
      </c>
      <c r="AE10" s="5">
        <f t="shared" ca="1" si="27"/>
        <v>314.89999999999998</v>
      </c>
      <c r="AF10" s="5">
        <f t="shared" ca="1" si="28"/>
        <v>246.85</v>
      </c>
      <c r="AG10" s="5">
        <f t="shared" ca="1" si="29"/>
        <v>322.35000000000002</v>
      </c>
      <c r="AH10" s="5">
        <f t="shared" ca="1" si="30"/>
        <v>233.7</v>
      </c>
      <c r="AI10" s="5">
        <f t="shared" ca="1" si="31"/>
        <v>259</v>
      </c>
      <c r="AJ10" s="5">
        <f t="shared" ca="1" si="32"/>
        <v>277.35000000000002</v>
      </c>
      <c r="AK10" s="5">
        <f t="shared" ca="1" si="33"/>
        <v>220.3</v>
      </c>
      <c r="AL10" s="5">
        <f t="shared" ca="1" si="34"/>
        <v>334.1</v>
      </c>
      <c r="AM10" s="5">
        <f t="shared" ca="1" si="35"/>
        <v>233.65</v>
      </c>
      <c r="AN10" s="5">
        <f t="shared" ca="1" si="36"/>
        <v>214.25</v>
      </c>
      <c r="AO10" s="5">
        <f t="shared" ca="1" si="37"/>
        <v>214.55</v>
      </c>
      <c r="AP10" s="5">
        <f t="shared" ca="1" si="38"/>
        <v>284.39999999999998</v>
      </c>
      <c r="AQ10" s="5">
        <f t="shared" ca="1" si="39"/>
        <v>232.2</v>
      </c>
      <c r="AR10" s="5">
        <f t="shared" ca="1" si="40"/>
        <v>215.6</v>
      </c>
      <c r="AS10" s="5">
        <f t="shared" ca="1" si="41"/>
        <v>373.5</v>
      </c>
      <c r="AT10" s="5">
        <f t="shared" ca="1" si="42"/>
        <v>305.75</v>
      </c>
      <c r="AU10" s="5">
        <f t="shared" ca="1" si="43"/>
        <v>281.60000000000002</v>
      </c>
      <c r="AV10" s="5">
        <f t="shared" ca="1" si="44"/>
        <v>313.55</v>
      </c>
      <c r="AW10" s="5">
        <f t="shared" ca="1" si="45"/>
        <v>325.5</v>
      </c>
      <c r="AX10" s="5">
        <f t="shared" ca="1" si="46"/>
        <v>231.75</v>
      </c>
      <c r="AY10" s="5">
        <f t="shared" ca="1" si="47"/>
        <v>262.75</v>
      </c>
      <c r="AZ10" s="5">
        <f t="shared" ca="1" si="48"/>
        <v>278.3</v>
      </c>
      <c r="BA10" s="5">
        <f t="shared" ca="1" si="49"/>
        <v>239.8</v>
      </c>
      <c r="BB10" s="5">
        <f t="shared" ca="1" si="50"/>
        <v>208.95</v>
      </c>
      <c r="BC10" s="5">
        <f t="shared" ca="1" si="51"/>
        <v>265.8</v>
      </c>
      <c r="BD10" s="5">
        <f t="shared" ca="1" si="52"/>
        <v>249.2</v>
      </c>
      <c r="BE10" s="5">
        <f t="shared" ca="1" si="53"/>
        <v>363.1</v>
      </c>
      <c r="BF10" s="5">
        <f t="shared" ca="1" si="54"/>
        <v>269.5</v>
      </c>
      <c r="BG10" s="5">
        <f t="shared" ca="1" si="55"/>
        <v>401.6</v>
      </c>
      <c r="BH10" s="5">
        <f t="shared" ca="1" si="56"/>
        <v>295.8</v>
      </c>
      <c r="BI10" s="5">
        <f t="shared" ca="1" si="57"/>
        <v>277.25</v>
      </c>
      <c r="BJ10" s="5">
        <f t="shared" ca="1" si="58"/>
        <v>320.75</v>
      </c>
      <c r="BK10" s="5">
        <f t="shared" ca="1" si="59"/>
        <v>229.6</v>
      </c>
      <c r="BL10" s="5">
        <f t="shared" ca="1" si="60"/>
        <v>232.85</v>
      </c>
      <c r="BM10" s="5">
        <f t="shared" ca="1" si="61"/>
        <v>162.44999999999999</v>
      </c>
      <c r="BN10" s="5">
        <f t="shared" ca="1" si="62"/>
        <v>258.14999999999998</v>
      </c>
      <c r="BO10" s="5">
        <f t="shared" ca="1" si="63"/>
        <v>296.85000000000002</v>
      </c>
      <c r="BP10" s="5">
        <f t="shared" ca="1" si="64"/>
        <v>251.25</v>
      </c>
      <c r="BQ10" s="5">
        <f t="shared" ca="1" si="65"/>
        <v>309.25</v>
      </c>
      <c r="BR10" s="5">
        <f t="shared" ca="1" si="66"/>
        <v>208.5</v>
      </c>
      <c r="BS10" s="5">
        <f t="shared" ca="1" si="67"/>
        <v>295.35000000000002</v>
      </c>
      <c r="BT10" s="5">
        <f t="shared" ca="1" si="68"/>
        <v>229.4</v>
      </c>
      <c r="BU10" s="5">
        <f t="shared" ca="1" si="69"/>
        <v>262.05</v>
      </c>
      <c r="BV10" s="5">
        <f t="shared" ca="1" si="5"/>
        <v>308.39999999999998</v>
      </c>
      <c r="BW10" s="5">
        <f t="shared" ca="1" si="70"/>
        <v>325.3</v>
      </c>
      <c r="BX10" s="5">
        <f t="shared" ca="1" si="71"/>
        <v>180</v>
      </c>
      <c r="BY10" s="5">
        <f t="shared" ca="1" si="72"/>
        <v>400.35</v>
      </c>
      <c r="BZ10" s="5">
        <f t="shared" ca="1" si="73"/>
        <v>275.14999999999998</v>
      </c>
      <c r="CA10" s="5">
        <f t="shared" ca="1" si="74"/>
        <v>318.39999999999998</v>
      </c>
      <c r="CB10" s="5">
        <f t="shared" ca="1" si="75"/>
        <v>368.65</v>
      </c>
      <c r="CC10" s="5">
        <f t="shared" ca="1" si="76"/>
        <v>208.7</v>
      </c>
      <c r="CD10" s="5">
        <f t="shared" ca="1" si="77"/>
        <v>272.8</v>
      </c>
      <c r="CE10" s="5">
        <f t="shared" ca="1" si="78"/>
        <v>203</v>
      </c>
      <c r="CF10" s="5">
        <f t="shared" ca="1" si="79"/>
        <v>214.25</v>
      </c>
      <c r="CG10" s="5">
        <f t="shared" ca="1" si="80"/>
        <v>302.95</v>
      </c>
      <c r="CH10" s="5">
        <f t="shared" ca="1" si="81"/>
        <v>194.45</v>
      </c>
      <c r="CI10" s="5">
        <f t="shared" ca="1" si="82"/>
        <v>325.8</v>
      </c>
      <c r="CJ10" s="5">
        <f t="shared" ca="1" si="83"/>
        <v>372.8</v>
      </c>
      <c r="CK10" s="5">
        <f t="shared" ca="1" si="84"/>
        <v>259.89999999999998</v>
      </c>
      <c r="CL10" s="5">
        <f t="shared" ca="1" si="85"/>
        <v>288.14999999999998</v>
      </c>
      <c r="CM10" s="5">
        <f t="shared" ca="1" si="86"/>
        <v>271.25</v>
      </c>
      <c r="CN10" s="5">
        <f t="shared" ca="1" si="87"/>
        <v>323.35000000000002</v>
      </c>
      <c r="CO10" s="5">
        <f t="shared" ca="1" si="88"/>
        <v>315.39999999999998</v>
      </c>
      <c r="CP10" s="5">
        <f t="shared" ca="1" si="89"/>
        <v>277.7</v>
      </c>
      <c r="CQ10" s="5">
        <f t="shared" ca="1" si="90"/>
        <v>290.10000000000002</v>
      </c>
      <c r="CR10" s="5">
        <f t="shared" ca="1" si="91"/>
        <v>257.05</v>
      </c>
      <c r="CS10" s="5">
        <f t="shared" ca="1" si="92"/>
        <v>326.85000000000002</v>
      </c>
      <c r="CT10" s="5">
        <f t="shared" ca="1" si="93"/>
        <v>256.05</v>
      </c>
      <c r="CU10" s="5">
        <f t="shared" ca="1" si="94"/>
        <v>248.6</v>
      </c>
      <c r="CV10" s="5">
        <f t="shared" ca="1" si="95"/>
        <v>205.3</v>
      </c>
      <c r="CW10" s="5">
        <f t="shared" ca="1" si="96"/>
        <v>272.35000000000002</v>
      </c>
      <c r="CX10" s="5">
        <f t="shared" ca="1" si="97"/>
        <v>313.7</v>
      </c>
      <c r="CY10" s="5">
        <f t="shared" ca="1" si="98"/>
        <v>239.3</v>
      </c>
      <c r="CZ10" s="5">
        <f t="shared" ca="1" si="99"/>
        <v>318.10000000000002</v>
      </c>
      <c r="DA10" s="5">
        <f t="shared" ca="1" si="100"/>
        <v>363</v>
      </c>
      <c r="DB10" s="5">
        <f t="shared" ca="1" si="101"/>
        <v>350.5</v>
      </c>
      <c r="DC10" s="5">
        <f t="shared" ca="1" si="102"/>
        <v>215.75</v>
      </c>
      <c r="DD10" s="5">
        <f t="shared" ca="1" si="103"/>
        <v>342.4</v>
      </c>
      <c r="DE10" s="5">
        <f t="shared" ca="1" si="104"/>
        <v>294.3</v>
      </c>
      <c r="DF10" s="5">
        <f t="shared" ca="1" si="105"/>
        <v>255.6</v>
      </c>
      <c r="DG10" s="5">
        <f t="shared" ca="1" si="106"/>
        <v>343.45</v>
      </c>
      <c r="DH10" s="5">
        <f t="shared" ca="1" si="107"/>
        <v>200.85</v>
      </c>
      <c r="DI10" s="5">
        <f t="shared" ca="1" si="108"/>
        <v>271.10000000000002</v>
      </c>
      <c r="DJ10" s="5">
        <f t="shared" ca="1" si="109"/>
        <v>299.75</v>
      </c>
      <c r="DK10" s="5">
        <f t="shared" ca="1" si="110"/>
        <v>316.75</v>
      </c>
      <c r="DL10" s="5">
        <f t="shared" ca="1" si="111"/>
        <v>275.14999999999998</v>
      </c>
      <c r="DM10" s="5">
        <f t="shared" ca="1" si="112"/>
        <v>273.60000000000002</v>
      </c>
      <c r="DN10" s="5">
        <f t="shared" ca="1" si="113"/>
        <v>215.95</v>
      </c>
      <c r="DO10" s="5">
        <f t="shared" ca="1" si="114"/>
        <v>338.3</v>
      </c>
      <c r="DP10" s="5">
        <f t="shared" ca="1" si="115"/>
        <v>242.85</v>
      </c>
      <c r="DQ10" s="5">
        <f t="shared" ca="1" si="116"/>
        <v>258.75</v>
      </c>
      <c r="DR10" s="5">
        <f t="shared" ca="1" si="117"/>
        <v>224.75</v>
      </c>
      <c r="DS10" s="5">
        <f t="shared" ca="1" si="118"/>
        <v>287.7</v>
      </c>
      <c r="DT10" s="5">
        <f t="shared" ca="1" si="119"/>
        <v>278.3</v>
      </c>
      <c r="DU10" s="5">
        <f t="shared" ca="1" si="120"/>
        <v>333.3</v>
      </c>
      <c r="DV10" s="5">
        <f t="shared" ca="1" si="121"/>
        <v>246.95</v>
      </c>
      <c r="DW10" s="5">
        <f t="shared" ca="1" si="122"/>
        <v>251</v>
      </c>
      <c r="DX10" s="5">
        <f t="shared" ca="1" si="123"/>
        <v>369.75</v>
      </c>
      <c r="DY10" s="5">
        <f t="shared" ca="1" si="124"/>
        <v>230</v>
      </c>
      <c r="DZ10" s="5">
        <f t="shared" ca="1" si="125"/>
        <v>216.65</v>
      </c>
      <c r="EA10" s="5">
        <f t="shared" ca="1" si="126"/>
        <v>317.60000000000002</v>
      </c>
      <c r="EB10" s="5">
        <f t="shared" ca="1" si="127"/>
        <v>444.25</v>
      </c>
      <c r="EC10" s="5">
        <f t="shared" ca="1" si="128"/>
        <v>390.2</v>
      </c>
      <c r="ED10" s="5">
        <f t="shared" ca="1" si="129"/>
        <v>285.35000000000002</v>
      </c>
      <c r="EE10" s="5">
        <f t="shared" ca="1" si="130"/>
        <v>238.7</v>
      </c>
      <c r="EF10" s="5">
        <f t="shared" ca="1" si="131"/>
        <v>309.39999999999998</v>
      </c>
      <c r="EG10" s="5">
        <f t="shared" ca="1" si="132"/>
        <v>214.05</v>
      </c>
      <c r="EH10" s="5">
        <f t="shared" ca="1" si="6"/>
        <v>204.7</v>
      </c>
      <c r="EI10" s="5">
        <f t="shared" ca="1" si="3"/>
        <v>234.4</v>
      </c>
      <c r="EJ10" s="5">
        <f t="shared" ca="1" si="3"/>
        <v>256.3</v>
      </c>
      <c r="EK10" s="5">
        <f t="shared" ca="1" si="3"/>
        <v>218.15</v>
      </c>
      <c r="EL10" s="5">
        <f t="shared" ca="1" si="3"/>
        <v>317.55</v>
      </c>
      <c r="EM10" s="5">
        <f t="shared" ca="1" si="3"/>
        <v>234.95</v>
      </c>
      <c r="EN10" s="5">
        <f t="shared" ca="1" si="3"/>
        <v>292.05</v>
      </c>
      <c r="EO10" s="5">
        <f t="shared" ca="1" si="3"/>
        <v>261.39999999999998</v>
      </c>
      <c r="EP10" s="5">
        <f t="shared" ca="1" si="3"/>
        <v>266</v>
      </c>
      <c r="EQ10" s="5">
        <f t="shared" ca="1" si="3"/>
        <v>221.45</v>
      </c>
      <c r="ER10" s="5">
        <f t="shared" ca="1" si="3"/>
        <v>262.45</v>
      </c>
      <c r="ES10" s="5">
        <f t="shared" ca="1" si="3"/>
        <v>297.10000000000002</v>
      </c>
      <c r="ET10" s="5">
        <f t="shared" ca="1" si="3"/>
        <v>265.64999999999998</v>
      </c>
      <c r="EU10" s="5">
        <f t="shared" ca="1" si="3"/>
        <v>228.85</v>
      </c>
      <c r="EV10" s="5">
        <f t="shared" ca="1" si="3"/>
        <v>255.65</v>
      </c>
      <c r="EW10" s="5">
        <f t="shared" ca="1" si="3"/>
        <v>296.14999999999998</v>
      </c>
      <c r="EX10" s="5">
        <f t="shared" ca="1" si="3"/>
        <v>359.2</v>
      </c>
    </row>
    <row r="11" spans="1:154" s="4" customFormat="1" x14ac:dyDescent="0.3">
      <c r="A11" s="3">
        <v>42784</v>
      </c>
      <c r="B11" s="4">
        <v>260.35000000000002</v>
      </c>
      <c r="C11" s="4">
        <f t="shared" si="0"/>
        <v>-1.3732811660717003E-2</v>
      </c>
      <c r="J11" s="5">
        <f t="shared" ca="1" si="4"/>
        <v>263.25</v>
      </c>
      <c r="K11" s="5">
        <f t="shared" ca="1" si="7"/>
        <v>357.55</v>
      </c>
      <c r="L11" s="5">
        <f t="shared" ca="1" si="8"/>
        <v>188.2</v>
      </c>
      <c r="M11" s="5">
        <f t="shared" ca="1" si="9"/>
        <v>254.8</v>
      </c>
      <c r="N11" s="5">
        <f t="shared" ca="1" si="10"/>
        <v>179.65</v>
      </c>
      <c r="O11" s="5">
        <f t="shared" ca="1" si="11"/>
        <v>313.14999999999998</v>
      </c>
      <c r="P11" s="5">
        <f t="shared" ca="1" si="12"/>
        <v>216.75</v>
      </c>
      <c r="Q11" s="5">
        <f t="shared" ca="1" si="13"/>
        <v>312.85000000000002</v>
      </c>
      <c r="R11" s="5">
        <f t="shared" ca="1" si="14"/>
        <v>361.95</v>
      </c>
      <c r="S11" s="5">
        <f t="shared" ca="1" si="15"/>
        <v>269.7</v>
      </c>
      <c r="T11" s="5">
        <f t="shared" ca="1" si="16"/>
        <v>274.8</v>
      </c>
      <c r="U11" s="5">
        <f t="shared" ca="1" si="17"/>
        <v>303.10000000000002</v>
      </c>
      <c r="V11" s="5">
        <f t="shared" ca="1" si="18"/>
        <v>232.3</v>
      </c>
      <c r="W11" s="5">
        <f t="shared" ca="1" si="19"/>
        <v>281.2</v>
      </c>
      <c r="X11" s="5">
        <f t="shared" ca="1" si="20"/>
        <v>337.35</v>
      </c>
      <c r="Y11" s="5">
        <f t="shared" ca="1" si="21"/>
        <v>269.89999999999998</v>
      </c>
      <c r="Z11" s="5">
        <f t="shared" ca="1" si="22"/>
        <v>319</v>
      </c>
      <c r="AA11" s="5">
        <f t="shared" ca="1" si="23"/>
        <v>251.1</v>
      </c>
      <c r="AB11" s="5">
        <f t="shared" ca="1" si="24"/>
        <v>306.25</v>
      </c>
      <c r="AC11" s="5">
        <f t="shared" ca="1" si="25"/>
        <v>307.75</v>
      </c>
      <c r="AD11" s="5">
        <f t="shared" ca="1" si="26"/>
        <v>240.2</v>
      </c>
      <c r="AE11" s="5">
        <f t="shared" ca="1" si="27"/>
        <v>357.5</v>
      </c>
      <c r="AF11" s="5">
        <f t="shared" ca="1" si="28"/>
        <v>235.05</v>
      </c>
      <c r="AG11" s="5">
        <f t="shared" ca="1" si="29"/>
        <v>295.60000000000002</v>
      </c>
      <c r="AH11" s="5">
        <f t="shared" ca="1" si="30"/>
        <v>249</v>
      </c>
      <c r="AI11" s="5">
        <f t="shared" ca="1" si="31"/>
        <v>213.45</v>
      </c>
      <c r="AJ11" s="5">
        <f t="shared" ca="1" si="32"/>
        <v>301.35000000000002</v>
      </c>
      <c r="AK11" s="5">
        <f t="shared" ca="1" si="33"/>
        <v>232.3</v>
      </c>
      <c r="AL11" s="5">
        <f t="shared" ca="1" si="34"/>
        <v>352.55</v>
      </c>
      <c r="AM11" s="5">
        <f t="shared" ca="1" si="35"/>
        <v>233.7</v>
      </c>
      <c r="AN11" s="5">
        <f t="shared" ca="1" si="36"/>
        <v>205.5</v>
      </c>
      <c r="AO11" s="5">
        <f t="shared" ca="1" si="37"/>
        <v>235.6</v>
      </c>
      <c r="AP11" s="5">
        <f t="shared" ca="1" si="38"/>
        <v>300.10000000000002</v>
      </c>
      <c r="AQ11" s="5">
        <f t="shared" ca="1" si="39"/>
        <v>231.1</v>
      </c>
      <c r="AR11" s="5">
        <f t="shared" ca="1" si="40"/>
        <v>214.3</v>
      </c>
      <c r="AS11" s="5">
        <f t="shared" ca="1" si="41"/>
        <v>343.6</v>
      </c>
      <c r="AT11" s="5">
        <f t="shared" ca="1" si="42"/>
        <v>307.10000000000002</v>
      </c>
      <c r="AU11" s="5">
        <f t="shared" ca="1" si="43"/>
        <v>260.7</v>
      </c>
      <c r="AV11" s="5">
        <f t="shared" ca="1" si="44"/>
        <v>272.25</v>
      </c>
      <c r="AW11" s="5">
        <f t="shared" ca="1" si="45"/>
        <v>320.85000000000002</v>
      </c>
      <c r="AX11" s="5">
        <f t="shared" ca="1" si="46"/>
        <v>245.9</v>
      </c>
      <c r="AY11" s="5">
        <f t="shared" ca="1" si="47"/>
        <v>234</v>
      </c>
      <c r="AZ11" s="5">
        <f t="shared" ca="1" si="48"/>
        <v>285.55</v>
      </c>
      <c r="BA11" s="5">
        <f t="shared" ca="1" si="49"/>
        <v>251.4</v>
      </c>
      <c r="BB11" s="5">
        <f t="shared" ca="1" si="50"/>
        <v>236.35</v>
      </c>
      <c r="BC11" s="5">
        <f t="shared" ca="1" si="51"/>
        <v>265.39999999999998</v>
      </c>
      <c r="BD11" s="5">
        <f t="shared" ca="1" si="52"/>
        <v>241.5</v>
      </c>
      <c r="BE11" s="5">
        <f t="shared" ca="1" si="53"/>
        <v>331.35</v>
      </c>
      <c r="BF11" s="5">
        <f t="shared" ca="1" si="54"/>
        <v>259.25</v>
      </c>
      <c r="BG11" s="5">
        <f t="shared" ca="1" si="55"/>
        <v>428.65</v>
      </c>
      <c r="BH11" s="5">
        <f t="shared" ca="1" si="56"/>
        <v>304.5</v>
      </c>
      <c r="BI11" s="5">
        <f t="shared" ca="1" si="57"/>
        <v>263.10000000000002</v>
      </c>
      <c r="BJ11" s="5">
        <f t="shared" ca="1" si="58"/>
        <v>344.1</v>
      </c>
      <c r="BK11" s="5">
        <f t="shared" ca="1" si="59"/>
        <v>220.3</v>
      </c>
      <c r="BL11" s="5">
        <f t="shared" ca="1" si="60"/>
        <v>253.1</v>
      </c>
      <c r="BM11" s="5">
        <f t="shared" ca="1" si="61"/>
        <v>174.15</v>
      </c>
      <c r="BN11" s="5">
        <f t="shared" ca="1" si="62"/>
        <v>290.10000000000002</v>
      </c>
      <c r="BO11" s="5">
        <f t="shared" ca="1" si="63"/>
        <v>280.95</v>
      </c>
      <c r="BP11" s="5">
        <f t="shared" ca="1" si="64"/>
        <v>249.5</v>
      </c>
      <c r="BQ11" s="5">
        <f t="shared" ca="1" si="65"/>
        <v>341.5</v>
      </c>
      <c r="BR11" s="5">
        <f t="shared" ca="1" si="66"/>
        <v>201.6</v>
      </c>
      <c r="BS11" s="5">
        <f t="shared" ca="1" si="67"/>
        <v>274.8</v>
      </c>
      <c r="BT11" s="5">
        <f t="shared" ca="1" si="68"/>
        <v>238.15</v>
      </c>
      <c r="BU11" s="5">
        <f t="shared" ca="1" si="69"/>
        <v>260.7</v>
      </c>
      <c r="BV11" s="5">
        <f t="shared" ca="1" si="5"/>
        <v>297.10000000000002</v>
      </c>
      <c r="BW11" s="5">
        <f t="shared" ca="1" si="70"/>
        <v>359.6</v>
      </c>
      <c r="BX11" s="5">
        <f t="shared" ca="1" si="71"/>
        <v>175.75</v>
      </c>
      <c r="BY11" s="5">
        <f t="shared" ca="1" si="72"/>
        <v>438.75</v>
      </c>
      <c r="BZ11" s="5">
        <f t="shared" ca="1" si="73"/>
        <v>270.2</v>
      </c>
      <c r="CA11" s="5">
        <f t="shared" ca="1" si="74"/>
        <v>297.7</v>
      </c>
      <c r="CB11" s="5">
        <f t="shared" ca="1" si="75"/>
        <v>388.55</v>
      </c>
      <c r="CC11" s="5">
        <f t="shared" ca="1" si="76"/>
        <v>222.5</v>
      </c>
      <c r="CD11" s="5">
        <f t="shared" ca="1" si="77"/>
        <v>250.4</v>
      </c>
      <c r="CE11" s="5">
        <f t="shared" ca="1" si="78"/>
        <v>200.15</v>
      </c>
      <c r="CF11" s="5">
        <f t="shared" ca="1" si="79"/>
        <v>213.75</v>
      </c>
      <c r="CG11" s="5">
        <f t="shared" ca="1" si="80"/>
        <v>318.10000000000002</v>
      </c>
      <c r="CH11" s="5">
        <f t="shared" ca="1" si="81"/>
        <v>201.4</v>
      </c>
      <c r="CI11" s="5">
        <f t="shared" ca="1" si="82"/>
        <v>334.25</v>
      </c>
      <c r="CJ11" s="5">
        <f t="shared" ca="1" si="83"/>
        <v>333.5</v>
      </c>
      <c r="CK11" s="5">
        <f t="shared" ca="1" si="84"/>
        <v>233.85</v>
      </c>
      <c r="CL11" s="5">
        <f t="shared" ca="1" si="85"/>
        <v>289.60000000000002</v>
      </c>
      <c r="CM11" s="5">
        <f t="shared" ca="1" si="86"/>
        <v>291.45</v>
      </c>
      <c r="CN11" s="5">
        <f t="shared" ca="1" si="87"/>
        <v>328.3</v>
      </c>
      <c r="CO11" s="5">
        <f t="shared" ca="1" si="88"/>
        <v>334.9</v>
      </c>
      <c r="CP11" s="5">
        <f t="shared" ca="1" si="89"/>
        <v>239.5</v>
      </c>
      <c r="CQ11" s="5">
        <f t="shared" ca="1" si="90"/>
        <v>284.39999999999998</v>
      </c>
      <c r="CR11" s="5">
        <f t="shared" ca="1" si="91"/>
        <v>247.95</v>
      </c>
      <c r="CS11" s="5">
        <f t="shared" ca="1" si="92"/>
        <v>363.05</v>
      </c>
      <c r="CT11" s="5">
        <f t="shared" ca="1" si="93"/>
        <v>246.8</v>
      </c>
      <c r="CU11" s="5">
        <f t="shared" ca="1" si="94"/>
        <v>245.1</v>
      </c>
      <c r="CV11" s="5">
        <f t="shared" ca="1" si="95"/>
        <v>196.45</v>
      </c>
      <c r="CW11" s="5">
        <f t="shared" ca="1" si="96"/>
        <v>270.45</v>
      </c>
      <c r="CX11" s="5">
        <f t="shared" ca="1" si="97"/>
        <v>312.2</v>
      </c>
      <c r="CY11" s="5">
        <f t="shared" ca="1" si="98"/>
        <v>260.10000000000002</v>
      </c>
      <c r="CZ11" s="5">
        <f t="shared" ca="1" si="99"/>
        <v>292.55</v>
      </c>
      <c r="DA11" s="5">
        <f t="shared" ca="1" si="100"/>
        <v>323.89999999999998</v>
      </c>
      <c r="DB11" s="5">
        <f t="shared" ca="1" si="101"/>
        <v>383.55</v>
      </c>
      <c r="DC11" s="5">
        <f t="shared" ca="1" si="102"/>
        <v>222.65</v>
      </c>
      <c r="DD11" s="5">
        <f t="shared" ca="1" si="103"/>
        <v>352.9</v>
      </c>
      <c r="DE11" s="5">
        <f t="shared" ca="1" si="104"/>
        <v>304.05</v>
      </c>
      <c r="DF11" s="5">
        <f t="shared" ca="1" si="105"/>
        <v>250.2</v>
      </c>
      <c r="DG11" s="5">
        <f t="shared" ca="1" si="106"/>
        <v>334.7</v>
      </c>
      <c r="DH11" s="5">
        <f t="shared" ca="1" si="107"/>
        <v>190.15</v>
      </c>
      <c r="DI11" s="5">
        <f t="shared" ca="1" si="108"/>
        <v>253.45</v>
      </c>
      <c r="DJ11" s="5">
        <f t="shared" ca="1" si="109"/>
        <v>295.64999999999998</v>
      </c>
      <c r="DK11" s="5">
        <f t="shared" ca="1" si="110"/>
        <v>331.5</v>
      </c>
      <c r="DL11" s="5">
        <f t="shared" ca="1" si="111"/>
        <v>239.3</v>
      </c>
      <c r="DM11" s="5">
        <f t="shared" ca="1" si="112"/>
        <v>279.35000000000002</v>
      </c>
      <c r="DN11" s="5">
        <f t="shared" ca="1" si="113"/>
        <v>228.25</v>
      </c>
      <c r="DO11" s="5">
        <f t="shared" ca="1" si="114"/>
        <v>346.55</v>
      </c>
      <c r="DP11" s="5">
        <f t="shared" ca="1" si="115"/>
        <v>274.2</v>
      </c>
      <c r="DQ11" s="5">
        <f t="shared" ca="1" si="116"/>
        <v>223.9</v>
      </c>
      <c r="DR11" s="5">
        <f t="shared" ca="1" si="117"/>
        <v>216.55</v>
      </c>
      <c r="DS11" s="5">
        <f t="shared" ca="1" si="118"/>
        <v>283.35000000000002</v>
      </c>
      <c r="DT11" s="5">
        <f t="shared" ca="1" si="119"/>
        <v>268.2</v>
      </c>
      <c r="DU11" s="5">
        <f t="shared" ca="1" si="120"/>
        <v>344.9</v>
      </c>
      <c r="DV11" s="5">
        <f t="shared" ca="1" si="121"/>
        <v>248.85</v>
      </c>
      <c r="DW11" s="5">
        <f t="shared" ca="1" si="122"/>
        <v>217.55</v>
      </c>
      <c r="DX11" s="5">
        <f t="shared" ca="1" si="123"/>
        <v>357.4</v>
      </c>
      <c r="DY11" s="5">
        <f t="shared" ca="1" si="124"/>
        <v>233</v>
      </c>
      <c r="DZ11" s="5">
        <f t="shared" ca="1" si="125"/>
        <v>218.2</v>
      </c>
      <c r="EA11" s="5">
        <f t="shared" ca="1" si="126"/>
        <v>317</v>
      </c>
      <c r="EB11" s="5">
        <f t="shared" ca="1" si="127"/>
        <v>458.05</v>
      </c>
      <c r="EC11" s="5">
        <f t="shared" ca="1" si="128"/>
        <v>371.75</v>
      </c>
      <c r="ED11" s="5">
        <f t="shared" ca="1" si="129"/>
        <v>300.10000000000002</v>
      </c>
      <c r="EE11" s="5">
        <f t="shared" ca="1" si="130"/>
        <v>258.10000000000002</v>
      </c>
      <c r="EF11" s="5">
        <f t="shared" ca="1" si="131"/>
        <v>293.89999999999998</v>
      </c>
      <c r="EG11" s="5">
        <f t="shared" ca="1" si="132"/>
        <v>222.5</v>
      </c>
      <c r="EH11" s="5">
        <f t="shared" ca="1" si="6"/>
        <v>222.3</v>
      </c>
      <c r="EI11" s="5">
        <f t="shared" ca="1" si="3"/>
        <v>231.8</v>
      </c>
      <c r="EJ11" s="5">
        <f t="shared" ca="1" si="3"/>
        <v>272.14999999999998</v>
      </c>
      <c r="EK11" s="5">
        <f t="shared" ca="1" si="3"/>
        <v>205.6</v>
      </c>
      <c r="EL11" s="5">
        <f t="shared" ca="1" si="3"/>
        <v>307.60000000000002</v>
      </c>
      <c r="EM11" s="5">
        <f t="shared" ca="1" si="3"/>
        <v>228.55</v>
      </c>
      <c r="EN11" s="5">
        <f t="shared" ca="1" si="3"/>
        <v>278.14999999999998</v>
      </c>
      <c r="EO11" s="5">
        <f t="shared" ca="1" si="3"/>
        <v>246.35</v>
      </c>
      <c r="EP11" s="5">
        <f t="shared" ca="1" si="3"/>
        <v>250.8</v>
      </c>
      <c r="EQ11" s="5">
        <f t="shared" ca="1" si="3"/>
        <v>219</v>
      </c>
      <c r="ER11" s="5">
        <f t="shared" ca="1" si="3"/>
        <v>245.6</v>
      </c>
      <c r="ES11" s="5">
        <f t="shared" ca="1" si="3"/>
        <v>353.65</v>
      </c>
      <c r="ET11" s="5">
        <f t="shared" ca="1" si="3"/>
        <v>270</v>
      </c>
      <c r="EU11" s="5">
        <f t="shared" ca="1" si="3"/>
        <v>247.4</v>
      </c>
      <c r="EV11" s="5">
        <f t="shared" ca="1" si="3"/>
        <v>276.8</v>
      </c>
      <c r="EW11" s="5">
        <f t="shared" ca="1" si="3"/>
        <v>279.05</v>
      </c>
      <c r="EX11" s="5">
        <f t="shared" ca="1" si="3"/>
        <v>369.15</v>
      </c>
    </row>
    <row r="12" spans="1:154" s="4" customFormat="1" x14ac:dyDescent="0.3">
      <c r="A12" s="3">
        <v>42785</v>
      </c>
      <c r="B12" s="4">
        <v>263.95</v>
      </c>
      <c r="C12" s="4">
        <f t="shared" si="0"/>
        <v>-9.426917473165982E-3</v>
      </c>
      <c r="J12" s="5">
        <f t="shared" ca="1" si="4"/>
        <v>262.55</v>
      </c>
      <c r="K12" s="5">
        <f t="shared" ca="1" si="7"/>
        <v>351.65</v>
      </c>
      <c r="L12" s="5">
        <f t="shared" ca="1" si="8"/>
        <v>173.6</v>
      </c>
      <c r="M12" s="5">
        <f t="shared" ca="1" si="9"/>
        <v>227.45</v>
      </c>
      <c r="N12" s="5">
        <f t="shared" ca="1" si="10"/>
        <v>196.45</v>
      </c>
      <c r="O12" s="5">
        <f t="shared" ca="1" si="11"/>
        <v>298.95</v>
      </c>
      <c r="P12" s="5">
        <f t="shared" ca="1" si="12"/>
        <v>215.9</v>
      </c>
      <c r="Q12" s="5">
        <f t="shared" ca="1" si="13"/>
        <v>324.10000000000002</v>
      </c>
      <c r="R12" s="5">
        <f t="shared" ca="1" si="14"/>
        <v>404.8</v>
      </c>
      <c r="S12" s="5">
        <f t="shared" ca="1" si="15"/>
        <v>246.8</v>
      </c>
      <c r="T12" s="5">
        <f t="shared" ca="1" si="16"/>
        <v>248.95</v>
      </c>
      <c r="U12" s="5">
        <f t="shared" ca="1" si="17"/>
        <v>305.25</v>
      </c>
      <c r="V12" s="5">
        <f t="shared" ca="1" si="18"/>
        <v>199.8</v>
      </c>
      <c r="W12" s="5">
        <f t="shared" ca="1" si="19"/>
        <v>316.45</v>
      </c>
      <c r="X12" s="5">
        <f t="shared" ca="1" si="20"/>
        <v>353.3</v>
      </c>
      <c r="Y12" s="5">
        <f t="shared" ca="1" si="21"/>
        <v>257.05</v>
      </c>
      <c r="Z12" s="5">
        <f t="shared" ca="1" si="22"/>
        <v>317.8</v>
      </c>
      <c r="AA12" s="5">
        <f t="shared" ca="1" si="23"/>
        <v>280.85000000000002</v>
      </c>
      <c r="AB12" s="5">
        <f t="shared" ca="1" si="24"/>
        <v>338.7</v>
      </c>
      <c r="AC12" s="5">
        <f t="shared" ca="1" si="25"/>
        <v>287.75</v>
      </c>
      <c r="AD12" s="5">
        <f t="shared" ca="1" si="26"/>
        <v>231.4</v>
      </c>
      <c r="AE12" s="5">
        <f t="shared" ca="1" si="27"/>
        <v>341.25</v>
      </c>
      <c r="AF12" s="5">
        <f t="shared" ca="1" si="28"/>
        <v>211.4</v>
      </c>
      <c r="AG12" s="5">
        <f t="shared" ca="1" si="29"/>
        <v>273.35000000000002</v>
      </c>
      <c r="AH12" s="5">
        <f t="shared" ca="1" si="30"/>
        <v>212.7</v>
      </c>
      <c r="AI12" s="5">
        <f t="shared" ca="1" si="31"/>
        <v>211.2</v>
      </c>
      <c r="AJ12" s="5">
        <f t="shared" ca="1" si="32"/>
        <v>316.55</v>
      </c>
      <c r="AK12" s="5">
        <f t="shared" ca="1" si="33"/>
        <v>229.6</v>
      </c>
      <c r="AL12" s="5">
        <f t="shared" ca="1" si="34"/>
        <v>370.95</v>
      </c>
      <c r="AM12" s="5">
        <f t="shared" ca="1" si="35"/>
        <v>237.15</v>
      </c>
      <c r="AN12" s="5">
        <f t="shared" ca="1" si="36"/>
        <v>199.75</v>
      </c>
      <c r="AO12" s="5">
        <f t="shared" ca="1" si="37"/>
        <v>231.9</v>
      </c>
      <c r="AP12" s="5">
        <f t="shared" ca="1" si="38"/>
        <v>268.10000000000002</v>
      </c>
      <c r="AQ12" s="5">
        <f t="shared" ca="1" si="39"/>
        <v>247.4</v>
      </c>
      <c r="AR12" s="5">
        <f t="shared" ca="1" si="40"/>
        <v>193.95</v>
      </c>
      <c r="AS12" s="5">
        <f t="shared" ca="1" si="41"/>
        <v>316.45</v>
      </c>
      <c r="AT12" s="5">
        <f t="shared" ca="1" si="42"/>
        <v>337.55</v>
      </c>
      <c r="AU12" s="5">
        <f t="shared" ca="1" si="43"/>
        <v>243.2</v>
      </c>
      <c r="AV12" s="5">
        <f t="shared" ca="1" si="44"/>
        <v>264.55</v>
      </c>
      <c r="AW12" s="5">
        <f t="shared" ca="1" si="45"/>
        <v>302.55</v>
      </c>
      <c r="AX12" s="5">
        <f t="shared" ca="1" si="46"/>
        <v>258.25</v>
      </c>
      <c r="AY12" s="5">
        <f t="shared" ca="1" si="47"/>
        <v>253.2</v>
      </c>
      <c r="AZ12" s="5">
        <f t="shared" ca="1" si="48"/>
        <v>299.75</v>
      </c>
      <c r="BA12" s="5">
        <f t="shared" ca="1" si="49"/>
        <v>233.6</v>
      </c>
      <c r="BB12" s="5">
        <f t="shared" ca="1" si="50"/>
        <v>235.25</v>
      </c>
      <c r="BC12" s="5">
        <f t="shared" ca="1" si="51"/>
        <v>258.75</v>
      </c>
      <c r="BD12" s="5">
        <f t="shared" ca="1" si="52"/>
        <v>243.6</v>
      </c>
      <c r="BE12" s="5">
        <f t="shared" ca="1" si="53"/>
        <v>319.2</v>
      </c>
      <c r="BF12" s="5">
        <f t="shared" ca="1" si="54"/>
        <v>242.95</v>
      </c>
      <c r="BG12" s="5">
        <f t="shared" ca="1" si="55"/>
        <v>429.85</v>
      </c>
      <c r="BH12" s="5">
        <f t="shared" ca="1" si="56"/>
        <v>291.25</v>
      </c>
      <c r="BI12" s="5">
        <f t="shared" ca="1" si="57"/>
        <v>254.85</v>
      </c>
      <c r="BJ12" s="5">
        <f t="shared" ca="1" si="58"/>
        <v>339.95</v>
      </c>
      <c r="BK12" s="5">
        <f t="shared" ca="1" si="59"/>
        <v>207.9</v>
      </c>
      <c r="BL12" s="5">
        <f t="shared" ca="1" si="60"/>
        <v>252.3</v>
      </c>
      <c r="BM12" s="5">
        <f t="shared" ca="1" si="61"/>
        <v>158.94999999999999</v>
      </c>
      <c r="BN12" s="5">
        <f t="shared" ca="1" si="62"/>
        <v>300.55</v>
      </c>
      <c r="BO12" s="5">
        <f t="shared" ca="1" si="63"/>
        <v>264.3</v>
      </c>
      <c r="BP12" s="5">
        <f t="shared" ca="1" si="64"/>
        <v>240.85</v>
      </c>
      <c r="BQ12" s="5">
        <f t="shared" ca="1" si="65"/>
        <v>328.25</v>
      </c>
      <c r="BR12" s="5">
        <f t="shared" ca="1" si="66"/>
        <v>180.2</v>
      </c>
      <c r="BS12" s="5">
        <f t="shared" ca="1" si="67"/>
        <v>264.7</v>
      </c>
      <c r="BT12" s="5">
        <f t="shared" ca="1" si="68"/>
        <v>225.65</v>
      </c>
      <c r="BU12" s="5">
        <f t="shared" ca="1" si="69"/>
        <v>251.15</v>
      </c>
      <c r="BV12" s="5">
        <f t="shared" ca="1" si="5"/>
        <v>302.95</v>
      </c>
      <c r="BW12" s="5">
        <f t="shared" ca="1" si="70"/>
        <v>359.25</v>
      </c>
      <c r="BX12" s="5">
        <f t="shared" ca="1" si="71"/>
        <v>176.4</v>
      </c>
      <c r="BY12" s="5">
        <f t="shared" ca="1" si="72"/>
        <v>439.6</v>
      </c>
      <c r="BZ12" s="5">
        <f t="shared" ca="1" si="73"/>
        <v>245.8</v>
      </c>
      <c r="CA12" s="5">
        <f t="shared" ca="1" si="74"/>
        <v>316.55</v>
      </c>
      <c r="CB12" s="5">
        <f t="shared" ca="1" si="75"/>
        <v>371.75</v>
      </c>
      <c r="CC12" s="5">
        <f t="shared" ca="1" si="76"/>
        <v>244.3</v>
      </c>
      <c r="CD12" s="5">
        <f t="shared" ca="1" si="77"/>
        <v>254.95</v>
      </c>
      <c r="CE12" s="5">
        <f t="shared" ca="1" si="78"/>
        <v>201.75</v>
      </c>
      <c r="CF12" s="5">
        <f t="shared" ca="1" si="79"/>
        <v>209.6</v>
      </c>
      <c r="CG12" s="5">
        <f t="shared" ca="1" si="80"/>
        <v>341.1</v>
      </c>
      <c r="CH12" s="5">
        <f t="shared" ca="1" si="81"/>
        <v>233.4</v>
      </c>
      <c r="CI12" s="5">
        <f t="shared" ca="1" si="82"/>
        <v>330.9</v>
      </c>
      <c r="CJ12" s="5">
        <f t="shared" ca="1" si="83"/>
        <v>336.6</v>
      </c>
      <c r="CK12" s="5">
        <f t="shared" ca="1" si="84"/>
        <v>220.05</v>
      </c>
      <c r="CL12" s="5">
        <f t="shared" ca="1" si="85"/>
        <v>310.75</v>
      </c>
      <c r="CM12" s="5">
        <f t="shared" ca="1" si="86"/>
        <v>283</v>
      </c>
      <c r="CN12" s="5">
        <f t="shared" ca="1" si="87"/>
        <v>331.3</v>
      </c>
      <c r="CO12" s="5">
        <f t="shared" ca="1" si="88"/>
        <v>330.4</v>
      </c>
      <c r="CP12" s="5">
        <f t="shared" ca="1" si="89"/>
        <v>221.65</v>
      </c>
      <c r="CQ12" s="5">
        <f t="shared" ca="1" si="90"/>
        <v>278.14999999999998</v>
      </c>
      <c r="CR12" s="5">
        <f t="shared" ca="1" si="91"/>
        <v>207.8</v>
      </c>
      <c r="CS12" s="5">
        <f t="shared" ca="1" si="92"/>
        <v>323.95</v>
      </c>
      <c r="CT12" s="5">
        <f t="shared" ca="1" si="93"/>
        <v>254.3</v>
      </c>
      <c r="CU12" s="5">
        <f t="shared" ca="1" si="94"/>
        <v>282.3</v>
      </c>
      <c r="CV12" s="5">
        <f t="shared" ca="1" si="95"/>
        <v>206.2</v>
      </c>
      <c r="CW12" s="5">
        <f t="shared" ca="1" si="96"/>
        <v>272.95</v>
      </c>
      <c r="CX12" s="5">
        <f t="shared" ca="1" si="97"/>
        <v>286.3</v>
      </c>
      <c r="CY12" s="5">
        <f t="shared" ca="1" si="98"/>
        <v>288.25</v>
      </c>
      <c r="CZ12" s="5">
        <f t="shared" ca="1" si="99"/>
        <v>295.60000000000002</v>
      </c>
      <c r="DA12" s="5">
        <f t="shared" ca="1" si="100"/>
        <v>304.45</v>
      </c>
      <c r="DB12" s="5">
        <f t="shared" ca="1" si="101"/>
        <v>376.65</v>
      </c>
      <c r="DC12" s="5">
        <f t="shared" ca="1" si="102"/>
        <v>234.15</v>
      </c>
      <c r="DD12" s="5">
        <f t="shared" ca="1" si="103"/>
        <v>387</v>
      </c>
      <c r="DE12" s="5">
        <f t="shared" ca="1" si="104"/>
        <v>298</v>
      </c>
      <c r="DF12" s="5">
        <f t="shared" ca="1" si="105"/>
        <v>248.15</v>
      </c>
      <c r="DG12" s="5">
        <f t="shared" ca="1" si="106"/>
        <v>364.75</v>
      </c>
      <c r="DH12" s="5">
        <f t="shared" ca="1" si="107"/>
        <v>184.35</v>
      </c>
      <c r="DI12" s="5">
        <f t="shared" ca="1" si="108"/>
        <v>263.3</v>
      </c>
      <c r="DJ12" s="5">
        <f t="shared" ca="1" si="109"/>
        <v>311.60000000000002</v>
      </c>
      <c r="DK12" s="5">
        <f t="shared" ca="1" si="110"/>
        <v>325.60000000000002</v>
      </c>
      <c r="DL12" s="5">
        <f t="shared" ca="1" si="111"/>
        <v>211.35</v>
      </c>
      <c r="DM12" s="5">
        <f t="shared" ca="1" si="112"/>
        <v>275.55</v>
      </c>
      <c r="DN12" s="5">
        <f t="shared" ca="1" si="113"/>
        <v>224.65</v>
      </c>
      <c r="DO12" s="5">
        <f t="shared" ca="1" si="114"/>
        <v>365.25</v>
      </c>
      <c r="DP12" s="5">
        <f t="shared" ca="1" si="115"/>
        <v>273.05</v>
      </c>
      <c r="DQ12" s="5">
        <f t="shared" ca="1" si="116"/>
        <v>238.65</v>
      </c>
      <c r="DR12" s="5">
        <f t="shared" ca="1" si="117"/>
        <v>197.45</v>
      </c>
      <c r="DS12" s="5">
        <f t="shared" ca="1" si="118"/>
        <v>282.60000000000002</v>
      </c>
      <c r="DT12" s="5">
        <f t="shared" ca="1" si="119"/>
        <v>250.65</v>
      </c>
      <c r="DU12" s="5">
        <f t="shared" ca="1" si="120"/>
        <v>321.55</v>
      </c>
      <c r="DV12" s="5">
        <f t="shared" ca="1" si="121"/>
        <v>246.25</v>
      </c>
      <c r="DW12" s="5">
        <f t="shared" ca="1" si="122"/>
        <v>206.7</v>
      </c>
      <c r="DX12" s="5">
        <f t="shared" ca="1" si="123"/>
        <v>381.95</v>
      </c>
      <c r="DY12" s="5">
        <f t="shared" ca="1" si="124"/>
        <v>239.7</v>
      </c>
      <c r="DZ12" s="5">
        <f t="shared" ca="1" si="125"/>
        <v>247.15</v>
      </c>
      <c r="EA12" s="5">
        <f t="shared" ca="1" si="126"/>
        <v>296.75</v>
      </c>
      <c r="EB12" s="5">
        <f t="shared" ca="1" si="127"/>
        <v>455.15</v>
      </c>
      <c r="EC12" s="5">
        <f t="shared" ca="1" si="128"/>
        <v>392.9</v>
      </c>
      <c r="ED12" s="5">
        <f t="shared" ca="1" si="129"/>
        <v>306.95</v>
      </c>
      <c r="EE12" s="5">
        <f t="shared" ca="1" si="130"/>
        <v>261.05</v>
      </c>
      <c r="EF12" s="5">
        <f t="shared" ca="1" si="131"/>
        <v>291.35000000000002</v>
      </c>
      <c r="EG12" s="5">
        <f t="shared" ca="1" si="132"/>
        <v>227.9</v>
      </c>
      <c r="EH12" s="5">
        <f t="shared" ca="1" si="6"/>
        <v>224</v>
      </c>
      <c r="EI12" s="5">
        <f t="shared" ca="1" si="3"/>
        <v>240.85</v>
      </c>
      <c r="EJ12" s="5">
        <f t="shared" ca="1" si="3"/>
        <v>289.5</v>
      </c>
      <c r="EK12" s="5">
        <f t="shared" ca="1" si="3"/>
        <v>217.2</v>
      </c>
      <c r="EL12" s="5">
        <f t="shared" ca="1" si="3"/>
        <v>312.45</v>
      </c>
      <c r="EM12" s="5">
        <f t="shared" ca="1" si="3"/>
        <v>248.2</v>
      </c>
      <c r="EN12" s="5">
        <f t="shared" ca="1" si="3"/>
        <v>261.89999999999998</v>
      </c>
      <c r="EO12" s="5">
        <f t="shared" ca="1" si="3"/>
        <v>252.2</v>
      </c>
      <c r="EP12" s="5">
        <f t="shared" ca="1" si="3"/>
        <v>255.85</v>
      </c>
      <c r="EQ12" s="5">
        <f t="shared" ca="1" si="3"/>
        <v>240.35</v>
      </c>
      <c r="ER12" s="5">
        <f t="shared" ca="1" si="3"/>
        <v>259.14999999999998</v>
      </c>
      <c r="ES12" s="5">
        <f t="shared" ca="1" si="3"/>
        <v>402.75</v>
      </c>
      <c r="ET12" s="5">
        <f t="shared" ca="1" si="3"/>
        <v>256.45</v>
      </c>
      <c r="EU12" s="5">
        <f t="shared" ca="1" si="3"/>
        <v>230.25</v>
      </c>
      <c r="EV12" s="5">
        <f t="shared" ca="1" si="3"/>
        <v>282.8</v>
      </c>
      <c r="EW12" s="5">
        <f t="shared" ca="1" si="3"/>
        <v>292.95</v>
      </c>
      <c r="EX12" s="5">
        <f t="shared" ca="1" si="3"/>
        <v>347</v>
      </c>
    </row>
    <row r="13" spans="1:154" s="4" customFormat="1" x14ac:dyDescent="0.3">
      <c r="A13" s="3">
        <v>42786</v>
      </c>
      <c r="B13" s="4">
        <v>266.45</v>
      </c>
      <c r="C13" s="4">
        <f t="shared" si="0"/>
        <v>2.7586644264671688E-2</v>
      </c>
      <c r="J13" s="5">
        <f t="shared" ca="1" si="4"/>
        <v>266</v>
      </c>
      <c r="K13" s="5">
        <f t="shared" ca="1" si="7"/>
        <v>333.15</v>
      </c>
      <c r="L13" s="5">
        <f t="shared" ca="1" si="8"/>
        <v>157.35</v>
      </c>
      <c r="M13" s="5">
        <f t="shared" ca="1" si="9"/>
        <v>230.85</v>
      </c>
      <c r="N13" s="5">
        <f t="shared" ca="1" si="10"/>
        <v>190.9</v>
      </c>
      <c r="O13" s="5">
        <f t="shared" ca="1" si="11"/>
        <v>341.7</v>
      </c>
      <c r="P13" s="5">
        <f t="shared" ca="1" si="12"/>
        <v>236.25</v>
      </c>
      <c r="Q13" s="5">
        <f t="shared" ca="1" si="13"/>
        <v>350.6</v>
      </c>
      <c r="R13" s="5">
        <f t="shared" ca="1" si="14"/>
        <v>399.3</v>
      </c>
      <c r="S13" s="5">
        <f t="shared" ca="1" si="15"/>
        <v>229.4</v>
      </c>
      <c r="T13" s="5">
        <f t="shared" ca="1" si="16"/>
        <v>281.89999999999998</v>
      </c>
      <c r="U13" s="5">
        <f t="shared" ca="1" si="17"/>
        <v>311.25</v>
      </c>
      <c r="V13" s="5">
        <f t="shared" ca="1" si="18"/>
        <v>219.65</v>
      </c>
      <c r="W13" s="5">
        <f t="shared" ca="1" si="19"/>
        <v>277.14999999999998</v>
      </c>
      <c r="X13" s="5">
        <f t="shared" ca="1" si="20"/>
        <v>375.7</v>
      </c>
      <c r="Y13" s="5">
        <f t="shared" ca="1" si="21"/>
        <v>247.2</v>
      </c>
      <c r="Z13" s="5">
        <f t="shared" ca="1" si="22"/>
        <v>310.25</v>
      </c>
      <c r="AA13" s="5">
        <f t="shared" ca="1" si="23"/>
        <v>320.14999999999998</v>
      </c>
      <c r="AB13" s="5">
        <f t="shared" ca="1" si="24"/>
        <v>307.64999999999998</v>
      </c>
      <c r="AC13" s="5">
        <f t="shared" ca="1" si="25"/>
        <v>292.8</v>
      </c>
      <c r="AD13" s="5">
        <f t="shared" ca="1" si="26"/>
        <v>244.15</v>
      </c>
      <c r="AE13" s="5">
        <f t="shared" ca="1" si="27"/>
        <v>348.25</v>
      </c>
      <c r="AF13" s="5">
        <f t="shared" ca="1" si="28"/>
        <v>217.4</v>
      </c>
      <c r="AG13" s="5">
        <f t="shared" ca="1" si="29"/>
        <v>250.2</v>
      </c>
      <c r="AH13" s="5">
        <f t="shared" ca="1" si="30"/>
        <v>219.1</v>
      </c>
      <c r="AI13" s="5">
        <f t="shared" ca="1" si="31"/>
        <v>227.6</v>
      </c>
      <c r="AJ13" s="5">
        <f t="shared" ca="1" si="32"/>
        <v>303.95</v>
      </c>
      <c r="AK13" s="5">
        <f t="shared" ca="1" si="33"/>
        <v>221.4</v>
      </c>
      <c r="AL13" s="5">
        <f t="shared" ca="1" si="34"/>
        <v>369.1</v>
      </c>
      <c r="AM13" s="5">
        <f t="shared" ca="1" si="35"/>
        <v>230.45</v>
      </c>
      <c r="AN13" s="5">
        <f t="shared" ca="1" si="36"/>
        <v>215.15</v>
      </c>
      <c r="AO13" s="5">
        <f t="shared" ca="1" si="37"/>
        <v>231.7</v>
      </c>
      <c r="AP13" s="5">
        <f t="shared" ca="1" si="38"/>
        <v>238.95</v>
      </c>
      <c r="AQ13" s="5">
        <f t="shared" ca="1" si="39"/>
        <v>261.75</v>
      </c>
      <c r="AR13" s="5">
        <f t="shared" ca="1" si="40"/>
        <v>174.4</v>
      </c>
      <c r="AS13" s="5">
        <f t="shared" ca="1" si="41"/>
        <v>321.7</v>
      </c>
      <c r="AT13" s="5">
        <f t="shared" ca="1" si="42"/>
        <v>326.7</v>
      </c>
      <c r="AU13" s="5">
        <f t="shared" ca="1" si="43"/>
        <v>196</v>
      </c>
      <c r="AV13" s="5">
        <f t="shared" ca="1" si="44"/>
        <v>263</v>
      </c>
      <c r="AW13" s="5">
        <f t="shared" ca="1" si="45"/>
        <v>294.25</v>
      </c>
      <c r="AX13" s="5">
        <f t="shared" ca="1" si="46"/>
        <v>279.5</v>
      </c>
      <c r="AY13" s="5">
        <f t="shared" ca="1" si="47"/>
        <v>280.10000000000002</v>
      </c>
      <c r="AZ13" s="5">
        <f t="shared" ca="1" si="48"/>
        <v>281.7</v>
      </c>
      <c r="BA13" s="5">
        <f t="shared" ca="1" si="49"/>
        <v>210.8</v>
      </c>
      <c r="BB13" s="5">
        <f t="shared" ca="1" si="50"/>
        <v>234.25</v>
      </c>
      <c r="BC13" s="5">
        <f t="shared" ca="1" si="51"/>
        <v>258.60000000000002</v>
      </c>
      <c r="BD13" s="5">
        <f t="shared" ca="1" si="52"/>
        <v>254.8</v>
      </c>
      <c r="BE13" s="5">
        <f t="shared" ca="1" si="53"/>
        <v>318.2</v>
      </c>
      <c r="BF13" s="5">
        <f t="shared" ca="1" si="54"/>
        <v>238.75</v>
      </c>
      <c r="BG13" s="5">
        <f t="shared" ca="1" si="55"/>
        <v>475.5</v>
      </c>
      <c r="BH13" s="5">
        <f t="shared" ca="1" si="56"/>
        <v>291.2</v>
      </c>
      <c r="BI13" s="5">
        <f t="shared" ca="1" si="57"/>
        <v>244.25</v>
      </c>
      <c r="BJ13" s="5">
        <f t="shared" ca="1" si="58"/>
        <v>308.8</v>
      </c>
      <c r="BK13" s="5">
        <f t="shared" ca="1" si="59"/>
        <v>223.35</v>
      </c>
      <c r="BL13" s="5">
        <f t="shared" ca="1" si="60"/>
        <v>283.55</v>
      </c>
      <c r="BM13" s="5">
        <f t="shared" ca="1" si="61"/>
        <v>142.5</v>
      </c>
      <c r="BN13" s="5">
        <f t="shared" ca="1" si="62"/>
        <v>292.45</v>
      </c>
      <c r="BO13" s="5">
        <f t="shared" ca="1" si="63"/>
        <v>272.25</v>
      </c>
      <c r="BP13" s="5">
        <f t="shared" ca="1" si="64"/>
        <v>248.05</v>
      </c>
      <c r="BQ13" s="5">
        <f t="shared" ca="1" si="65"/>
        <v>353.9</v>
      </c>
      <c r="BR13" s="5">
        <f t="shared" ca="1" si="66"/>
        <v>194.3</v>
      </c>
      <c r="BS13" s="5">
        <f t="shared" ca="1" si="67"/>
        <v>257.35000000000002</v>
      </c>
      <c r="BT13" s="5">
        <f t="shared" ca="1" si="68"/>
        <v>202.75</v>
      </c>
      <c r="BU13" s="5">
        <f t="shared" ca="1" si="69"/>
        <v>276.5</v>
      </c>
      <c r="BV13" s="5">
        <f t="shared" ca="1" si="5"/>
        <v>325.35000000000002</v>
      </c>
      <c r="BW13" s="5">
        <f t="shared" ca="1" si="70"/>
        <v>396.9</v>
      </c>
      <c r="BX13" s="5">
        <f t="shared" ca="1" si="71"/>
        <v>186.3</v>
      </c>
      <c r="BY13" s="5">
        <f t="shared" ca="1" si="72"/>
        <v>416.1</v>
      </c>
      <c r="BZ13" s="5">
        <f t="shared" ca="1" si="73"/>
        <v>225.15</v>
      </c>
      <c r="CA13" s="5">
        <f t="shared" ca="1" si="74"/>
        <v>327.55</v>
      </c>
      <c r="CB13" s="5">
        <f t="shared" ca="1" si="75"/>
        <v>386.25</v>
      </c>
      <c r="CC13" s="5">
        <f t="shared" ca="1" si="76"/>
        <v>243.25</v>
      </c>
      <c r="CD13" s="5">
        <f t="shared" ca="1" si="77"/>
        <v>242.25</v>
      </c>
      <c r="CE13" s="5">
        <f t="shared" ca="1" si="78"/>
        <v>179.7</v>
      </c>
      <c r="CF13" s="5">
        <f t="shared" ca="1" si="79"/>
        <v>224.45</v>
      </c>
      <c r="CG13" s="5">
        <f t="shared" ca="1" si="80"/>
        <v>323.25</v>
      </c>
      <c r="CH13" s="5">
        <f t="shared" ca="1" si="81"/>
        <v>239.75</v>
      </c>
      <c r="CI13" s="5">
        <f t="shared" ca="1" si="82"/>
        <v>339</v>
      </c>
      <c r="CJ13" s="5">
        <f t="shared" ca="1" si="83"/>
        <v>338</v>
      </c>
      <c r="CK13" s="5">
        <f t="shared" ca="1" si="84"/>
        <v>202.9</v>
      </c>
      <c r="CL13" s="5">
        <f t="shared" ca="1" si="85"/>
        <v>312.39999999999998</v>
      </c>
      <c r="CM13" s="5">
        <f t="shared" ca="1" si="86"/>
        <v>267.89999999999998</v>
      </c>
      <c r="CN13" s="5">
        <f t="shared" ca="1" si="87"/>
        <v>314.8</v>
      </c>
      <c r="CO13" s="5">
        <f t="shared" ca="1" si="88"/>
        <v>341.7</v>
      </c>
      <c r="CP13" s="5">
        <f t="shared" ca="1" si="89"/>
        <v>221.75</v>
      </c>
      <c r="CQ13" s="5">
        <f t="shared" ca="1" si="90"/>
        <v>281.89999999999998</v>
      </c>
      <c r="CR13" s="5">
        <f t="shared" ca="1" si="91"/>
        <v>203.65</v>
      </c>
      <c r="CS13" s="5">
        <f t="shared" ca="1" si="92"/>
        <v>345.15</v>
      </c>
      <c r="CT13" s="5">
        <f t="shared" ca="1" si="93"/>
        <v>255.6</v>
      </c>
      <c r="CU13" s="5">
        <f t="shared" ca="1" si="94"/>
        <v>295.75</v>
      </c>
      <c r="CV13" s="5">
        <f t="shared" ca="1" si="95"/>
        <v>237.2</v>
      </c>
      <c r="CW13" s="5">
        <f t="shared" ca="1" si="96"/>
        <v>276.5</v>
      </c>
      <c r="CX13" s="5">
        <f t="shared" ca="1" si="97"/>
        <v>319.60000000000002</v>
      </c>
      <c r="CY13" s="5">
        <f t="shared" ca="1" si="98"/>
        <v>282.05</v>
      </c>
      <c r="CZ13" s="5">
        <f t="shared" ca="1" si="99"/>
        <v>295.10000000000002</v>
      </c>
      <c r="DA13" s="5">
        <f t="shared" ca="1" si="100"/>
        <v>309.45</v>
      </c>
      <c r="DB13" s="5">
        <f t="shared" ca="1" si="101"/>
        <v>387.95</v>
      </c>
      <c r="DC13" s="5">
        <f t="shared" ca="1" si="102"/>
        <v>238.7</v>
      </c>
      <c r="DD13" s="5">
        <f t="shared" ca="1" si="103"/>
        <v>413.6</v>
      </c>
      <c r="DE13" s="5">
        <f t="shared" ca="1" si="104"/>
        <v>311.89999999999998</v>
      </c>
      <c r="DF13" s="5">
        <f t="shared" ca="1" si="105"/>
        <v>251.25</v>
      </c>
      <c r="DG13" s="5">
        <f t="shared" ca="1" si="106"/>
        <v>416.3</v>
      </c>
      <c r="DH13" s="5">
        <f t="shared" ca="1" si="107"/>
        <v>188.3</v>
      </c>
      <c r="DI13" s="5">
        <f t="shared" ca="1" si="108"/>
        <v>249.75</v>
      </c>
      <c r="DJ13" s="5">
        <f t="shared" ca="1" si="109"/>
        <v>301.89999999999998</v>
      </c>
      <c r="DK13" s="5">
        <f t="shared" ca="1" si="110"/>
        <v>318.64999999999998</v>
      </c>
      <c r="DL13" s="5">
        <f t="shared" ca="1" si="111"/>
        <v>213.6</v>
      </c>
      <c r="DM13" s="5">
        <f t="shared" ca="1" si="112"/>
        <v>275.95</v>
      </c>
      <c r="DN13" s="5">
        <f t="shared" ca="1" si="113"/>
        <v>223.55</v>
      </c>
      <c r="DO13" s="5">
        <f t="shared" ca="1" si="114"/>
        <v>360.5</v>
      </c>
      <c r="DP13" s="5">
        <f t="shared" ca="1" si="115"/>
        <v>265.35000000000002</v>
      </c>
      <c r="DQ13" s="5">
        <f t="shared" ca="1" si="116"/>
        <v>222.3</v>
      </c>
      <c r="DR13" s="5">
        <f t="shared" ca="1" si="117"/>
        <v>209.8</v>
      </c>
      <c r="DS13" s="5">
        <f t="shared" ca="1" si="118"/>
        <v>283.64999999999998</v>
      </c>
      <c r="DT13" s="5">
        <f t="shared" ca="1" si="119"/>
        <v>298.10000000000002</v>
      </c>
      <c r="DU13" s="5">
        <f t="shared" ca="1" si="120"/>
        <v>292.5</v>
      </c>
      <c r="DV13" s="5">
        <f t="shared" ca="1" si="121"/>
        <v>231.85</v>
      </c>
      <c r="DW13" s="5">
        <f t="shared" ca="1" si="122"/>
        <v>200.85</v>
      </c>
      <c r="DX13" s="5">
        <f t="shared" ca="1" si="123"/>
        <v>352.65</v>
      </c>
      <c r="DY13" s="5">
        <f t="shared" ca="1" si="124"/>
        <v>254.85</v>
      </c>
      <c r="DZ13" s="5">
        <f t="shared" ca="1" si="125"/>
        <v>245.6</v>
      </c>
      <c r="EA13" s="5">
        <f t="shared" ca="1" si="126"/>
        <v>282.10000000000002</v>
      </c>
      <c r="EB13" s="5">
        <f t="shared" ca="1" si="127"/>
        <v>473.55</v>
      </c>
      <c r="EC13" s="5">
        <f t="shared" ca="1" si="128"/>
        <v>426.95</v>
      </c>
      <c r="ED13" s="5">
        <f t="shared" ca="1" si="129"/>
        <v>307.35000000000002</v>
      </c>
      <c r="EE13" s="5">
        <f t="shared" ca="1" si="130"/>
        <v>278</v>
      </c>
      <c r="EF13" s="5">
        <f t="shared" ca="1" si="131"/>
        <v>286.7</v>
      </c>
      <c r="EG13" s="5">
        <f t="shared" ca="1" si="132"/>
        <v>243.2</v>
      </c>
      <c r="EH13" s="5">
        <f t="shared" ca="1" si="6"/>
        <v>212.4</v>
      </c>
      <c r="EI13" s="5">
        <f t="shared" ca="1" si="3"/>
        <v>259.55</v>
      </c>
      <c r="EJ13" s="5">
        <f t="shared" ca="1" si="3"/>
        <v>286.14999999999998</v>
      </c>
      <c r="EK13" s="5">
        <f t="shared" ca="1" si="3"/>
        <v>238.4</v>
      </c>
      <c r="EL13" s="5">
        <f t="shared" ca="1" si="3"/>
        <v>298.35000000000002</v>
      </c>
      <c r="EM13" s="5">
        <f t="shared" ca="1" si="3"/>
        <v>270.10000000000002</v>
      </c>
      <c r="EN13" s="5">
        <f t="shared" ca="1" si="3"/>
        <v>270.3</v>
      </c>
      <c r="EO13" s="5">
        <f t="shared" ca="1" si="3"/>
        <v>264.05</v>
      </c>
      <c r="EP13" s="5">
        <f t="shared" ca="1" si="3"/>
        <v>238.5</v>
      </c>
      <c r="EQ13" s="5">
        <f t="shared" ca="1" si="3"/>
        <v>268.85000000000002</v>
      </c>
      <c r="ER13" s="5">
        <f t="shared" ca="1" si="3"/>
        <v>269.7</v>
      </c>
      <c r="ES13" s="5">
        <f t="shared" ca="1" si="3"/>
        <v>388.6</v>
      </c>
      <c r="ET13" s="5">
        <f t="shared" ca="1" si="3"/>
        <v>244</v>
      </c>
      <c r="EU13" s="5">
        <f t="shared" ca="1" si="3"/>
        <v>229.85</v>
      </c>
      <c r="EV13" s="5">
        <f t="shared" ca="1" si="3"/>
        <v>310.2</v>
      </c>
      <c r="EW13" s="5">
        <f t="shared" ca="1" si="3"/>
        <v>299.55</v>
      </c>
      <c r="EX13" s="5">
        <f t="shared" ca="1" si="3"/>
        <v>347.35</v>
      </c>
    </row>
    <row r="14" spans="1:154" s="4" customFormat="1" x14ac:dyDescent="0.3">
      <c r="A14" s="3">
        <v>42787</v>
      </c>
      <c r="B14" s="4">
        <v>259.2</v>
      </c>
      <c r="C14" s="4">
        <f t="shared" si="0"/>
        <v>0</v>
      </c>
      <c r="J14" s="5">
        <f t="shared" ca="1" si="4"/>
        <v>275.10000000000002</v>
      </c>
      <c r="K14" s="5">
        <f t="shared" ca="1" si="7"/>
        <v>309.5</v>
      </c>
      <c r="L14" s="5">
        <f t="shared" ca="1" si="8"/>
        <v>152.85</v>
      </c>
      <c r="M14" s="5">
        <f t="shared" ca="1" si="9"/>
        <v>233.3</v>
      </c>
      <c r="N14" s="5">
        <f t="shared" ca="1" si="10"/>
        <v>173.4</v>
      </c>
      <c r="O14" s="5">
        <f t="shared" ca="1" si="11"/>
        <v>353</v>
      </c>
      <c r="P14" s="5">
        <f t="shared" ca="1" si="12"/>
        <v>209.4</v>
      </c>
      <c r="Q14" s="5">
        <f t="shared" ca="1" si="13"/>
        <v>319.35000000000002</v>
      </c>
      <c r="R14" s="5">
        <f t="shared" ca="1" si="14"/>
        <v>448.3</v>
      </c>
      <c r="S14" s="5">
        <f t="shared" ca="1" si="15"/>
        <v>231.3</v>
      </c>
      <c r="T14" s="5">
        <f t="shared" ca="1" si="16"/>
        <v>309.64999999999998</v>
      </c>
      <c r="U14" s="5">
        <f t="shared" ca="1" si="17"/>
        <v>321.75</v>
      </c>
      <c r="V14" s="5">
        <f t="shared" ca="1" si="18"/>
        <v>227.1</v>
      </c>
      <c r="W14" s="5">
        <f t="shared" ca="1" si="19"/>
        <v>295.10000000000002</v>
      </c>
      <c r="X14" s="5">
        <f t="shared" ca="1" si="20"/>
        <v>356.8</v>
      </c>
      <c r="Y14" s="5">
        <f t="shared" ca="1" si="21"/>
        <v>257</v>
      </c>
      <c r="Z14" s="5">
        <f t="shared" ca="1" si="22"/>
        <v>287.75</v>
      </c>
      <c r="AA14" s="5">
        <f t="shared" ca="1" si="23"/>
        <v>333.5</v>
      </c>
      <c r="AB14" s="5">
        <f t="shared" ca="1" si="24"/>
        <v>291.89999999999998</v>
      </c>
      <c r="AC14" s="5">
        <f t="shared" ca="1" si="25"/>
        <v>342.9</v>
      </c>
      <c r="AD14" s="5">
        <f t="shared" ca="1" si="26"/>
        <v>245.95</v>
      </c>
      <c r="AE14" s="5">
        <f t="shared" ca="1" si="27"/>
        <v>335.65</v>
      </c>
      <c r="AF14" s="5">
        <f t="shared" ca="1" si="28"/>
        <v>218.6</v>
      </c>
      <c r="AG14" s="5">
        <f t="shared" ca="1" si="29"/>
        <v>228.65</v>
      </c>
      <c r="AH14" s="5">
        <f t="shared" ca="1" si="30"/>
        <v>208.15</v>
      </c>
      <c r="AI14" s="5">
        <f t="shared" ca="1" si="31"/>
        <v>253.65</v>
      </c>
      <c r="AJ14" s="5">
        <f t="shared" ca="1" si="32"/>
        <v>278</v>
      </c>
      <c r="AK14" s="5">
        <f t="shared" ca="1" si="33"/>
        <v>228.7</v>
      </c>
      <c r="AL14" s="5">
        <f t="shared" ca="1" si="34"/>
        <v>393.05</v>
      </c>
      <c r="AM14" s="5">
        <f t="shared" ca="1" si="35"/>
        <v>227.75</v>
      </c>
      <c r="AN14" s="5">
        <f t="shared" ca="1" si="36"/>
        <v>209.25</v>
      </c>
      <c r="AO14" s="5">
        <f t="shared" ca="1" si="37"/>
        <v>233.15</v>
      </c>
      <c r="AP14" s="5">
        <f t="shared" ca="1" si="38"/>
        <v>240.1</v>
      </c>
      <c r="AQ14" s="5">
        <f t="shared" ca="1" si="39"/>
        <v>239.65</v>
      </c>
      <c r="AR14" s="5">
        <f t="shared" ca="1" si="40"/>
        <v>189.7</v>
      </c>
      <c r="AS14" s="5">
        <f t="shared" ca="1" si="41"/>
        <v>313.35000000000002</v>
      </c>
      <c r="AT14" s="5">
        <f t="shared" ca="1" si="42"/>
        <v>332.1</v>
      </c>
      <c r="AU14" s="5">
        <f t="shared" ca="1" si="43"/>
        <v>204.8</v>
      </c>
      <c r="AV14" s="5">
        <f t="shared" ca="1" si="44"/>
        <v>252.65</v>
      </c>
      <c r="AW14" s="5">
        <f t="shared" ca="1" si="45"/>
        <v>268.5</v>
      </c>
      <c r="AX14" s="5">
        <f t="shared" ca="1" si="46"/>
        <v>246.05</v>
      </c>
      <c r="AY14" s="5">
        <f t="shared" ca="1" si="47"/>
        <v>277.5</v>
      </c>
      <c r="AZ14" s="5">
        <f t="shared" ca="1" si="48"/>
        <v>267.25</v>
      </c>
      <c r="BA14" s="5">
        <f t="shared" ca="1" si="49"/>
        <v>201.1</v>
      </c>
      <c r="BB14" s="5">
        <f t="shared" ca="1" si="50"/>
        <v>240.2</v>
      </c>
      <c r="BC14" s="5">
        <f t="shared" ca="1" si="51"/>
        <v>231.1</v>
      </c>
      <c r="BD14" s="5">
        <f t="shared" ca="1" si="52"/>
        <v>248.4</v>
      </c>
      <c r="BE14" s="5">
        <f t="shared" ca="1" si="53"/>
        <v>301.2</v>
      </c>
      <c r="BF14" s="5">
        <f t="shared" ca="1" si="54"/>
        <v>249.45</v>
      </c>
      <c r="BG14" s="5">
        <f t="shared" ca="1" si="55"/>
        <v>484.85</v>
      </c>
      <c r="BH14" s="5">
        <f t="shared" ca="1" si="56"/>
        <v>293.05</v>
      </c>
      <c r="BI14" s="5">
        <f t="shared" ca="1" si="57"/>
        <v>237.05</v>
      </c>
      <c r="BJ14" s="5">
        <f t="shared" ca="1" si="58"/>
        <v>325.10000000000002</v>
      </c>
      <c r="BK14" s="5">
        <f t="shared" ca="1" si="59"/>
        <v>205.9</v>
      </c>
      <c r="BL14" s="5">
        <f t="shared" ca="1" si="60"/>
        <v>265.3</v>
      </c>
      <c r="BM14" s="5">
        <f t="shared" ca="1" si="61"/>
        <v>146.25</v>
      </c>
      <c r="BN14" s="5">
        <f t="shared" ca="1" si="62"/>
        <v>300.2</v>
      </c>
      <c r="BO14" s="5">
        <f t="shared" ca="1" si="63"/>
        <v>286.14999999999998</v>
      </c>
      <c r="BP14" s="5">
        <f t="shared" ca="1" si="64"/>
        <v>248.4</v>
      </c>
      <c r="BQ14" s="5">
        <f t="shared" ca="1" si="65"/>
        <v>345.05</v>
      </c>
      <c r="BR14" s="5">
        <f t="shared" ca="1" si="66"/>
        <v>191.8</v>
      </c>
      <c r="BS14" s="5">
        <f t="shared" ca="1" si="67"/>
        <v>261.45</v>
      </c>
      <c r="BT14" s="5">
        <f t="shared" ca="1" si="68"/>
        <v>202.55</v>
      </c>
      <c r="BU14" s="5">
        <f t="shared" ca="1" si="69"/>
        <v>251.35</v>
      </c>
      <c r="BV14" s="5">
        <f t="shared" ca="1" si="5"/>
        <v>324.3</v>
      </c>
      <c r="BW14" s="5">
        <f t="shared" ca="1" si="70"/>
        <v>392.7</v>
      </c>
      <c r="BX14" s="5">
        <f t="shared" ca="1" si="71"/>
        <v>180.65</v>
      </c>
      <c r="BY14" s="5">
        <f t="shared" ca="1" si="72"/>
        <v>386.3</v>
      </c>
      <c r="BZ14" s="5">
        <f t="shared" ca="1" si="73"/>
        <v>239.65</v>
      </c>
      <c r="CA14" s="5">
        <f t="shared" ca="1" si="74"/>
        <v>324.60000000000002</v>
      </c>
      <c r="CB14" s="5">
        <f t="shared" ca="1" si="75"/>
        <v>409.2</v>
      </c>
      <c r="CC14" s="5">
        <f t="shared" ca="1" si="76"/>
        <v>259.7</v>
      </c>
      <c r="CD14" s="5">
        <f t="shared" ca="1" si="77"/>
        <v>245.5</v>
      </c>
      <c r="CE14" s="5">
        <f t="shared" ca="1" si="78"/>
        <v>175.75</v>
      </c>
      <c r="CF14" s="5">
        <f t="shared" ca="1" si="79"/>
        <v>230.9</v>
      </c>
      <c r="CG14" s="5">
        <f t="shared" ca="1" si="80"/>
        <v>317.85000000000002</v>
      </c>
      <c r="CH14" s="5">
        <f t="shared" ca="1" si="81"/>
        <v>277.8</v>
      </c>
      <c r="CI14" s="5">
        <f t="shared" ca="1" si="82"/>
        <v>315</v>
      </c>
      <c r="CJ14" s="5">
        <f t="shared" ca="1" si="83"/>
        <v>303.3</v>
      </c>
      <c r="CK14" s="5">
        <f t="shared" ca="1" si="84"/>
        <v>214.05</v>
      </c>
      <c r="CL14" s="5">
        <f t="shared" ca="1" si="85"/>
        <v>316.3</v>
      </c>
      <c r="CM14" s="5">
        <f t="shared" ca="1" si="86"/>
        <v>287.60000000000002</v>
      </c>
      <c r="CN14" s="5">
        <f t="shared" ca="1" si="87"/>
        <v>324.3</v>
      </c>
      <c r="CO14" s="5">
        <f t="shared" ca="1" si="88"/>
        <v>341.75</v>
      </c>
      <c r="CP14" s="5">
        <f t="shared" ca="1" si="89"/>
        <v>234.8</v>
      </c>
      <c r="CQ14" s="5">
        <f t="shared" ca="1" si="90"/>
        <v>294.8</v>
      </c>
      <c r="CR14" s="5">
        <f t="shared" ca="1" si="91"/>
        <v>200.9</v>
      </c>
      <c r="CS14" s="5">
        <f t="shared" ca="1" si="92"/>
        <v>371.5</v>
      </c>
      <c r="CT14" s="5">
        <f t="shared" ca="1" si="93"/>
        <v>254.8</v>
      </c>
      <c r="CU14" s="5">
        <f t="shared" ca="1" si="94"/>
        <v>291.10000000000002</v>
      </c>
      <c r="CV14" s="5">
        <f t="shared" ca="1" si="95"/>
        <v>230.55</v>
      </c>
      <c r="CW14" s="5">
        <f t="shared" ca="1" si="96"/>
        <v>271.2</v>
      </c>
      <c r="CX14" s="5">
        <f t="shared" ca="1" si="97"/>
        <v>308.05</v>
      </c>
      <c r="CY14" s="5">
        <f t="shared" ca="1" si="98"/>
        <v>289.25</v>
      </c>
      <c r="CZ14" s="5">
        <f t="shared" ca="1" si="99"/>
        <v>280.85000000000002</v>
      </c>
      <c r="DA14" s="5">
        <f t="shared" ca="1" si="100"/>
        <v>269.85000000000002</v>
      </c>
      <c r="DB14" s="5">
        <f t="shared" ca="1" si="101"/>
        <v>395.1</v>
      </c>
      <c r="DC14" s="5">
        <f t="shared" ca="1" si="102"/>
        <v>254</v>
      </c>
      <c r="DD14" s="5">
        <f t="shared" ca="1" si="103"/>
        <v>439.4</v>
      </c>
      <c r="DE14" s="5">
        <f t="shared" ca="1" si="104"/>
        <v>287.3</v>
      </c>
      <c r="DF14" s="5">
        <f t="shared" ca="1" si="105"/>
        <v>246.9</v>
      </c>
      <c r="DG14" s="5">
        <f t="shared" ca="1" si="106"/>
        <v>384.25</v>
      </c>
      <c r="DH14" s="5">
        <f t="shared" ca="1" si="107"/>
        <v>201.4</v>
      </c>
      <c r="DI14" s="5">
        <f t="shared" ca="1" si="108"/>
        <v>250.25</v>
      </c>
      <c r="DJ14" s="5">
        <f t="shared" ca="1" si="109"/>
        <v>281.45</v>
      </c>
      <c r="DK14" s="5">
        <f t="shared" ca="1" si="110"/>
        <v>306.75</v>
      </c>
      <c r="DL14" s="5">
        <f t="shared" ca="1" si="111"/>
        <v>212.5</v>
      </c>
      <c r="DM14" s="5">
        <f t="shared" ca="1" si="112"/>
        <v>313.35000000000002</v>
      </c>
      <c r="DN14" s="5">
        <f t="shared" ca="1" si="113"/>
        <v>207.25</v>
      </c>
      <c r="DO14" s="5">
        <f t="shared" ca="1" si="114"/>
        <v>349.3</v>
      </c>
      <c r="DP14" s="5">
        <f t="shared" ca="1" si="115"/>
        <v>268.8</v>
      </c>
      <c r="DQ14" s="5">
        <f t="shared" ca="1" si="116"/>
        <v>195</v>
      </c>
      <c r="DR14" s="5">
        <f t="shared" ca="1" si="117"/>
        <v>212.15</v>
      </c>
      <c r="DS14" s="5">
        <f t="shared" ca="1" si="118"/>
        <v>329.05</v>
      </c>
      <c r="DT14" s="5">
        <f t="shared" ca="1" si="119"/>
        <v>326.64999999999998</v>
      </c>
      <c r="DU14" s="5">
        <f t="shared" ca="1" si="120"/>
        <v>318.25</v>
      </c>
      <c r="DV14" s="5">
        <f t="shared" ca="1" si="121"/>
        <v>248.55</v>
      </c>
      <c r="DW14" s="5">
        <f t="shared" ca="1" si="122"/>
        <v>222.05</v>
      </c>
      <c r="DX14" s="5">
        <f t="shared" ca="1" si="123"/>
        <v>314.35000000000002</v>
      </c>
      <c r="DY14" s="5">
        <f t="shared" ca="1" si="124"/>
        <v>229.6</v>
      </c>
      <c r="DZ14" s="5">
        <f t="shared" ca="1" si="125"/>
        <v>230.65</v>
      </c>
      <c r="EA14" s="5">
        <f t="shared" ca="1" si="126"/>
        <v>314.05</v>
      </c>
      <c r="EB14" s="5">
        <f t="shared" ca="1" si="127"/>
        <v>450.75</v>
      </c>
      <c r="EC14" s="5">
        <f t="shared" ca="1" si="128"/>
        <v>401.85</v>
      </c>
      <c r="ED14" s="5">
        <f t="shared" ca="1" si="129"/>
        <v>280.25</v>
      </c>
      <c r="EE14" s="5">
        <f t="shared" ca="1" si="130"/>
        <v>250</v>
      </c>
      <c r="EF14" s="5">
        <f t="shared" ca="1" si="131"/>
        <v>307.85000000000002</v>
      </c>
      <c r="EG14" s="5">
        <f t="shared" ca="1" si="132"/>
        <v>263.7</v>
      </c>
      <c r="EH14" s="5">
        <f t="shared" ca="1" si="6"/>
        <v>202.7</v>
      </c>
      <c r="EI14" s="5">
        <f t="shared" ca="1" si="3"/>
        <v>269.95</v>
      </c>
      <c r="EJ14" s="5">
        <f t="shared" ca="1" si="3"/>
        <v>325.35000000000002</v>
      </c>
      <c r="EK14" s="5">
        <f t="shared" ca="1" si="3"/>
        <v>255.5</v>
      </c>
      <c r="EL14" s="5">
        <f t="shared" ca="1" si="3"/>
        <v>284.5</v>
      </c>
      <c r="EM14" s="5">
        <f t="shared" ca="1" si="3"/>
        <v>257.64999999999998</v>
      </c>
      <c r="EN14" s="5">
        <f t="shared" ca="1" si="3"/>
        <v>226.6</v>
      </c>
      <c r="EO14" s="5">
        <f t="shared" ca="1" si="3"/>
        <v>287.75</v>
      </c>
      <c r="EP14" s="5">
        <f t="shared" ca="1" si="3"/>
        <v>235</v>
      </c>
      <c r="EQ14" s="5">
        <f t="shared" ca="1" si="3"/>
        <v>284.35000000000002</v>
      </c>
      <c r="ER14" s="5">
        <f t="shared" ca="1" si="3"/>
        <v>250.65</v>
      </c>
      <c r="ES14" s="5">
        <f t="shared" ca="1" si="3"/>
        <v>400.3</v>
      </c>
      <c r="ET14" s="5">
        <f t="shared" ca="1" si="3"/>
        <v>259.5</v>
      </c>
      <c r="EU14" s="5">
        <f t="shared" ca="1" si="3"/>
        <v>205.9</v>
      </c>
      <c r="EV14" s="5">
        <f t="shared" ca="1" si="3"/>
        <v>304.7</v>
      </c>
      <c r="EW14" s="5">
        <f t="shared" ca="1" si="3"/>
        <v>332.2</v>
      </c>
      <c r="EX14" s="5">
        <f t="shared" ca="1" si="3"/>
        <v>323.60000000000002</v>
      </c>
    </row>
    <row r="15" spans="1:154" s="4" customFormat="1" x14ac:dyDescent="0.3">
      <c r="A15" s="3">
        <v>42788</v>
      </c>
      <c r="B15" s="4">
        <v>259.2</v>
      </c>
      <c r="C15" s="4">
        <f t="shared" si="0"/>
        <v>1.6728653096049904E-2</v>
      </c>
      <c r="J15" s="5">
        <f t="shared" ca="1" si="4"/>
        <v>297.45</v>
      </c>
      <c r="K15" s="5">
        <f t="shared" ca="1" si="7"/>
        <v>312.75</v>
      </c>
      <c r="L15" s="5">
        <f t="shared" ca="1" si="8"/>
        <v>145.44999999999999</v>
      </c>
      <c r="M15" s="5">
        <f t="shared" ca="1" si="9"/>
        <v>230.55</v>
      </c>
      <c r="N15" s="5">
        <f t="shared" ca="1" si="10"/>
        <v>181.6</v>
      </c>
      <c r="O15" s="5">
        <f t="shared" ca="1" si="11"/>
        <v>338.95</v>
      </c>
      <c r="P15" s="5">
        <f t="shared" ca="1" si="12"/>
        <v>229.95</v>
      </c>
      <c r="Q15" s="5">
        <f t="shared" ca="1" si="13"/>
        <v>333.85</v>
      </c>
      <c r="R15" s="5">
        <f t="shared" ca="1" si="14"/>
        <v>484.9</v>
      </c>
      <c r="S15" s="5">
        <f t="shared" ca="1" si="15"/>
        <v>197.2</v>
      </c>
      <c r="T15" s="5">
        <f t="shared" ca="1" si="16"/>
        <v>303.85000000000002</v>
      </c>
      <c r="U15" s="5">
        <f t="shared" ca="1" si="17"/>
        <v>290.55</v>
      </c>
      <c r="V15" s="5">
        <f t="shared" ca="1" si="18"/>
        <v>242.85</v>
      </c>
      <c r="W15" s="5">
        <f t="shared" ca="1" si="19"/>
        <v>278.85000000000002</v>
      </c>
      <c r="X15" s="5">
        <f t="shared" ca="1" si="20"/>
        <v>330.15</v>
      </c>
      <c r="Y15" s="5">
        <f t="shared" ca="1" si="21"/>
        <v>255.9</v>
      </c>
      <c r="Z15" s="5">
        <f t="shared" ca="1" si="22"/>
        <v>296.85000000000002</v>
      </c>
      <c r="AA15" s="5">
        <f t="shared" ca="1" si="23"/>
        <v>314.64999999999998</v>
      </c>
      <c r="AB15" s="5">
        <f t="shared" ca="1" si="24"/>
        <v>289.35000000000002</v>
      </c>
      <c r="AC15" s="5">
        <f t="shared" ca="1" si="25"/>
        <v>315.3</v>
      </c>
      <c r="AD15" s="5">
        <f t="shared" ca="1" si="26"/>
        <v>241.6</v>
      </c>
      <c r="AE15" s="5">
        <f t="shared" ca="1" si="27"/>
        <v>360.55</v>
      </c>
      <c r="AF15" s="5">
        <f t="shared" ca="1" si="28"/>
        <v>205.25</v>
      </c>
      <c r="AG15" s="5">
        <f t="shared" ca="1" si="29"/>
        <v>209.15</v>
      </c>
      <c r="AH15" s="5">
        <f t="shared" ca="1" si="30"/>
        <v>185.4</v>
      </c>
      <c r="AI15" s="5">
        <f t="shared" ca="1" si="31"/>
        <v>279.55</v>
      </c>
      <c r="AJ15" s="5">
        <f t="shared" ca="1" si="32"/>
        <v>270.3</v>
      </c>
      <c r="AK15" s="5">
        <f t="shared" ca="1" si="33"/>
        <v>244.55</v>
      </c>
      <c r="AL15" s="5">
        <f t="shared" ca="1" si="34"/>
        <v>405.45</v>
      </c>
      <c r="AM15" s="5">
        <f t="shared" ca="1" si="35"/>
        <v>231.25</v>
      </c>
      <c r="AN15" s="5">
        <f t="shared" ca="1" si="36"/>
        <v>205.55</v>
      </c>
      <c r="AO15" s="5">
        <f t="shared" ca="1" si="37"/>
        <v>245.45</v>
      </c>
      <c r="AP15" s="5">
        <f t="shared" ca="1" si="38"/>
        <v>245.25</v>
      </c>
      <c r="AQ15" s="5">
        <f t="shared" ca="1" si="39"/>
        <v>216.9</v>
      </c>
      <c r="AR15" s="5">
        <f t="shared" ca="1" si="40"/>
        <v>207.3</v>
      </c>
      <c r="AS15" s="5">
        <f t="shared" ca="1" si="41"/>
        <v>294.05</v>
      </c>
      <c r="AT15" s="5">
        <f t="shared" ca="1" si="42"/>
        <v>305.89999999999998</v>
      </c>
      <c r="AU15" s="5">
        <f t="shared" ca="1" si="43"/>
        <v>192.2</v>
      </c>
      <c r="AV15" s="5">
        <f t="shared" ca="1" si="44"/>
        <v>230.25</v>
      </c>
      <c r="AW15" s="5">
        <f t="shared" ca="1" si="45"/>
        <v>275.10000000000002</v>
      </c>
      <c r="AX15" s="5">
        <f t="shared" ca="1" si="46"/>
        <v>241.45</v>
      </c>
      <c r="AY15" s="5">
        <f t="shared" ca="1" si="47"/>
        <v>273.85000000000002</v>
      </c>
      <c r="AZ15" s="5">
        <f t="shared" ca="1" si="48"/>
        <v>252.85</v>
      </c>
      <c r="BA15" s="5">
        <f t="shared" ca="1" si="49"/>
        <v>196.15</v>
      </c>
      <c r="BB15" s="5">
        <f t="shared" ca="1" si="50"/>
        <v>267.45</v>
      </c>
      <c r="BC15" s="5">
        <f t="shared" ca="1" si="51"/>
        <v>230.6</v>
      </c>
      <c r="BD15" s="5">
        <f t="shared" ca="1" si="52"/>
        <v>236.1</v>
      </c>
      <c r="BE15" s="5">
        <f t="shared" ca="1" si="53"/>
        <v>300.3</v>
      </c>
      <c r="BF15" s="5">
        <f t="shared" ca="1" si="54"/>
        <v>284.35000000000002</v>
      </c>
      <c r="BG15" s="5">
        <f t="shared" ca="1" si="55"/>
        <v>471.2</v>
      </c>
      <c r="BH15" s="5">
        <f t="shared" ca="1" si="56"/>
        <v>290.35000000000002</v>
      </c>
      <c r="BI15" s="5">
        <f t="shared" ca="1" si="57"/>
        <v>248.55</v>
      </c>
      <c r="BJ15" s="5">
        <f t="shared" ca="1" si="58"/>
        <v>357.25</v>
      </c>
      <c r="BK15" s="5">
        <f t="shared" ca="1" si="59"/>
        <v>206.65</v>
      </c>
      <c r="BL15" s="5">
        <f t="shared" ca="1" si="60"/>
        <v>255.2</v>
      </c>
      <c r="BM15" s="5">
        <f t="shared" ca="1" si="61"/>
        <v>138.19999999999999</v>
      </c>
      <c r="BN15" s="5">
        <f t="shared" ca="1" si="62"/>
        <v>324.5</v>
      </c>
      <c r="BO15" s="5">
        <f t="shared" ca="1" si="63"/>
        <v>286.25</v>
      </c>
      <c r="BP15" s="5">
        <f t="shared" ca="1" si="64"/>
        <v>275.25</v>
      </c>
      <c r="BQ15" s="5">
        <f t="shared" ca="1" si="65"/>
        <v>353.4</v>
      </c>
      <c r="BR15" s="5">
        <f t="shared" ca="1" si="66"/>
        <v>204.9</v>
      </c>
      <c r="BS15" s="5">
        <f t="shared" ca="1" si="67"/>
        <v>264.64999999999998</v>
      </c>
      <c r="BT15" s="5">
        <f t="shared" ca="1" si="68"/>
        <v>208.35</v>
      </c>
      <c r="BU15" s="5">
        <f t="shared" ca="1" si="69"/>
        <v>255.8</v>
      </c>
      <c r="BV15" s="5">
        <f t="shared" ca="1" si="5"/>
        <v>348.85</v>
      </c>
      <c r="BW15" s="5">
        <f t="shared" ca="1" si="70"/>
        <v>385.2</v>
      </c>
      <c r="BX15" s="5">
        <f t="shared" ca="1" si="71"/>
        <v>177.1</v>
      </c>
      <c r="BY15" s="5">
        <f t="shared" ca="1" si="72"/>
        <v>364.55</v>
      </c>
      <c r="BZ15" s="5">
        <f t="shared" ca="1" si="73"/>
        <v>236.05</v>
      </c>
      <c r="CA15" s="5">
        <f t="shared" ca="1" si="74"/>
        <v>354.95</v>
      </c>
      <c r="CB15" s="5">
        <f t="shared" ca="1" si="75"/>
        <v>393.4</v>
      </c>
      <c r="CC15" s="5">
        <f t="shared" ca="1" si="76"/>
        <v>235.95</v>
      </c>
      <c r="CD15" s="5">
        <f t="shared" ca="1" si="77"/>
        <v>226.45</v>
      </c>
      <c r="CE15" s="5">
        <f t="shared" ca="1" si="78"/>
        <v>167.15</v>
      </c>
      <c r="CF15" s="5">
        <f t="shared" ca="1" si="79"/>
        <v>244.7</v>
      </c>
      <c r="CG15" s="5">
        <f t="shared" ca="1" si="80"/>
        <v>349.15</v>
      </c>
      <c r="CH15" s="5">
        <f t="shared" ca="1" si="81"/>
        <v>295.89999999999998</v>
      </c>
      <c r="CI15" s="5">
        <f t="shared" ca="1" si="82"/>
        <v>289.10000000000002</v>
      </c>
      <c r="CJ15" s="5">
        <f t="shared" ca="1" si="83"/>
        <v>285.95</v>
      </c>
      <c r="CK15" s="5">
        <f t="shared" ca="1" si="84"/>
        <v>217.45</v>
      </c>
      <c r="CL15" s="5">
        <f t="shared" ca="1" si="85"/>
        <v>308.45</v>
      </c>
      <c r="CM15" s="5">
        <f t="shared" ca="1" si="86"/>
        <v>274.89999999999998</v>
      </c>
      <c r="CN15" s="5">
        <f t="shared" ca="1" si="87"/>
        <v>324.7</v>
      </c>
      <c r="CO15" s="5">
        <f t="shared" ca="1" si="88"/>
        <v>334</v>
      </c>
      <c r="CP15" s="5">
        <f t="shared" ca="1" si="89"/>
        <v>252.35</v>
      </c>
      <c r="CQ15" s="5">
        <f t="shared" ca="1" si="90"/>
        <v>288.5</v>
      </c>
      <c r="CR15" s="5">
        <f t="shared" ca="1" si="91"/>
        <v>234.4</v>
      </c>
      <c r="CS15" s="5">
        <f t="shared" ca="1" si="92"/>
        <v>371.55</v>
      </c>
      <c r="CT15" s="5">
        <f t="shared" ca="1" si="93"/>
        <v>252.95</v>
      </c>
      <c r="CU15" s="5">
        <f t="shared" ca="1" si="94"/>
        <v>269.10000000000002</v>
      </c>
      <c r="CV15" s="5">
        <f t="shared" ca="1" si="95"/>
        <v>225.85</v>
      </c>
      <c r="CW15" s="5">
        <f t="shared" ca="1" si="96"/>
        <v>277.55</v>
      </c>
      <c r="CX15" s="5">
        <f t="shared" ca="1" si="97"/>
        <v>312.3</v>
      </c>
      <c r="CY15" s="5">
        <f t="shared" ca="1" si="98"/>
        <v>288.75</v>
      </c>
      <c r="CZ15" s="5">
        <f t="shared" ca="1" si="99"/>
        <v>266.2</v>
      </c>
      <c r="DA15" s="5">
        <f t="shared" ca="1" si="100"/>
        <v>302.3</v>
      </c>
      <c r="DB15" s="5">
        <f t="shared" ca="1" si="101"/>
        <v>369.4</v>
      </c>
      <c r="DC15" s="5">
        <f t="shared" ca="1" si="102"/>
        <v>277.75</v>
      </c>
      <c r="DD15" s="5">
        <f t="shared" ca="1" si="103"/>
        <v>418.4</v>
      </c>
      <c r="DE15" s="5">
        <f t="shared" ca="1" si="104"/>
        <v>280.2</v>
      </c>
      <c r="DF15" s="5">
        <f t="shared" ca="1" si="105"/>
        <v>223.6</v>
      </c>
      <c r="DG15" s="5">
        <f t="shared" ca="1" si="106"/>
        <v>398.4</v>
      </c>
      <c r="DH15" s="5">
        <f t="shared" ca="1" si="107"/>
        <v>181.95</v>
      </c>
      <c r="DI15" s="5">
        <f t="shared" ca="1" si="108"/>
        <v>245.1</v>
      </c>
      <c r="DJ15" s="5">
        <f t="shared" ca="1" si="109"/>
        <v>277.75</v>
      </c>
      <c r="DK15" s="5">
        <f t="shared" ca="1" si="110"/>
        <v>304.25</v>
      </c>
      <c r="DL15" s="5">
        <f t="shared" ca="1" si="111"/>
        <v>222.25</v>
      </c>
      <c r="DM15" s="5">
        <f t="shared" ca="1" si="112"/>
        <v>338.2</v>
      </c>
      <c r="DN15" s="5">
        <f t="shared" ca="1" si="113"/>
        <v>218.35</v>
      </c>
      <c r="DO15" s="5">
        <f t="shared" ca="1" si="114"/>
        <v>355.45</v>
      </c>
      <c r="DP15" s="5">
        <f t="shared" ca="1" si="115"/>
        <v>240.5</v>
      </c>
      <c r="DQ15" s="5">
        <f t="shared" ca="1" si="116"/>
        <v>188.35</v>
      </c>
      <c r="DR15" s="5">
        <f t="shared" ca="1" si="117"/>
        <v>216.95</v>
      </c>
      <c r="DS15" s="5">
        <f t="shared" ca="1" si="118"/>
        <v>342.7</v>
      </c>
      <c r="DT15" s="5">
        <f t="shared" ca="1" si="119"/>
        <v>305.35000000000002</v>
      </c>
      <c r="DU15" s="5">
        <f t="shared" ca="1" si="120"/>
        <v>297.8</v>
      </c>
      <c r="DV15" s="5">
        <f t="shared" ca="1" si="121"/>
        <v>273.39999999999998</v>
      </c>
      <c r="DW15" s="5">
        <f t="shared" ca="1" si="122"/>
        <v>220.2</v>
      </c>
      <c r="DX15" s="5">
        <f t="shared" ca="1" si="123"/>
        <v>313.39999999999998</v>
      </c>
      <c r="DY15" s="5">
        <f t="shared" ca="1" si="124"/>
        <v>229.55</v>
      </c>
      <c r="DZ15" s="5">
        <f t="shared" ca="1" si="125"/>
        <v>211.55</v>
      </c>
      <c r="EA15" s="5">
        <f t="shared" ca="1" si="126"/>
        <v>316.55</v>
      </c>
      <c r="EB15" s="5">
        <f t="shared" ca="1" si="127"/>
        <v>410.95</v>
      </c>
      <c r="EC15" s="5">
        <f t="shared" ca="1" si="128"/>
        <v>403.6</v>
      </c>
      <c r="ED15" s="5">
        <f t="shared" ca="1" si="129"/>
        <v>268.64999999999998</v>
      </c>
      <c r="EE15" s="5">
        <f t="shared" ca="1" si="130"/>
        <v>269.95</v>
      </c>
      <c r="EF15" s="5">
        <f t="shared" ca="1" si="131"/>
        <v>301.25</v>
      </c>
      <c r="EG15" s="5">
        <f t="shared" ca="1" si="132"/>
        <v>269.7</v>
      </c>
      <c r="EH15" s="5">
        <f t="shared" ca="1" si="6"/>
        <v>196.3</v>
      </c>
      <c r="EI15" s="5">
        <f t="shared" ca="1" si="3"/>
        <v>297.2</v>
      </c>
      <c r="EJ15" s="5">
        <f t="shared" ca="1" si="3"/>
        <v>370.95</v>
      </c>
      <c r="EK15" s="5">
        <f t="shared" ca="1" si="3"/>
        <v>240.05</v>
      </c>
      <c r="EL15" s="5">
        <f t="shared" ca="1" si="3"/>
        <v>293.5</v>
      </c>
      <c r="EM15" s="5">
        <f t="shared" ca="1" si="3"/>
        <v>290.55</v>
      </c>
      <c r="EN15" s="5">
        <f t="shared" ca="1" si="3"/>
        <v>241</v>
      </c>
      <c r="EO15" s="5">
        <f t="shared" ca="1" si="3"/>
        <v>273.95</v>
      </c>
      <c r="EP15" s="5">
        <f t="shared" ca="1" si="3"/>
        <v>232.25</v>
      </c>
      <c r="EQ15" s="5">
        <f t="shared" ca="1" si="3"/>
        <v>260.3</v>
      </c>
      <c r="ER15" s="5">
        <f t="shared" ca="1" si="3"/>
        <v>254.9</v>
      </c>
      <c r="ES15" s="5">
        <f t="shared" ca="1" si="3"/>
        <v>423.35</v>
      </c>
      <c r="ET15" s="5">
        <f t="shared" ca="1" si="3"/>
        <v>276.95</v>
      </c>
      <c r="EU15" s="5">
        <f t="shared" ca="1" si="3"/>
        <v>204.25</v>
      </c>
      <c r="EV15" s="5">
        <f t="shared" ca="1" si="3"/>
        <v>284.8</v>
      </c>
      <c r="EW15" s="5">
        <f t="shared" ca="1" si="3"/>
        <v>307.8</v>
      </c>
      <c r="EX15" s="5">
        <f t="shared" ca="1" si="3"/>
        <v>340.8</v>
      </c>
    </row>
    <row r="16" spans="1:154" s="4" customFormat="1" x14ac:dyDescent="0.3">
      <c r="A16" s="3">
        <v>42789</v>
      </c>
      <c r="B16" s="4">
        <v>254.9</v>
      </c>
      <c r="C16" s="4">
        <f t="shared" si="0"/>
        <v>2.9466674891583207E-3</v>
      </c>
      <c r="J16" s="5">
        <f t="shared" ca="1" si="4"/>
        <v>324.75</v>
      </c>
      <c r="K16" s="5">
        <f t="shared" ca="1" si="7"/>
        <v>345.7</v>
      </c>
      <c r="L16" s="5">
        <f t="shared" ca="1" si="8"/>
        <v>163.65</v>
      </c>
      <c r="M16" s="5">
        <f t="shared" ca="1" si="9"/>
        <v>214.65</v>
      </c>
      <c r="N16" s="5">
        <f t="shared" ca="1" si="10"/>
        <v>172.55</v>
      </c>
      <c r="O16" s="5">
        <f t="shared" ca="1" si="11"/>
        <v>344.05</v>
      </c>
      <c r="P16" s="5">
        <f t="shared" ca="1" si="12"/>
        <v>221.05</v>
      </c>
      <c r="Q16" s="5">
        <f t="shared" ca="1" si="13"/>
        <v>320</v>
      </c>
      <c r="R16" s="5">
        <f t="shared" ca="1" si="14"/>
        <v>517.20000000000005</v>
      </c>
      <c r="S16" s="5">
        <f t="shared" ca="1" si="15"/>
        <v>181.15</v>
      </c>
      <c r="T16" s="5">
        <f t="shared" ca="1" si="16"/>
        <v>327.7</v>
      </c>
      <c r="U16" s="5">
        <f t="shared" ca="1" si="17"/>
        <v>246.7</v>
      </c>
      <c r="V16" s="5">
        <f t="shared" ca="1" si="18"/>
        <v>223.25</v>
      </c>
      <c r="W16" s="5">
        <f t="shared" ca="1" si="19"/>
        <v>312.95</v>
      </c>
      <c r="X16" s="5">
        <f t="shared" ca="1" si="20"/>
        <v>314.2</v>
      </c>
      <c r="Y16" s="5">
        <f t="shared" ca="1" si="21"/>
        <v>251.9</v>
      </c>
      <c r="Z16" s="5">
        <f t="shared" ca="1" si="22"/>
        <v>288.5</v>
      </c>
      <c r="AA16" s="5">
        <f t="shared" ca="1" si="23"/>
        <v>309.95</v>
      </c>
      <c r="AB16" s="5">
        <f t="shared" ca="1" si="24"/>
        <v>287.45</v>
      </c>
      <c r="AC16" s="5">
        <f t="shared" ca="1" si="25"/>
        <v>313.60000000000002</v>
      </c>
      <c r="AD16" s="5">
        <f t="shared" ca="1" si="26"/>
        <v>219.05</v>
      </c>
      <c r="AE16" s="5">
        <f t="shared" ca="1" si="27"/>
        <v>358.55</v>
      </c>
      <c r="AF16" s="5">
        <f t="shared" ca="1" si="28"/>
        <v>196.4</v>
      </c>
      <c r="AG16" s="5">
        <f t="shared" ca="1" si="29"/>
        <v>194</v>
      </c>
      <c r="AH16" s="5">
        <f t="shared" ca="1" si="30"/>
        <v>195.05</v>
      </c>
      <c r="AI16" s="5">
        <f t="shared" ca="1" si="31"/>
        <v>334.9</v>
      </c>
      <c r="AJ16" s="5">
        <f t="shared" ca="1" si="32"/>
        <v>272</v>
      </c>
      <c r="AK16" s="5">
        <f t="shared" ca="1" si="33"/>
        <v>218.4</v>
      </c>
      <c r="AL16" s="5">
        <f t="shared" ca="1" si="34"/>
        <v>411.45</v>
      </c>
      <c r="AM16" s="5">
        <f t="shared" ca="1" si="35"/>
        <v>218.25</v>
      </c>
      <c r="AN16" s="5">
        <f t="shared" ca="1" si="36"/>
        <v>206.05</v>
      </c>
      <c r="AO16" s="5">
        <f t="shared" ca="1" si="37"/>
        <v>240.45</v>
      </c>
      <c r="AP16" s="5">
        <f t="shared" ca="1" si="38"/>
        <v>296.25</v>
      </c>
      <c r="AQ16" s="5">
        <f t="shared" ca="1" si="39"/>
        <v>206.5</v>
      </c>
      <c r="AR16" s="5">
        <f t="shared" ca="1" si="40"/>
        <v>208.15</v>
      </c>
      <c r="AS16" s="5">
        <f t="shared" ca="1" si="41"/>
        <v>318.3</v>
      </c>
      <c r="AT16" s="5">
        <f t="shared" ca="1" si="42"/>
        <v>309.3</v>
      </c>
      <c r="AU16" s="5">
        <f t="shared" ca="1" si="43"/>
        <v>218</v>
      </c>
      <c r="AV16" s="5">
        <f t="shared" ca="1" si="44"/>
        <v>234.05</v>
      </c>
      <c r="AW16" s="5">
        <f t="shared" ca="1" si="45"/>
        <v>256.3</v>
      </c>
      <c r="AX16" s="5">
        <f t="shared" ca="1" si="46"/>
        <v>238.3</v>
      </c>
      <c r="AY16" s="5">
        <f t="shared" ca="1" si="47"/>
        <v>278.95</v>
      </c>
      <c r="AZ16" s="5">
        <f t="shared" ca="1" si="48"/>
        <v>251.5</v>
      </c>
      <c r="BA16" s="5">
        <f t="shared" ca="1" si="49"/>
        <v>195.85</v>
      </c>
      <c r="BB16" s="5">
        <f t="shared" ca="1" si="50"/>
        <v>268.35000000000002</v>
      </c>
      <c r="BC16" s="5">
        <f t="shared" ca="1" si="51"/>
        <v>272</v>
      </c>
      <c r="BD16" s="5">
        <f t="shared" ca="1" si="52"/>
        <v>233.6</v>
      </c>
      <c r="BE16" s="5">
        <f t="shared" ca="1" si="53"/>
        <v>288.7</v>
      </c>
      <c r="BF16" s="5">
        <f t="shared" ca="1" si="54"/>
        <v>273.25</v>
      </c>
      <c r="BG16" s="5">
        <f t="shared" ca="1" si="55"/>
        <v>500</v>
      </c>
      <c r="BH16" s="5">
        <f t="shared" ca="1" si="56"/>
        <v>294.8</v>
      </c>
      <c r="BI16" s="5">
        <f t="shared" ca="1" si="57"/>
        <v>234.3</v>
      </c>
      <c r="BJ16" s="5">
        <f t="shared" ca="1" si="58"/>
        <v>294</v>
      </c>
      <c r="BK16" s="5">
        <f t="shared" ca="1" si="59"/>
        <v>197.95</v>
      </c>
      <c r="BL16" s="5">
        <f t="shared" ca="1" si="60"/>
        <v>246.85</v>
      </c>
      <c r="BM16" s="5">
        <f t="shared" ca="1" si="61"/>
        <v>131.4</v>
      </c>
      <c r="BN16" s="5">
        <f t="shared" ca="1" si="62"/>
        <v>312.64999999999998</v>
      </c>
      <c r="BO16" s="5">
        <f t="shared" ca="1" si="63"/>
        <v>295.5</v>
      </c>
      <c r="BP16" s="5">
        <f t="shared" ca="1" si="64"/>
        <v>310.75</v>
      </c>
      <c r="BQ16" s="5">
        <f t="shared" ca="1" si="65"/>
        <v>402.7</v>
      </c>
      <c r="BR16" s="5">
        <f t="shared" ca="1" si="66"/>
        <v>209.85</v>
      </c>
      <c r="BS16" s="5">
        <f t="shared" ca="1" si="67"/>
        <v>259.2</v>
      </c>
      <c r="BT16" s="5">
        <f t="shared" ca="1" si="68"/>
        <v>204.8</v>
      </c>
      <c r="BU16" s="5">
        <f t="shared" ca="1" si="69"/>
        <v>252</v>
      </c>
      <c r="BV16" s="5">
        <f t="shared" ca="1" si="5"/>
        <v>361.85</v>
      </c>
      <c r="BW16" s="5">
        <f t="shared" ca="1" si="70"/>
        <v>388.8</v>
      </c>
      <c r="BX16" s="5">
        <f t="shared" ca="1" si="71"/>
        <v>182.25</v>
      </c>
      <c r="BY16" s="5">
        <f t="shared" ca="1" si="72"/>
        <v>364.6</v>
      </c>
      <c r="BZ16" s="5">
        <f t="shared" ca="1" si="73"/>
        <v>221.85</v>
      </c>
      <c r="CA16" s="5">
        <f t="shared" ca="1" si="74"/>
        <v>379.6</v>
      </c>
      <c r="CB16" s="5">
        <f t="shared" ca="1" si="75"/>
        <v>401.95</v>
      </c>
      <c r="CC16" s="5">
        <f t="shared" ca="1" si="76"/>
        <v>208.4</v>
      </c>
      <c r="CD16" s="5">
        <f t="shared" ca="1" si="77"/>
        <v>216.75</v>
      </c>
      <c r="CE16" s="5">
        <f t="shared" ca="1" si="78"/>
        <v>203.1</v>
      </c>
      <c r="CF16" s="5">
        <f t="shared" ca="1" si="79"/>
        <v>236.6</v>
      </c>
      <c r="CG16" s="5">
        <f t="shared" ca="1" si="80"/>
        <v>350</v>
      </c>
      <c r="CH16" s="5">
        <f t="shared" ca="1" si="81"/>
        <v>260.25</v>
      </c>
      <c r="CI16" s="5">
        <f t="shared" ca="1" si="82"/>
        <v>254.9</v>
      </c>
      <c r="CJ16" s="5">
        <f t="shared" ca="1" si="83"/>
        <v>304.75</v>
      </c>
      <c r="CK16" s="5">
        <f t="shared" ca="1" si="84"/>
        <v>210.2</v>
      </c>
      <c r="CL16" s="5">
        <f t="shared" ca="1" si="85"/>
        <v>315.60000000000002</v>
      </c>
      <c r="CM16" s="5">
        <f t="shared" ca="1" si="86"/>
        <v>299.10000000000002</v>
      </c>
      <c r="CN16" s="5">
        <f t="shared" ca="1" si="87"/>
        <v>357.25</v>
      </c>
      <c r="CO16" s="5">
        <f t="shared" ca="1" si="88"/>
        <v>337.55</v>
      </c>
      <c r="CP16" s="5">
        <f t="shared" ca="1" si="89"/>
        <v>238.4</v>
      </c>
      <c r="CQ16" s="5">
        <f t="shared" ca="1" si="90"/>
        <v>287.75</v>
      </c>
      <c r="CR16" s="5">
        <f t="shared" ca="1" si="91"/>
        <v>229.25</v>
      </c>
      <c r="CS16" s="5">
        <f t="shared" ca="1" si="92"/>
        <v>445.4</v>
      </c>
      <c r="CT16" s="5">
        <f t="shared" ca="1" si="93"/>
        <v>262.14999999999998</v>
      </c>
      <c r="CU16" s="5">
        <f t="shared" ca="1" si="94"/>
        <v>276.95</v>
      </c>
      <c r="CV16" s="5">
        <f t="shared" ca="1" si="95"/>
        <v>253.25</v>
      </c>
      <c r="CW16" s="5">
        <f t="shared" ca="1" si="96"/>
        <v>301.85000000000002</v>
      </c>
      <c r="CX16" s="5">
        <f t="shared" ca="1" si="97"/>
        <v>332.05</v>
      </c>
      <c r="CY16" s="5">
        <f t="shared" ca="1" si="98"/>
        <v>294.85000000000002</v>
      </c>
      <c r="CZ16" s="5">
        <f t="shared" ca="1" si="99"/>
        <v>258.45</v>
      </c>
      <c r="DA16" s="5">
        <f t="shared" ca="1" si="100"/>
        <v>277</v>
      </c>
      <c r="DB16" s="5">
        <f t="shared" ca="1" si="101"/>
        <v>366.6</v>
      </c>
      <c r="DC16" s="5">
        <f t="shared" ca="1" si="102"/>
        <v>268.85000000000002</v>
      </c>
      <c r="DD16" s="5">
        <f t="shared" ca="1" si="103"/>
        <v>399.2</v>
      </c>
      <c r="DE16" s="5">
        <f t="shared" ca="1" si="104"/>
        <v>262.10000000000002</v>
      </c>
      <c r="DF16" s="5">
        <f t="shared" ca="1" si="105"/>
        <v>220.75</v>
      </c>
      <c r="DG16" s="5">
        <f t="shared" ca="1" si="106"/>
        <v>425.5</v>
      </c>
      <c r="DH16" s="5">
        <f t="shared" ca="1" si="107"/>
        <v>194.25</v>
      </c>
      <c r="DI16" s="5">
        <f t="shared" ca="1" si="108"/>
        <v>220.65</v>
      </c>
      <c r="DJ16" s="5">
        <f t="shared" ca="1" si="109"/>
        <v>277.10000000000002</v>
      </c>
      <c r="DK16" s="5">
        <f t="shared" ca="1" si="110"/>
        <v>299.5</v>
      </c>
      <c r="DL16" s="5">
        <f t="shared" ca="1" si="111"/>
        <v>231.95</v>
      </c>
      <c r="DM16" s="5">
        <f t="shared" ca="1" si="112"/>
        <v>318.75</v>
      </c>
      <c r="DN16" s="5">
        <f t="shared" ca="1" si="113"/>
        <v>198.1</v>
      </c>
      <c r="DO16" s="5">
        <f t="shared" ca="1" si="114"/>
        <v>311.7</v>
      </c>
      <c r="DP16" s="5">
        <f t="shared" ca="1" si="115"/>
        <v>236.55</v>
      </c>
      <c r="DQ16" s="5">
        <f t="shared" ca="1" si="116"/>
        <v>200.45</v>
      </c>
      <c r="DR16" s="5">
        <f t="shared" ca="1" si="117"/>
        <v>235.8</v>
      </c>
      <c r="DS16" s="5">
        <f t="shared" ca="1" si="118"/>
        <v>350.75</v>
      </c>
      <c r="DT16" s="5">
        <f t="shared" ca="1" si="119"/>
        <v>285</v>
      </c>
      <c r="DU16" s="5">
        <f t="shared" ca="1" si="120"/>
        <v>288</v>
      </c>
      <c r="DV16" s="5">
        <f t="shared" ca="1" si="121"/>
        <v>262.45</v>
      </c>
      <c r="DW16" s="5">
        <f t="shared" ca="1" si="122"/>
        <v>219.8</v>
      </c>
      <c r="DX16" s="5">
        <f t="shared" ca="1" si="123"/>
        <v>296.89999999999998</v>
      </c>
      <c r="DY16" s="5">
        <f t="shared" ca="1" si="124"/>
        <v>242.75</v>
      </c>
      <c r="DZ16" s="5">
        <f t="shared" ca="1" si="125"/>
        <v>225.9</v>
      </c>
      <c r="EA16" s="5">
        <f t="shared" ca="1" si="126"/>
        <v>298</v>
      </c>
      <c r="EB16" s="5">
        <f t="shared" ca="1" si="127"/>
        <v>369.95</v>
      </c>
      <c r="EC16" s="5">
        <f t="shared" ca="1" si="128"/>
        <v>397.2</v>
      </c>
      <c r="ED16" s="5">
        <f t="shared" ca="1" si="129"/>
        <v>258.35000000000002</v>
      </c>
      <c r="EE16" s="5">
        <f t="shared" ca="1" si="130"/>
        <v>287.10000000000002</v>
      </c>
      <c r="EF16" s="5">
        <f t="shared" ca="1" si="131"/>
        <v>340.85</v>
      </c>
      <c r="EG16" s="5">
        <f t="shared" ca="1" si="132"/>
        <v>259.10000000000002</v>
      </c>
      <c r="EH16" s="5">
        <f t="shared" ca="1" si="6"/>
        <v>195.8</v>
      </c>
      <c r="EI16" s="5">
        <f t="shared" ca="1" si="3"/>
        <v>279.5</v>
      </c>
      <c r="EJ16" s="5">
        <f t="shared" ca="1" si="3"/>
        <v>380.95</v>
      </c>
      <c r="EK16" s="5">
        <f t="shared" ca="1" si="3"/>
        <v>243.85</v>
      </c>
      <c r="EL16" s="5">
        <f t="shared" ca="1" si="3"/>
        <v>317.75</v>
      </c>
      <c r="EM16" s="5">
        <f t="shared" ca="1" si="3"/>
        <v>306.45</v>
      </c>
      <c r="EN16" s="5">
        <f t="shared" ca="1" si="3"/>
        <v>241.95</v>
      </c>
      <c r="EO16" s="5">
        <f t="shared" ca="1" si="3"/>
        <v>297.75</v>
      </c>
      <c r="EP16" s="5">
        <f t="shared" ca="1" si="3"/>
        <v>221.15</v>
      </c>
      <c r="EQ16" s="5">
        <f t="shared" ca="1" si="3"/>
        <v>261.45</v>
      </c>
      <c r="ER16" s="5">
        <f t="shared" ca="1" si="3"/>
        <v>286.3</v>
      </c>
      <c r="ES16" s="5">
        <f t="shared" ca="1" si="3"/>
        <v>405.85</v>
      </c>
      <c r="ET16" s="5">
        <f t="shared" ca="1" si="3"/>
        <v>265.39999999999998</v>
      </c>
      <c r="EU16" s="5">
        <f t="shared" ca="1" si="3"/>
        <v>192.3</v>
      </c>
      <c r="EV16" s="5">
        <f t="shared" ca="1" si="3"/>
        <v>281.8</v>
      </c>
      <c r="EW16" s="5">
        <f t="shared" ca="1" si="3"/>
        <v>332.7</v>
      </c>
      <c r="EX16" s="5">
        <f t="shared" ca="1" si="3"/>
        <v>300</v>
      </c>
    </row>
    <row r="17" spans="1:154" s="4" customFormat="1" x14ac:dyDescent="0.3">
      <c r="A17" s="3">
        <v>42790</v>
      </c>
      <c r="B17" s="4">
        <v>254.15</v>
      </c>
      <c r="C17" s="4">
        <f t="shared" si="0"/>
        <v>1.2272521412197028E-2</v>
      </c>
      <c r="J17" s="5">
        <f t="shared" ca="1" si="4"/>
        <v>348.45</v>
      </c>
      <c r="K17" s="5">
        <f t="shared" ca="1" si="7"/>
        <v>369.1</v>
      </c>
      <c r="L17" s="5">
        <f t="shared" ca="1" si="8"/>
        <v>170.7</v>
      </c>
      <c r="M17" s="5">
        <f t="shared" ca="1" si="9"/>
        <v>196.4</v>
      </c>
      <c r="N17" s="5">
        <f t="shared" ca="1" si="10"/>
        <v>163.6</v>
      </c>
      <c r="O17" s="5">
        <f t="shared" ca="1" si="11"/>
        <v>362.85</v>
      </c>
      <c r="P17" s="5">
        <f t="shared" ca="1" si="12"/>
        <v>216.85</v>
      </c>
      <c r="Q17" s="5">
        <f t="shared" ca="1" si="13"/>
        <v>311.3</v>
      </c>
      <c r="R17" s="5">
        <f t="shared" ca="1" si="14"/>
        <v>538.5</v>
      </c>
      <c r="S17" s="5">
        <f t="shared" ca="1" si="15"/>
        <v>215.75</v>
      </c>
      <c r="T17" s="5">
        <f t="shared" ca="1" si="16"/>
        <v>316.39999999999998</v>
      </c>
      <c r="U17" s="5">
        <f t="shared" ca="1" si="17"/>
        <v>227.25</v>
      </c>
      <c r="V17" s="5">
        <f t="shared" ca="1" si="18"/>
        <v>227.2</v>
      </c>
      <c r="W17" s="5">
        <f t="shared" ca="1" si="19"/>
        <v>298.75</v>
      </c>
      <c r="X17" s="5">
        <f t="shared" ca="1" si="20"/>
        <v>289.39999999999998</v>
      </c>
      <c r="Y17" s="5">
        <f t="shared" ca="1" si="21"/>
        <v>231.6</v>
      </c>
      <c r="Z17" s="5">
        <f t="shared" ca="1" si="22"/>
        <v>296</v>
      </c>
      <c r="AA17" s="5">
        <f t="shared" ca="1" si="23"/>
        <v>306.55</v>
      </c>
      <c r="AB17" s="5">
        <f t="shared" ca="1" si="24"/>
        <v>298.3</v>
      </c>
      <c r="AC17" s="5">
        <f t="shared" ca="1" si="25"/>
        <v>336.45</v>
      </c>
      <c r="AD17" s="5">
        <f t="shared" ca="1" si="26"/>
        <v>229.8</v>
      </c>
      <c r="AE17" s="5">
        <f t="shared" ca="1" si="27"/>
        <v>411.65</v>
      </c>
      <c r="AF17" s="5">
        <f t="shared" ca="1" si="28"/>
        <v>197.6</v>
      </c>
      <c r="AG17" s="5">
        <f t="shared" ca="1" si="29"/>
        <v>208.55</v>
      </c>
      <c r="AH17" s="5">
        <f t="shared" ca="1" si="30"/>
        <v>181.35</v>
      </c>
      <c r="AI17" s="5">
        <f t="shared" ca="1" si="31"/>
        <v>339.7</v>
      </c>
      <c r="AJ17" s="5">
        <f t="shared" ca="1" si="32"/>
        <v>278.3</v>
      </c>
      <c r="AK17" s="5">
        <f t="shared" ca="1" si="33"/>
        <v>202.3</v>
      </c>
      <c r="AL17" s="5">
        <f t="shared" ca="1" si="34"/>
        <v>350.15</v>
      </c>
      <c r="AM17" s="5">
        <f t="shared" ca="1" si="35"/>
        <v>240.9</v>
      </c>
      <c r="AN17" s="5">
        <f t="shared" ca="1" si="36"/>
        <v>197.4</v>
      </c>
      <c r="AO17" s="5">
        <f t="shared" ca="1" si="37"/>
        <v>247.6</v>
      </c>
      <c r="AP17" s="5">
        <f t="shared" ca="1" si="38"/>
        <v>315.89999999999998</v>
      </c>
      <c r="AQ17" s="5">
        <f t="shared" ca="1" si="39"/>
        <v>204.95</v>
      </c>
      <c r="AR17" s="5">
        <f t="shared" ca="1" si="40"/>
        <v>209.4</v>
      </c>
      <c r="AS17" s="5">
        <f t="shared" ca="1" si="41"/>
        <v>311.7</v>
      </c>
      <c r="AT17" s="5">
        <f t="shared" ca="1" si="42"/>
        <v>341.85</v>
      </c>
      <c r="AU17" s="5">
        <f t="shared" ca="1" si="43"/>
        <v>206.7</v>
      </c>
      <c r="AV17" s="5">
        <f t="shared" ca="1" si="44"/>
        <v>247.55</v>
      </c>
      <c r="AW17" s="5">
        <f t="shared" ca="1" si="45"/>
        <v>237.9</v>
      </c>
      <c r="AX17" s="5">
        <f t="shared" ca="1" si="46"/>
        <v>233.6</v>
      </c>
      <c r="AY17" s="5">
        <f t="shared" ca="1" si="47"/>
        <v>302.55</v>
      </c>
      <c r="AZ17" s="5">
        <f t="shared" ca="1" si="48"/>
        <v>239.85</v>
      </c>
      <c r="BA17" s="5">
        <f t="shared" ca="1" si="49"/>
        <v>198</v>
      </c>
      <c r="BB17" s="5">
        <f t="shared" ca="1" si="50"/>
        <v>279.95</v>
      </c>
      <c r="BC17" s="5">
        <f t="shared" ca="1" si="51"/>
        <v>268.35000000000002</v>
      </c>
      <c r="BD17" s="5">
        <f t="shared" ca="1" si="52"/>
        <v>225.55</v>
      </c>
      <c r="BE17" s="5">
        <f t="shared" ca="1" si="53"/>
        <v>310.55</v>
      </c>
      <c r="BF17" s="5">
        <f t="shared" ca="1" si="54"/>
        <v>286.10000000000002</v>
      </c>
      <c r="BG17" s="5">
        <f t="shared" ca="1" si="55"/>
        <v>528.15</v>
      </c>
      <c r="BH17" s="5">
        <f t="shared" ca="1" si="56"/>
        <v>327.10000000000002</v>
      </c>
      <c r="BI17" s="5">
        <f t="shared" ca="1" si="57"/>
        <v>238.1</v>
      </c>
      <c r="BJ17" s="5">
        <f t="shared" ca="1" si="58"/>
        <v>305.39999999999998</v>
      </c>
      <c r="BK17" s="5">
        <f t="shared" ca="1" si="59"/>
        <v>207.55</v>
      </c>
      <c r="BL17" s="5">
        <f t="shared" ca="1" si="60"/>
        <v>226.1</v>
      </c>
      <c r="BM17" s="5">
        <f t="shared" ca="1" si="61"/>
        <v>123.9</v>
      </c>
      <c r="BN17" s="5">
        <f t="shared" ca="1" si="62"/>
        <v>332.95</v>
      </c>
      <c r="BO17" s="5">
        <f t="shared" ca="1" si="63"/>
        <v>262.05</v>
      </c>
      <c r="BP17" s="5">
        <f t="shared" ca="1" si="64"/>
        <v>311.5</v>
      </c>
      <c r="BQ17" s="5">
        <f t="shared" ca="1" si="65"/>
        <v>420.6</v>
      </c>
      <c r="BR17" s="5">
        <f t="shared" ca="1" si="66"/>
        <v>223.35</v>
      </c>
      <c r="BS17" s="5">
        <f t="shared" ca="1" si="67"/>
        <v>290</v>
      </c>
      <c r="BT17" s="5">
        <f t="shared" ca="1" si="68"/>
        <v>217.5</v>
      </c>
      <c r="BU17" s="5">
        <f t="shared" ca="1" si="69"/>
        <v>245.05</v>
      </c>
      <c r="BV17" s="5">
        <f t="shared" ca="1" si="5"/>
        <v>328.2</v>
      </c>
      <c r="BW17" s="5">
        <f t="shared" ca="1" si="70"/>
        <v>375.1</v>
      </c>
      <c r="BX17" s="5">
        <f t="shared" ca="1" si="71"/>
        <v>189.95</v>
      </c>
      <c r="BY17" s="5">
        <f t="shared" ca="1" si="72"/>
        <v>339.95</v>
      </c>
      <c r="BZ17" s="5">
        <f t="shared" ca="1" si="73"/>
        <v>201.7</v>
      </c>
      <c r="CA17" s="5">
        <f t="shared" ca="1" si="74"/>
        <v>394.6</v>
      </c>
      <c r="CB17" s="5">
        <f t="shared" ca="1" si="75"/>
        <v>414.15</v>
      </c>
      <c r="CC17" s="5">
        <f t="shared" ca="1" si="76"/>
        <v>179.45</v>
      </c>
      <c r="CD17" s="5">
        <f t="shared" ca="1" si="77"/>
        <v>240.3</v>
      </c>
      <c r="CE17" s="5">
        <f t="shared" ca="1" si="78"/>
        <v>191.35</v>
      </c>
      <c r="CF17" s="5">
        <f t="shared" ca="1" si="79"/>
        <v>231.9</v>
      </c>
      <c r="CG17" s="5">
        <f t="shared" ca="1" si="80"/>
        <v>319.7</v>
      </c>
      <c r="CH17" s="5">
        <f t="shared" ca="1" si="81"/>
        <v>276.39999999999998</v>
      </c>
      <c r="CI17" s="5">
        <f t="shared" ca="1" si="82"/>
        <v>269</v>
      </c>
      <c r="CJ17" s="5">
        <f t="shared" ca="1" si="83"/>
        <v>361</v>
      </c>
      <c r="CK17" s="5">
        <f t="shared" ca="1" si="84"/>
        <v>219.35</v>
      </c>
      <c r="CL17" s="5">
        <f t="shared" ca="1" si="85"/>
        <v>331.65</v>
      </c>
      <c r="CM17" s="5">
        <f t="shared" ca="1" si="86"/>
        <v>305.2</v>
      </c>
      <c r="CN17" s="5">
        <f t="shared" ca="1" si="87"/>
        <v>377.55</v>
      </c>
      <c r="CO17" s="5">
        <f t="shared" ca="1" si="88"/>
        <v>377.25</v>
      </c>
      <c r="CP17" s="5">
        <f t="shared" ca="1" si="89"/>
        <v>237</v>
      </c>
      <c r="CQ17" s="5">
        <f t="shared" ca="1" si="90"/>
        <v>249.95</v>
      </c>
      <c r="CR17" s="5">
        <f t="shared" ca="1" si="91"/>
        <v>223.65</v>
      </c>
      <c r="CS17" s="5">
        <f t="shared" ca="1" si="92"/>
        <v>423.95</v>
      </c>
      <c r="CT17" s="5">
        <f t="shared" ca="1" si="93"/>
        <v>256.75</v>
      </c>
      <c r="CU17" s="5">
        <f t="shared" ca="1" si="94"/>
        <v>278.55</v>
      </c>
      <c r="CV17" s="5">
        <f t="shared" ca="1" si="95"/>
        <v>225.55</v>
      </c>
      <c r="CW17" s="5">
        <f t="shared" ca="1" si="96"/>
        <v>322.5</v>
      </c>
      <c r="CX17" s="5">
        <f t="shared" ca="1" si="97"/>
        <v>362.9</v>
      </c>
      <c r="CY17" s="5">
        <f t="shared" ca="1" si="98"/>
        <v>312.2</v>
      </c>
      <c r="CZ17" s="5">
        <f t="shared" ca="1" si="99"/>
        <v>240.6</v>
      </c>
      <c r="DA17" s="5">
        <f t="shared" ca="1" si="100"/>
        <v>301.55</v>
      </c>
      <c r="DB17" s="5">
        <f t="shared" ca="1" si="101"/>
        <v>366.05</v>
      </c>
      <c r="DC17" s="5">
        <f t="shared" ca="1" si="102"/>
        <v>275.95</v>
      </c>
      <c r="DD17" s="5">
        <f t="shared" ca="1" si="103"/>
        <v>397.75</v>
      </c>
      <c r="DE17" s="5">
        <f t="shared" ca="1" si="104"/>
        <v>234.55</v>
      </c>
      <c r="DF17" s="5">
        <f t="shared" ca="1" si="105"/>
        <v>219.8</v>
      </c>
      <c r="DG17" s="5">
        <f t="shared" ca="1" si="106"/>
        <v>421.75</v>
      </c>
      <c r="DH17" s="5">
        <f t="shared" ca="1" si="107"/>
        <v>187.25</v>
      </c>
      <c r="DI17" s="5">
        <f t="shared" ca="1" si="108"/>
        <v>212.85</v>
      </c>
      <c r="DJ17" s="5">
        <f t="shared" ca="1" si="109"/>
        <v>284.60000000000002</v>
      </c>
      <c r="DK17" s="5">
        <f t="shared" ca="1" si="110"/>
        <v>282.14999999999998</v>
      </c>
      <c r="DL17" s="5">
        <f t="shared" ca="1" si="111"/>
        <v>239.15</v>
      </c>
      <c r="DM17" s="5">
        <f t="shared" ca="1" si="112"/>
        <v>307.8</v>
      </c>
      <c r="DN17" s="5">
        <f t="shared" ca="1" si="113"/>
        <v>172.35</v>
      </c>
      <c r="DO17" s="5">
        <f t="shared" ca="1" si="114"/>
        <v>283.85000000000002</v>
      </c>
      <c r="DP17" s="5">
        <f t="shared" ca="1" si="115"/>
        <v>228.1</v>
      </c>
      <c r="DQ17" s="5">
        <f t="shared" ca="1" si="116"/>
        <v>197.95</v>
      </c>
      <c r="DR17" s="5">
        <f t="shared" ca="1" si="117"/>
        <v>243.55</v>
      </c>
      <c r="DS17" s="5">
        <f t="shared" ca="1" si="118"/>
        <v>371.6</v>
      </c>
      <c r="DT17" s="5">
        <f t="shared" ca="1" si="119"/>
        <v>284.45</v>
      </c>
      <c r="DU17" s="5">
        <f t="shared" ca="1" si="120"/>
        <v>321.60000000000002</v>
      </c>
      <c r="DV17" s="5">
        <f t="shared" ca="1" si="121"/>
        <v>246.3</v>
      </c>
      <c r="DW17" s="5">
        <f t="shared" ca="1" si="122"/>
        <v>220.1</v>
      </c>
      <c r="DX17" s="5">
        <f t="shared" ca="1" si="123"/>
        <v>317.35000000000002</v>
      </c>
      <c r="DY17" s="5">
        <f t="shared" ca="1" si="124"/>
        <v>257.5</v>
      </c>
      <c r="DZ17" s="5">
        <f t="shared" ca="1" si="125"/>
        <v>217.5</v>
      </c>
      <c r="EA17" s="5">
        <f t="shared" ca="1" si="126"/>
        <v>270.05</v>
      </c>
      <c r="EB17" s="5">
        <f t="shared" ca="1" si="127"/>
        <v>421.85</v>
      </c>
      <c r="EC17" s="5">
        <f t="shared" ca="1" si="128"/>
        <v>412.85</v>
      </c>
      <c r="ED17" s="5">
        <f t="shared" ca="1" si="129"/>
        <v>252.75</v>
      </c>
      <c r="EE17" s="5">
        <f t="shared" ca="1" si="130"/>
        <v>281.75</v>
      </c>
      <c r="EF17" s="5">
        <f t="shared" ca="1" si="131"/>
        <v>338.55</v>
      </c>
      <c r="EG17" s="5">
        <f t="shared" ca="1" si="132"/>
        <v>251.3</v>
      </c>
      <c r="EH17" s="5">
        <f t="shared" ca="1" si="6"/>
        <v>186.15</v>
      </c>
      <c r="EI17" s="5">
        <f t="shared" ca="1" si="3"/>
        <v>269.55</v>
      </c>
      <c r="EJ17" s="5">
        <f t="shared" ca="1" si="3"/>
        <v>353.3</v>
      </c>
      <c r="EK17" s="5">
        <f t="shared" ca="1" si="3"/>
        <v>255.65</v>
      </c>
      <c r="EL17" s="5">
        <f t="shared" ca="1" si="3"/>
        <v>311.89999999999998</v>
      </c>
      <c r="EM17" s="5">
        <f t="shared" ca="1" si="3"/>
        <v>312.85000000000002</v>
      </c>
      <c r="EN17" s="5">
        <f t="shared" ca="1" si="3"/>
        <v>227.85</v>
      </c>
      <c r="EO17" s="5">
        <f t="shared" ca="1" si="3"/>
        <v>305.75</v>
      </c>
      <c r="EP17" s="5">
        <f t="shared" ca="1" si="3"/>
        <v>219.9</v>
      </c>
      <c r="EQ17" s="5">
        <f t="shared" ca="1" si="3"/>
        <v>271.35000000000002</v>
      </c>
      <c r="ER17" s="5">
        <f t="shared" ca="1" si="3"/>
        <v>261.95</v>
      </c>
      <c r="ES17" s="5">
        <f t="shared" ca="1" si="3"/>
        <v>387.9</v>
      </c>
      <c r="ET17" s="5">
        <f t="shared" ca="1" si="3"/>
        <v>233.7</v>
      </c>
      <c r="EU17" s="5">
        <f t="shared" ca="1" si="3"/>
        <v>224.55</v>
      </c>
      <c r="EV17" s="5">
        <f t="shared" ca="1" si="3"/>
        <v>251.35</v>
      </c>
      <c r="EW17" s="5">
        <f t="shared" ca="1" si="3"/>
        <v>320.45</v>
      </c>
      <c r="EX17" s="5">
        <f t="shared" ca="1" si="3"/>
        <v>289.64999999999998</v>
      </c>
    </row>
    <row r="18" spans="1:154" s="4" customFormat="1" x14ac:dyDescent="0.3">
      <c r="A18" s="3">
        <v>42791</v>
      </c>
      <c r="B18" s="4">
        <v>251.05</v>
      </c>
      <c r="C18" s="4">
        <f t="shared" si="0"/>
        <v>-2.8856649427732105E-2</v>
      </c>
      <c r="J18" s="5">
        <f t="shared" ca="1" si="4"/>
        <v>326</v>
      </c>
      <c r="K18" s="5">
        <f t="shared" ca="1" si="7"/>
        <v>380.45</v>
      </c>
      <c r="L18" s="5">
        <f t="shared" ca="1" si="8"/>
        <v>174.85</v>
      </c>
      <c r="M18" s="5">
        <f t="shared" ca="1" si="9"/>
        <v>208</v>
      </c>
      <c r="N18" s="5">
        <f t="shared" ca="1" si="10"/>
        <v>160.5</v>
      </c>
      <c r="O18" s="5">
        <f t="shared" ca="1" si="11"/>
        <v>409.55</v>
      </c>
      <c r="P18" s="5">
        <f t="shared" ca="1" si="12"/>
        <v>222.6</v>
      </c>
      <c r="Q18" s="5">
        <f t="shared" ca="1" si="13"/>
        <v>337.2</v>
      </c>
      <c r="R18" s="5">
        <f t="shared" ca="1" si="14"/>
        <v>525.6</v>
      </c>
      <c r="S18" s="5">
        <f t="shared" ca="1" si="15"/>
        <v>224.9</v>
      </c>
      <c r="T18" s="5">
        <f t="shared" ca="1" si="16"/>
        <v>278.55</v>
      </c>
      <c r="U18" s="5">
        <f t="shared" ca="1" si="17"/>
        <v>212.3</v>
      </c>
      <c r="V18" s="5">
        <f t="shared" ca="1" si="18"/>
        <v>239.75</v>
      </c>
      <c r="W18" s="5">
        <f t="shared" ca="1" si="19"/>
        <v>302.55</v>
      </c>
      <c r="X18" s="5">
        <f t="shared" ca="1" si="20"/>
        <v>258.64999999999998</v>
      </c>
      <c r="Y18" s="5">
        <f t="shared" ca="1" si="21"/>
        <v>256.14999999999998</v>
      </c>
      <c r="Z18" s="5">
        <f t="shared" ca="1" si="22"/>
        <v>292.7</v>
      </c>
      <c r="AA18" s="5">
        <f t="shared" ca="1" si="23"/>
        <v>324.3</v>
      </c>
      <c r="AB18" s="5">
        <f t="shared" ca="1" si="24"/>
        <v>343.15</v>
      </c>
      <c r="AC18" s="5">
        <f t="shared" ca="1" si="25"/>
        <v>297.14999999999998</v>
      </c>
      <c r="AD18" s="5">
        <f t="shared" ca="1" si="26"/>
        <v>239.8</v>
      </c>
      <c r="AE18" s="5">
        <f t="shared" ca="1" si="27"/>
        <v>435</v>
      </c>
      <c r="AF18" s="5">
        <f t="shared" ca="1" si="28"/>
        <v>173.9</v>
      </c>
      <c r="AG18" s="5">
        <f t="shared" ca="1" si="29"/>
        <v>210.75</v>
      </c>
      <c r="AH18" s="5">
        <f t="shared" ca="1" si="30"/>
        <v>193.4</v>
      </c>
      <c r="AI18" s="5">
        <f t="shared" ca="1" si="31"/>
        <v>359.25</v>
      </c>
      <c r="AJ18" s="5">
        <f t="shared" ca="1" si="32"/>
        <v>287.8</v>
      </c>
      <c r="AK18" s="5">
        <f t="shared" ca="1" si="33"/>
        <v>208.8</v>
      </c>
      <c r="AL18" s="5">
        <f t="shared" ca="1" si="34"/>
        <v>360.5</v>
      </c>
      <c r="AM18" s="5">
        <f t="shared" ca="1" si="35"/>
        <v>273.75</v>
      </c>
      <c r="AN18" s="5">
        <f t="shared" ca="1" si="36"/>
        <v>210.75</v>
      </c>
      <c r="AO18" s="5">
        <f t="shared" ca="1" si="37"/>
        <v>259.5</v>
      </c>
      <c r="AP18" s="5">
        <f t="shared" ca="1" si="38"/>
        <v>303.95</v>
      </c>
      <c r="AQ18" s="5">
        <f t="shared" ca="1" si="39"/>
        <v>193.35</v>
      </c>
      <c r="AR18" s="5">
        <f t="shared" ca="1" si="40"/>
        <v>192.5</v>
      </c>
      <c r="AS18" s="5">
        <f t="shared" ca="1" si="41"/>
        <v>346.65</v>
      </c>
      <c r="AT18" s="5">
        <f t="shared" ca="1" si="42"/>
        <v>334.45</v>
      </c>
      <c r="AU18" s="5">
        <f t="shared" ca="1" si="43"/>
        <v>212.05</v>
      </c>
      <c r="AV18" s="5">
        <f t="shared" ca="1" si="44"/>
        <v>250.6</v>
      </c>
      <c r="AW18" s="5">
        <f t="shared" ca="1" si="45"/>
        <v>244.1</v>
      </c>
      <c r="AX18" s="5">
        <f t="shared" ca="1" si="46"/>
        <v>242.45</v>
      </c>
      <c r="AY18" s="5">
        <f t="shared" ca="1" si="47"/>
        <v>319.39999999999998</v>
      </c>
      <c r="AZ18" s="5">
        <f t="shared" ca="1" si="48"/>
        <v>254.1</v>
      </c>
      <c r="BA18" s="5">
        <f t="shared" ca="1" si="49"/>
        <v>194.2</v>
      </c>
      <c r="BB18" s="5">
        <f t="shared" ca="1" si="50"/>
        <v>262</v>
      </c>
      <c r="BC18" s="5">
        <f t="shared" ca="1" si="51"/>
        <v>285.35000000000002</v>
      </c>
      <c r="BD18" s="5">
        <f t="shared" ca="1" si="52"/>
        <v>214.3</v>
      </c>
      <c r="BE18" s="5">
        <f t="shared" ca="1" si="53"/>
        <v>305.95</v>
      </c>
      <c r="BF18" s="5">
        <f t="shared" ca="1" si="54"/>
        <v>299.2</v>
      </c>
      <c r="BG18" s="5">
        <f t="shared" ca="1" si="55"/>
        <v>517.6</v>
      </c>
      <c r="BH18" s="5">
        <f t="shared" ca="1" si="56"/>
        <v>313.64999999999998</v>
      </c>
      <c r="BI18" s="5">
        <f t="shared" ca="1" si="57"/>
        <v>216.4</v>
      </c>
      <c r="BJ18" s="5">
        <f t="shared" ca="1" si="58"/>
        <v>316.10000000000002</v>
      </c>
      <c r="BK18" s="5">
        <f t="shared" ca="1" si="59"/>
        <v>204.15</v>
      </c>
      <c r="BL18" s="5">
        <f t="shared" ca="1" si="60"/>
        <v>226.9</v>
      </c>
      <c r="BM18" s="5">
        <f t="shared" ca="1" si="61"/>
        <v>120.4</v>
      </c>
      <c r="BN18" s="5">
        <f t="shared" ca="1" si="62"/>
        <v>321.7</v>
      </c>
      <c r="BO18" s="5">
        <f t="shared" ca="1" si="63"/>
        <v>253.35</v>
      </c>
      <c r="BP18" s="5">
        <f t="shared" ca="1" si="64"/>
        <v>295.64999999999998</v>
      </c>
      <c r="BQ18" s="5">
        <f t="shared" ca="1" si="65"/>
        <v>412.05</v>
      </c>
      <c r="BR18" s="5">
        <f t="shared" ca="1" si="66"/>
        <v>218.95</v>
      </c>
      <c r="BS18" s="5">
        <f t="shared" ca="1" si="67"/>
        <v>279.3</v>
      </c>
      <c r="BT18" s="5">
        <f t="shared" ca="1" si="68"/>
        <v>216.85</v>
      </c>
      <c r="BU18" s="5">
        <f t="shared" ca="1" si="69"/>
        <v>225.5</v>
      </c>
      <c r="BV18" s="5">
        <f t="shared" ca="1" si="5"/>
        <v>351.8</v>
      </c>
      <c r="BW18" s="5">
        <f t="shared" ca="1" si="70"/>
        <v>369.2</v>
      </c>
      <c r="BX18" s="5">
        <f t="shared" ca="1" si="71"/>
        <v>181</v>
      </c>
      <c r="BY18" s="5">
        <f t="shared" ca="1" si="72"/>
        <v>359.95</v>
      </c>
      <c r="BZ18" s="5">
        <f t="shared" ca="1" si="73"/>
        <v>187.4</v>
      </c>
      <c r="CA18" s="5">
        <f t="shared" ca="1" si="74"/>
        <v>385.2</v>
      </c>
      <c r="CB18" s="5">
        <f t="shared" ca="1" si="75"/>
        <v>404.35</v>
      </c>
      <c r="CC18" s="5">
        <f t="shared" ca="1" si="76"/>
        <v>182.9</v>
      </c>
      <c r="CD18" s="5">
        <f t="shared" ca="1" si="77"/>
        <v>220.2</v>
      </c>
      <c r="CE18" s="5">
        <f t="shared" ca="1" si="78"/>
        <v>192.45</v>
      </c>
      <c r="CF18" s="5">
        <f t="shared" ca="1" si="79"/>
        <v>239.3</v>
      </c>
      <c r="CG18" s="5">
        <f t="shared" ca="1" si="80"/>
        <v>318.89999999999998</v>
      </c>
      <c r="CH18" s="5">
        <f t="shared" ca="1" si="81"/>
        <v>278.14999999999998</v>
      </c>
      <c r="CI18" s="5">
        <f t="shared" ca="1" si="82"/>
        <v>244.5</v>
      </c>
      <c r="CJ18" s="5">
        <f t="shared" ca="1" si="83"/>
        <v>319.3</v>
      </c>
      <c r="CK18" s="5">
        <f t="shared" ca="1" si="84"/>
        <v>228.75</v>
      </c>
      <c r="CL18" s="5">
        <f t="shared" ca="1" si="85"/>
        <v>327.75</v>
      </c>
      <c r="CM18" s="5">
        <f t="shared" ca="1" si="86"/>
        <v>293.64999999999998</v>
      </c>
      <c r="CN18" s="5">
        <f t="shared" ca="1" si="87"/>
        <v>364.1</v>
      </c>
      <c r="CO18" s="5">
        <f t="shared" ca="1" si="88"/>
        <v>386.45</v>
      </c>
      <c r="CP18" s="5">
        <f t="shared" ca="1" si="89"/>
        <v>232.3</v>
      </c>
      <c r="CQ18" s="5">
        <f t="shared" ca="1" si="90"/>
        <v>267.64999999999998</v>
      </c>
      <c r="CR18" s="5">
        <f t="shared" ca="1" si="91"/>
        <v>211.4</v>
      </c>
      <c r="CS18" s="5">
        <f t="shared" ca="1" si="92"/>
        <v>457.75</v>
      </c>
      <c r="CT18" s="5">
        <f t="shared" ca="1" si="93"/>
        <v>250.15</v>
      </c>
      <c r="CU18" s="5">
        <f t="shared" ca="1" si="94"/>
        <v>258.05</v>
      </c>
      <c r="CV18" s="5">
        <f t="shared" ca="1" si="95"/>
        <v>206.9</v>
      </c>
      <c r="CW18" s="5">
        <f t="shared" ca="1" si="96"/>
        <v>327.25</v>
      </c>
      <c r="CX18" s="5">
        <f t="shared" ca="1" si="97"/>
        <v>390.5</v>
      </c>
      <c r="CY18" s="5">
        <f t="shared" ca="1" si="98"/>
        <v>325.7</v>
      </c>
      <c r="CZ18" s="5">
        <f t="shared" ca="1" si="99"/>
        <v>229.65</v>
      </c>
      <c r="DA18" s="5">
        <f t="shared" ca="1" si="100"/>
        <v>316.60000000000002</v>
      </c>
      <c r="DB18" s="5">
        <f t="shared" ca="1" si="101"/>
        <v>374.95</v>
      </c>
      <c r="DC18" s="5">
        <f t="shared" ca="1" si="102"/>
        <v>290.60000000000002</v>
      </c>
      <c r="DD18" s="5">
        <f t="shared" ca="1" si="103"/>
        <v>430.15</v>
      </c>
      <c r="DE18" s="5">
        <f t="shared" ca="1" si="104"/>
        <v>228</v>
      </c>
      <c r="DF18" s="5">
        <f t="shared" ca="1" si="105"/>
        <v>258.64999999999998</v>
      </c>
      <c r="DG18" s="5">
        <f t="shared" ca="1" si="106"/>
        <v>391.7</v>
      </c>
      <c r="DH18" s="5">
        <f t="shared" ca="1" si="107"/>
        <v>211.15</v>
      </c>
      <c r="DI18" s="5">
        <f t="shared" ca="1" si="108"/>
        <v>191.55</v>
      </c>
      <c r="DJ18" s="5">
        <f t="shared" ca="1" si="109"/>
        <v>289.95</v>
      </c>
      <c r="DK18" s="5">
        <f t="shared" ca="1" si="110"/>
        <v>310.45</v>
      </c>
      <c r="DL18" s="5">
        <f t="shared" ca="1" si="111"/>
        <v>237.65</v>
      </c>
      <c r="DM18" s="5">
        <f t="shared" ca="1" si="112"/>
        <v>303.60000000000002</v>
      </c>
      <c r="DN18" s="5">
        <f t="shared" ca="1" si="113"/>
        <v>176.2</v>
      </c>
      <c r="DO18" s="5">
        <f t="shared" ca="1" si="114"/>
        <v>263.89999999999998</v>
      </c>
      <c r="DP18" s="5">
        <f t="shared" ca="1" si="115"/>
        <v>234.3</v>
      </c>
      <c r="DQ18" s="5">
        <f t="shared" ca="1" si="116"/>
        <v>228.65</v>
      </c>
      <c r="DR18" s="5">
        <f t="shared" ca="1" si="117"/>
        <v>237.45</v>
      </c>
      <c r="DS18" s="5">
        <f t="shared" ca="1" si="118"/>
        <v>374.45</v>
      </c>
      <c r="DT18" s="5">
        <f t="shared" ca="1" si="119"/>
        <v>299.95</v>
      </c>
      <c r="DU18" s="5">
        <f t="shared" ca="1" si="120"/>
        <v>307.45</v>
      </c>
      <c r="DV18" s="5">
        <f t="shared" ca="1" si="121"/>
        <v>263</v>
      </c>
      <c r="DW18" s="5">
        <f t="shared" ca="1" si="122"/>
        <v>213.95</v>
      </c>
      <c r="DX18" s="5">
        <f t="shared" ca="1" si="123"/>
        <v>308.2</v>
      </c>
      <c r="DY18" s="5">
        <f t="shared" ca="1" si="124"/>
        <v>251.4</v>
      </c>
      <c r="DZ18" s="5">
        <f t="shared" ca="1" si="125"/>
        <v>201.1</v>
      </c>
      <c r="EA18" s="5">
        <f t="shared" ca="1" si="126"/>
        <v>276.35000000000002</v>
      </c>
      <c r="EB18" s="5">
        <f t="shared" ca="1" si="127"/>
        <v>403.25</v>
      </c>
      <c r="EC18" s="5">
        <f t="shared" ca="1" si="128"/>
        <v>409.55</v>
      </c>
      <c r="ED18" s="5">
        <f t="shared" ca="1" si="129"/>
        <v>241.1</v>
      </c>
      <c r="EE18" s="5">
        <f t="shared" ca="1" si="130"/>
        <v>274.85000000000002</v>
      </c>
      <c r="EF18" s="5">
        <f t="shared" ca="1" si="131"/>
        <v>316.39999999999998</v>
      </c>
      <c r="EG18" s="5">
        <f t="shared" ca="1" si="132"/>
        <v>244.5</v>
      </c>
      <c r="EH18" s="5">
        <f t="shared" ca="1" si="6"/>
        <v>180.1</v>
      </c>
      <c r="EI18" s="5">
        <f t="shared" ca="1" si="3"/>
        <v>261.2</v>
      </c>
      <c r="EJ18" s="5">
        <f t="shared" ca="1" si="3"/>
        <v>364.85</v>
      </c>
      <c r="EK18" s="5">
        <f t="shared" ca="1" si="3"/>
        <v>249.5</v>
      </c>
      <c r="EL18" s="5">
        <f t="shared" ca="1" si="3"/>
        <v>287.89999999999998</v>
      </c>
      <c r="EM18" s="5">
        <f t="shared" ca="1" si="3"/>
        <v>322.8</v>
      </c>
      <c r="EN18" s="5">
        <f t="shared" ca="1" si="3"/>
        <v>241.85</v>
      </c>
      <c r="EO18" s="5">
        <f t="shared" ca="1" si="3"/>
        <v>313.39999999999998</v>
      </c>
      <c r="EP18" s="5">
        <f t="shared" ca="1" si="3"/>
        <v>190.1</v>
      </c>
      <c r="EQ18" s="5">
        <f t="shared" ca="1" si="3"/>
        <v>291.60000000000002</v>
      </c>
      <c r="ER18" s="5">
        <f t="shared" ca="1" si="3"/>
        <v>247.9</v>
      </c>
      <c r="ES18" s="5">
        <f t="shared" ca="1" si="3"/>
        <v>405.55</v>
      </c>
      <c r="ET18" s="5">
        <f t="shared" ca="1" si="3"/>
        <v>239.65</v>
      </c>
      <c r="EU18" s="5">
        <f t="shared" ca="1" si="3"/>
        <v>225.85</v>
      </c>
      <c r="EV18" s="5">
        <f t="shared" ca="1" si="3"/>
        <v>255.2</v>
      </c>
      <c r="EW18" s="5">
        <f t="shared" ca="1" si="3"/>
        <v>308.85000000000002</v>
      </c>
      <c r="EX18" s="5">
        <f t="shared" ca="1" si="3"/>
        <v>277.85000000000002</v>
      </c>
    </row>
    <row r="19" spans="1:154" s="4" customFormat="1" x14ac:dyDescent="0.3">
      <c r="A19" s="3">
        <v>42792</v>
      </c>
      <c r="B19" s="4">
        <v>258.39999999999998</v>
      </c>
      <c r="C19" s="4">
        <f t="shared" si="0"/>
        <v>1.9351717525308457E-4</v>
      </c>
      <c r="J19" s="5">
        <f t="shared" ca="1" si="4"/>
        <v>353.55</v>
      </c>
      <c r="K19" s="5">
        <f t="shared" ca="1" si="7"/>
        <v>359.55</v>
      </c>
      <c r="L19" s="5">
        <f t="shared" ca="1" si="8"/>
        <v>158.9</v>
      </c>
      <c r="M19" s="5">
        <f t="shared" ca="1" si="9"/>
        <v>205.35</v>
      </c>
      <c r="N19" s="5">
        <f t="shared" ca="1" si="10"/>
        <v>155.69999999999999</v>
      </c>
      <c r="O19" s="5">
        <f t="shared" ca="1" si="11"/>
        <v>399.25</v>
      </c>
      <c r="P19" s="5">
        <f t="shared" ca="1" si="12"/>
        <v>215.1</v>
      </c>
      <c r="Q19" s="5">
        <f t="shared" ca="1" si="13"/>
        <v>341.85</v>
      </c>
      <c r="R19" s="5">
        <f t="shared" ca="1" si="14"/>
        <v>520.25</v>
      </c>
      <c r="S19" s="5">
        <f t="shared" ca="1" si="15"/>
        <v>203.45</v>
      </c>
      <c r="T19" s="5">
        <f t="shared" ca="1" si="16"/>
        <v>276.89999999999998</v>
      </c>
      <c r="U19" s="5">
        <f t="shared" ca="1" si="17"/>
        <v>240.75</v>
      </c>
      <c r="V19" s="5">
        <f t="shared" ca="1" si="18"/>
        <v>250.1</v>
      </c>
      <c r="W19" s="5">
        <f t="shared" ca="1" si="19"/>
        <v>304.10000000000002</v>
      </c>
      <c r="X19" s="5">
        <f t="shared" ca="1" si="20"/>
        <v>253.85</v>
      </c>
      <c r="Y19" s="5">
        <f t="shared" ca="1" si="21"/>
        <v>252.6</v>
      </c>
      <c r="Z19" s="5">
        <f t="shared" ca="1" si="22"/>
        <v>294.35000000000002</v>
      </c>
      <c r="AA19" s="5">
        <f t="shared" ca="1" si="23"/>
        <v>312</v>
      </c>
      <c r="AB19" s="5">
        <f t="shared" ca="1" si="24"/>
        <v>321.14999999999998</v>
      </c>
      <c r="AC19" s="5">
        <f t="shared" ca="1" si="25"/>
        <v>332.6</v>
      </c>
      <c r="AD19" s="5">
        <f t="shared" ca="1" si="26"/>
        <v>235.5</v>
      </c>
      <c r="AE19" s="5">
        <f t="shared" ca="1" si="27"/>
        <v>466.45</v>
      </c>
      <c r="AF19" s="5">
        <f t="shared" ca="1" si="28"/>
        <v>214.15</v>
      </c>
      <c r="AG19" s="5">
        <f t="shared" ca="1" si="29"/>
        <v>211.55</v>
      </c>
      <c r="AH19" s="5">
        <f t="shared" ca="1" si="30"/>
        <v>190.65</v>
      </c>
      <c r="AI19" s="5">
        <f t="shared" ca="1" si="31"/>
        <v>391.05</v>
      </c>
      <c r="AJ19" s="5">
        <f t="shared" ca="1" si="32"/>
        <v>252.2</v>
      </c>
      <c r="AK19" s="5">
        <f t="shared" ca="1" si="33"/>
        <v>210.35</v>
      </c>
      <c r="AL19" s="5">
        <f t="shared" ca="1" si="34"/>
        <v>339.5</v>
      </c>
      <c r="AM19" s="5">
        <f t="shared" ca="1" si="35"/>
        <v>301.05</v>
      </c>
      <c r="AN19" s="5">
        <f t="shared" ca="1" si="36"/>
        <v>189.25</v>
      </c>
      <c r="AO19" s="5">
        <f t="shared" ca="1" si="37"/>
        <v>253</v>
      </c>
      <c r="AP19" s="5">
        <f t="shared" ca="1" si="38"/>
        <v>286.8</v>
      </c>
      <c r="AQ19" s="5">
        <f t="shared" ca="1" si="39"/>
        <v>187.9</v>
      </c>
      <c r="AR19" s="5">
        <f t="shared" ca="1" si="40"/>
        <v>181.1</v>
      </c>
      <c r="AS19" s="5">
        <f t="shared" ca="1" si="41"/>
        <v>341.7</v>
      </c>
      <c r="AT19" s="5">
        <f t="shared" ca="1" si="42"/>
        <v>322.05</v>
      </c>
      <c r="AU19" s="5">
        <f t="shared" ca="1" si="43"/>
        <v>207.9</v>
      </c>
      <c r="AV19" s="5">
        <f t="shared" ca="1" si="44"/>
        <v>227.2</v>
      </c>
      <c r="AW19" s="5">
        <f t="shared" ca="1" si="45"/>
        <v>246.4</v>
      </c>
      <c r="AX19" s="5">
        <f t="shared" ca="1" si="46"/>
        <v>226.6</v>
      </c>
      <c r="AY19" s="5">
        <f t="shared" ca="1" si="47"/>
        <v>315.89999999999998</v>
      </c>
      <c r="AZ19" s="5">
        <f t="shared" ca="1" si="48"/>
        <v>263.05</v>
      </c>
      <c r="BA19" s="5">
        <f t="shared" ca="1" si="49"/>
        <v>195.15</v>
      </c>
      <c r="BB19" s="5">
        <f t="shared" ca="1" si="50"/>
        <v>250.3</v>
      </c>
      <c r="BC19" s="5">
        <f t="shared" ca="1" si="51"/>
        <v>309.5</v>
      </c>
      <c r="BD19" s="5">
        <f t="shared" ca="1" si="52"/>
        <v>208.4</v>
      </c>
      <c r="BE19" s="5">
        <f t="shared" ca="1" si="53"/>
        <v>312</v>
      </c>
      <c r="BF19" s="5">
        <f t="shared" ca="1" si="54"/>
        <v>316.55</v>
      </c>
      <c r="BG19" s="5">
        <f t="shared" ca="1" si="55"/>
        <v>455.9</v>
      </c>
      <c r="BH19" s="5">
        <f t="shared" ca="1" si="56"/>
        <v>312.3</v>
      </c>
      <c r="BI19" s="5">
        <f t="shared" ca="1" si="57"/>
        <v>217.8</v>
      </c>
      <c r="BJ19" s="5">
        <f t="shared" ca="1" si="58"/>
        <v>325.45</v>
      </c>
      <c r="BK19" s="5">
        <f t="shared" ca="1" si="59"/>
        <v>201.6</v>
      </c>
      <c r="BL19" s="5">
        <f t="shared" ca="1" si="60"/>
        <v>250.25</v>
      </c>
      <c r="BM19" s="5">
        <f t="shared" ca="1" si="61"/>
        <v>119.25</v>
      </c>
      <c r="BN19" s="5">
        <f t="shared" ca="1" si="62"/>
        <v>288.25</v>
      </c>
      <c r="BO19" s="5">
        <f t="shared" ca="1" si="63"/>
        <v>250.1</v>
      </c>
      <c r="BP19" s="5">
        <f t="shared" ca="1" si="64"/>
        <v>321</v>
      </c>
      <c r="BQ19" s="5">
        <f t="shared" ca="1" si="65"/>
        <v>391.2</v>
      </c>
      <c r="BR19" s="5">
        <f t="shared" ca="1" si="66"/>
        <v>226.1</v>
      </c>
      <c r="BS19" s="5">
        <f t="shared" ca="1" si="67"/>
        <v>295.95</v>
      </c>
      <c r="BT19" s="5">
        <f t="shared" ca="1" si="68"/>
        <v>243</v>
      </c>
      <c r="BU19" s="5">
        <f t="shared" ca="1" si="69"/>
        <v>218</v>
      </c>
      <c r="BV19" s="5">
        <f t="shared" ca="1" si="5"/>
        <v>342.45</v>
      </c>
      <c r="BW19" s="5">
        <f t="shared" ca="1" si="70"/>
        <v>401.6</v>
      </c>
      <c r="BX19" s="5">
        <f t="shared" ca="1" si="71"/>
        <v>178.3</v>
      </c>
      <c r="BY19" s="5">
        <f t="shared" ca="1" si="72"/>
        <v>351.65</v>
      </c>
      <c r="BZ19" s="5">
        <f t="shared" ca="1" si="73"/>
        <v>195.65</v>
      </c>
      <c r="CA19" s="5">
        <f t="shared" ca="1" si="74"/>
        <v>385.8</v>
      </c>
      <c r="CB19" s="5">
        <f t="shared" ca="1" si="75"/>
        <v>404.3</v>
      </c>
      <c r="CC19" s="5">
        <f t="shared" ca="1" si="76"/>
        <v>185.35</v>
      </c>
      <c r="CD19" s="5">
        <f t="shared" ca="1" si="77"/>
        <v>197.15</v>
      </c>
      <c r="CE19" s="5">
        <f t="shared" ca="1" si="78"/>
        <v>184.25</v>
      </c>
      <c r="CF19" s="5">
        <f t="shared" ca="1" si="79"/>
        <v>225.5</v>
      </c>
      <c r="CG19" s="5">
        <f t="shared" ca="1" si="80"/>
        <v>338.9</v>
      </c>
      <c r="CH19" s="5">
        <f t="shared" ca="1" si="81"/>
        <v>308.5</v>
      </c>
      <c r="CI19" s="5">
        <f t="shared" ca="1" si="82"/>
        <v>258.05</v>
      </c>
      <c r="CJ19" s="5">
        <f t="shared" ca="1" si="83"/>
        <v>321.60000000000002</v>
      </c>
      <c r="CK19" s="5">
        <f t="shared" ca="1" si="84"/>
        <v>250.35</v>
      </c>
      <c r="CL19" s="5">
        <f t="shared" ca="1" si="85"/>
        <v>328.1</v>
      </c>
      <c r="CM19" s="5">
        <f t="shared" ca="1" si="86"/>
        <v>274.7</v>
      </c>
      <c r="CN19" s="5">
        <f t="shared" ca="1" si="87"/>
        <v>370.55</v>
      </c>
      <c r="CO19" s="5">
        <f t="shared" ca="1" si="88"/>
        <v>328.25</v>
      </c>
      <c r="CP19" s="5">
        <f t="shared" ca="1" si="89"/>
        <v>225.7</v>
      </c>
      <c r="CQ19" s="5">
        <f t="shared" ca="1" si="90"/>
        <v>241.85</v>
      </c>
      <c r="CR19" s="5">
        <f t="shared" ca="1" si="91"/>
        <v>207.55</v>
      </c>
      <c r="CS19" s="5">
        <f t="shared" ca="1" si="92"/>
        <v>455.25</v>
      </c>
      <c r="CT19" s="5">
        <f t="shared" ca="1" si="93"/>
        <v>239.65</v>
      </c>
      <c r="CU19" s="5">
        <f t="shared" ca="1" si="94"/>
        <v>275.89999999999998</v>
      </c>
      <c r="CV19" s="5">
        <f t="shared" ca="1" si="95"/>
        <v>192</v>
      </c>
      <c r="CW19" s="5">
        <f t="shared" ca="1" si="96"/>
        <v>300.7</v>
      </c>
      <c r="CX19" s="5">
        <f t="shared" ca="1" si="97"/>
        <v>400.45</v>
      </c>
      <c r="CY19" s="5">
        <f t="shared" ca="1" si="98"/>
        <v>352.4</v>
      </c>
      <c r="CZ19" s="5">
        <f t="shared" ca="1" si="99"/>
        <v>248.3</v>
      </c>
      <c r="DA19" s="5">
        <f t="shared" ca="1" si="100"/>
        <v>339.4</v>
      </c>
      <c r="DB19" s="5">
        <f t="shared" ca="1" si="101"/>
        <v>366.65</v>
      </c>
      <c r="DC19" s="5">
        <f t="shared" ca="1" si="102"/>
        <v>320.10000000000002</v>
      </c>
      <c r="DD19" s="5">
        <f t="shared" ca="1" si="103"/>
        <v>457.75</v>
      </c>
      <c r="DE19" s="5">
        <f t="shared" ca="1" si="104"/>
        <v>217.25</v>
      </c>
      <c r="DF19" s="5">
        <f t="shared" ca="1" si="105"/>
        <v>230.05</v>
      </c>
      <c r="DG19" s="5">
        <f t="shared" ca="1" si="106"/>
        <v>365.85</v>
      </c>
      <c r="DH19" s="5">
        <f t="shared" ca="1" si="107"/>
        <v>201.6</v>
      </c>
      <c r="DI19" s="5">
        <f t="shared" ca="1" si="108"/>
        <v>183.05</v>
      </c>
      <c r="DJ19" s="5">
        <f t="shared" ca="1" si="109"/>
        <v>281.25</v>
      </c>
      <c r="DK19" s="5">
        <f t="shared" ca="1" si="110"/>
        <v>330.95</v>
      </c>
      <c r="DL19" s="5">
        <f t="shared" ca="1" si="111"/>
        <v>243.4</v>
      </c>
      <c r="DM19" s="5">
        <f t="shared" ca="1" si="112"/>
        <v>330.05</v>
      </c>
      <c r="DN19" s="5">
        <f t="shared" ca="1" si="113"/>
        <v>162.55000000000001</v>
      </c>
      <c r="DO19" s="5">
        <f t="shared" ca="1" si="114"/>
        <v>259.85000000000002</v>
      </c>
      <c r="DP19" s="5">
        <f t="shared" ca="1" si="115"/>
        <v>218.1</v>
      </c>
      <c r="DQ19" s="5">
        <f t="shared" ca="1" si="116"/>
        <v>227.1</v>
      </c>
      <c r="DR19" s="5">
        <f t="shared" ca="1" si="117"/>
        <v>233.35</v>
      </c>
      <c r="DS19" s="5">
        <f t="shared" ca="1" si="118"/>
        <v>381.3</v>
      </c>
      <c r="DT19" s="5">
        <f t="shared" ca="1" si="119"/>
        <v>270.60000000000002</v>
      </c>
      <c r="DU19" s="5">
        <f t="shared" ca="1" si="120"/>
        <v>298.25</v>
      </c>
      <c r="DV19" s="5">
        <f t="shared" ca="1" si="121"/>
        <v>256.75</v>
      </c>
      <c r="DW19" s="5">
        <f t="shared" ca="1" si="122"/>
        <v>227.75</v>
      </c>
      <c r="DX19" s="5">
        <f t="shared" ca="1" si="123"/>
        <v>315.75</v>
      </c>
      <c r="DY19" s="5">
        <f t="shared" ca="1" si="124"/>
        <v>252.4</v>
      </c>
      <c r="DZ19" s="5">
        <f t="shared" ca="1" si="125"/>
        <v>189.9</v>
      </c>
      <c r="EA19" s="5">
        <f t="shared" ca="1" si="126"/>
        <v>254</v>
      </c>
      <c r="EB19" s="5">
        <f t="shared" ca="1" si="127"/>
        <v>377.8</v>
      </c>
      <c r="EC19" s="5">
        <f t="shared" ca="1" si="128"/>
        <v>440.95</v>
      </c>
      <c r="ED19" s="5">
        <f t="shared" ca="1" si="129"/>
        <v>247.2</v>
      </c>
      <c r="EE19" s="5">
        <f t="shared" ca="1" si="130"/>
        <v>292.7</v>
      </c>
      <c r="EF19" s="5">
        <f t="shared" ca="1" si="131"/>
        <v>336.95</v>
      </c>
      <c r="EG19" s="5">
        <f t="shared" ca="1" si="132"/>
        <v>244.25</v>
      </c>
      <c r="EH19" s="5">
        <f t="shared" ca="1" si="6"/>
        <v>170.65</v>
      </c>
      <c r="EI19" s="5">
        <f t="shared" ca="1" si="3"/>
        <v>236</v>
      </c>
      <c r="EJ19" s="5">
        <f t="shared" ca="1" si="3"/>
        <v>367.9</v>
      </c>
      <c r="EK19" s="5">
        <f t="shared" ca="1" si="3"/>
        <v>257.39999999999998</v>
      </c>
      <c r="EL19" s="5">
        <f t="shared" ca="1" si="3"/>
        <v>311.89999999999998</v>
      </c>
      <c r="EM19" s="5">
        <f t="shared" ca="1" si="3"/>
        <v>317.35000000000002</v>
      </c>
      <c r="EN19" s="5">
        <f t="shared" ca="1" si="3"/>
        <v>223.35</v>
      </c>
      <c r="EO19" s="5">
        <f t="shared" ca="1" si="3"/>
        <v>332.6</v>
      </c>
      <c r="EP19" s="5">
        <f t="shared" ca="1" si="3"/>
        <v>186.75</v>
      </c>
      <c r="EQ19" s="5">
        <f t="shared" ca="1" si="3"/>
        <v>314.55</v>
      </c>
      <c r="ER19" s="5">
        <f t="shared" ca="1" si="3"/>
        <v>247.95</v>
      </c>
      <c r="ES19" s="5">
        <f t="shared" ca="1" si="3"/>
        <v>382.7</v>
      </c>
      <c r="ET19" s="5">
        <f t="shared" ca="1" si="3"/>
        <v>242.1</v>
      </c>
      <c r="EU19" s="5">
        <f t="shared" ca="1" si="3"/>
        <v>195.55</v>
      </c>
      <c r="EV19" s="5">
        <f t="shared" ca="1" si="3"/>
        <v>238.7</v>
      </c>
      <c r="EW19" s="5">
        <f t="shared" ca="1" si="3"/>
        <v>284.8</v>
      </c>
      <c r="EX19" s="5">
        <f t="shared" ref="EX19:EX23" ca="1" si="133">MROUND(EX18*EXP($H$3+$F$3*_xlfn.NORM.S.INV(RAND()))*100,5)/100</f>
        <v>278.39999999999998</v>
      </c>
    </row>
    <row r="20" spans="1:154" s="4" customFormat="1" x14ac:dyDescent="0.3">
      <c r="A20" s="3">
        <v>42793</v>
      </c>
      <c r="B20" s="4">
        <v>258.35000000000002</v>
      </c>
      <c r="C20" s="4">
        <f t="shared" si="0"/>
        <v>9.1378102536312303E-3</v>
      </c>
      <c r="J20" s="5">
        <f t="shared" ca="1" si="4"/>
        <v>376.15</v>
      </c>
      <c r="K20" s="5">
        <f t="shared" ca="1" si="7"/>
        <v>367.3</v>
      </c>
      <c r="L20" s="5">
        <f t="shared" ca="1" si="8"/>
        <v>179.15</v>
      </c>
      <c r="M20" s="5">
        <f t="shared" ca="1" si="9"/>
        <v>212.2</v>
      </c>
      <c r="N20" s="5">
        <f t="shared" ca="1" si="10"/>
        <v>162</v>
      </c>
      <c r="O20" s="5">
        <f t="shared" ca="1" si="11"/>
        <v>403.65</v>
      </c>
      <c r="P20" s="5">
        <f t="shared" ca="1" si="12"/>
        <v>217.3</v>
      </c>
      <c r="Q20" s="5">
        <f t="shared" ca="1" si="13"/>
        <v>334.55</v>
      </c>
      <c r="R20" s="5">
        <f t="shared" ca="1" si="14"/>
        <v>558.79999999999995</v>
      </c>
      <c r="S20" s="5">
        <f t="shared" ca="1" si="15"/>
        <v>183.15</v>
      </c>
      <c r="T20" s="5">
        <f t="shared" ca="1" si="16"/>
        <v>280.3</v>
      </c>
      <c r="U20" s="5">
        <f t="shared" ca="1" si="17"/>
        <v>251</v>
      </c>
      <c r="V20" s="5">
        <f t="shared" ca="1" si="18"/>
        <v>251.8</v>
      </c>
      <c r="W20" s="5">
        <f t="shared" ca="1" si="19"/>
        <v>327</v>
      </c>
      <c r="X20" s="5">
        <f t="shared" ca="1" si="20"/>
        <v>277.3</v>
      </c>
      <c r="Y20" s="5">
        <f t="shared" ca="1" si="21"/>
        <v>218.7</v>
      </c>
      <c r="Z20" s="5">
        <f t="shared" ca="1" si="22"/>
        <v>295.64999999999998</v>
      </c>
      <c r="AA20" s="5">
        <f t="shared" ca="1" si="23"/>
        <v>289.45</v>
      </c>
      <c r="AB20" s="5">
        <f t="shared" ca="1" si="24"/>
        <v>307.3</v>
      </c>
      <c r="AC20" s="5">
        <f t="shared" ca="1" si="25"/>
        <v>345.3</v>
      </c>
      <c r="AD20" s="5">
        <f t="shared" ca="1" si="26"/>
        <v>218.9</v>
      </c>
      <c r="AE20" s="5">
        <f t="shared" ca="1" si="27"/>
        <v>426.65</v>
      </c>
      <c r="AF20" s="5">
        <f t="shared" ca="1" si="28"/>
        <v>224.6</v>
      </c>
      <c r="AG20" s="5">
        <f t="shared" ca="1" si="29"/>
        <v>225.7</v>
      </c>
      <c r="AH20" s="5">
        <f t="shared" ca="1" si="30"/>
        <v>204.05</v>
      </c>
      <c r="AI20" s="5">
        <f t="shared" ca="1" si="31"/>
        <v>329.85</v>
      </c>
      <c r="AJ20" s="5">
        <f t="shared" ca="1" si="32"/>
        <v>264</v>
      </c>
      <c r="AK20" s="5">
        <f t="shared" ca="1" si="33"/>
        <v>220.1</v>
      </c>
      <c r="AL20" s="5">
        <f t="shared" ca="1" si="34"/>
        <v>344.9</v>
      </c>
      <c r="AM20" s="5">
        <f t="shared" ca="1" si="35"/>
        <v>300.64999999999998</v>
      </c>
      <c r="AN20" s="5">
        <f t="shared" ca="1" si="36"/>
        <v>194.45</v>
      </c>
      <c r="AO20" s="5">
        <f t="shared" ca="1" si="37"/>
        <v>245</v>
      </c>
      <c r="AP20" s="5">
        <f t="shared" ca="1" si="38"/>
        <v>283.5</v>
      </c>
      <c r="AQ20" s="5">
        <f t="shared" ca="1" si="39"/>
        <v>195.05</v>
      </c>
      <c r="AR20" s="5">
        <f t="shared" ca="1" si="40"/>
        <v>176.1</v>
      </c>
      <c r="AS20" s="5">
        <f t="shared" ca="1" si="41"/>
        <v>342.65</v>
      </c>
      <c r="AT20" s="5">
        <f t="shared" ca="1" si="42"/>
        <v>288.75</v>
      </c>
      <c r="AU20" s="5">
        <f t="shared" ca="1" si="43"/>
        <v>190.3</v>
      </c>
      <c r="AV20" s="5">
        <f t="shared" ca="1" si="44"/>
        <v>211</v>
      </c>
      <c r="AW20" s="5">
        <f t="shared" ca="1" si="45"/>
        <v>251.45</v>
      </c>
      <c r="AX20" s="5">
        <f t="shared" ca="1" si="46"/>
        <v>219.45</v>
      </c>
      <c r="AY20" s="5">
        <f t="shared" ca="1" si="47"/>
        <v>290.25</v>
      </c>
      <c r="AZ20" s="5">
        <f t="shared" ca="1" si="48"/>
        <v>246.1</v>
      </c>
      <c r="BA20" s="5">
        <f t="shared" ca="1" si="49"/>
        <v>174.65</v>
      </c>
      <c r="BB20" s="5">
        <f t="shared" ca="1" si="50"/>
        <v>229.45</v>
      </c>
      <c r="BC20" s="5">
        <f t="shared" ca="1" si="51"/>
        <v>322.39999999999998</v>
      </c>
      <c r="BD20" s="5">
        <f t="shared" ca="1" si="52"/>
        <v>195.1</v>
      </c>
      <c r="BE20" s="5">
        <f t="shared" ca="1" si="53"/>
        <v>310.39999999999998</v>
      </c>
      <c r="BF20" s="5">
        <f t="shared" ca="1" si="54"/>
        <v>273.8</v>
      </c>
      <c r="BG20" s="5">
        <f t="shared" ca="1" si="55"/>
        <v>450.35</v>
      </c>
      <c r="BH20" s="5">
        <f t="shared" ca="1" si="56"/>
        <v>317.8</v>
      </c>
      <c r="BI20" s="5">
        <f t="shared" ca="1" si="57"/>
        <v>201.2</v>
      </c>
      <c r="BJ20" s="5">
        <f t="shared" ca="1" si="58"/>
        <v>319.2</v>
      </c>
      <c r="BK20" s="5">
        <f t="shared" ca="1" si="59"/>
        <v>194.05</v>
      </c>
      <c r="BL20" s="5">
        <f t="shared" ca="1" si="60"/>
        <v>239.2</v>
      </c>
      <c r="BM20" s="5">
        <f t="shared" ca="1" si="61"/>
        <v>124.4</v>
      </c>
      <c r="BN20" s="5">
        <f t="shared" ca="1" si="62"/>
        <v>262.39999999999998</v>
      </c>
      <c r="BO20" s="5">
        <f t="shared" ca="1" si="63"/>
        <v>270.5</v>
      </c>
      <c r="BP20" s="5">
        <f t="shared" ca="1" si="64"/>
        <v>315.7</v>
      </c>
      <c r="BQ20" s="5">
        <f t="shared" ca="1" si="65"/>
        <v>359.05</v>
      </c>
      <c r="BR20" s="5">
        <f t="shared" ca="1" si="66"/>
        <v>221.85</v>
      </c>
      <c r="BS20" s="5">
        <f t="shared" ca="1" si="67"/>
        <v>337.15</v>
      </c>
      <c r="BT20" s="5">
        <f t="shared" ca="1" si="68"/>
        <v>261.55</v>
      </c>
      <c r="BU20" s="5">
        <f t="shared" ca="1" si="69"/>
        <v>221.5</v>
      </c>
      <c r="BV20" s="5">
        <f t="shared" ca="1" si="5"/>
        <v>296.55</v>
      </c>
      <c r="BW20" s="5">
        <f t="shared" ca="1" si="70"/>
        <v>393.6</v>
      </c>
      <c r="BX20" s="5">
        <f t="shared" ca="1" si="71"/>
        <v>161</v>
      </c>
      <c r="BY20" s="5">
        <f t="shared" ca="1" si="72"/>
        <v>338.45</v>
      </c>
      <c r="BZ20" s="5">
        <f t="shared" ca="1" si="73"/>
        <v>228.5</v>
      </c>
      <c r="CA20" s="5">
        <f t="shared" ca="1" si="74"/>
        <v>389</v>
      </c>
      <c r="CB20" s="5">
        <f t="shared" ca="1" si="75"/>
        <v>418.7</v>
      </c>
      <c r="CC20" s="5">
        <f t="shared" ca="1" si="76"/>
        <v>202.5</v>
      </c>
      <c r="CD20" s="5">
        <f t="shared" ca="1" si="77"/>
        <v>194.85</v>
      </c>
      <c r="CE20" s="5">
        <f t="shared" ca="1" si="78"/>
        <v>193.95</v>
      </c>
      <c r="CF20" s="5">
        <f t="shared" ca="1" si="79"/>
        <v>241.5</v>
      </c>
      <c r="CG20" s="5">
        <f t="shared" ca="1" si="80"/>
        <v>354.85</v>
      </c>
      <c r="CH20" s="5">
        <f t="shared" ca="1" si="81"/>
        <v>293.7</v>
      </c>
      <c r="CI20" s="5">
        <f t="shared" ca="1" si="82"/>
        <v>279.64999999999998</v>
      </c>
      <c r="CJ20" s="5">
        <f t="shared" ca="1" si="83"/>
        <v>328.2</v>
      </c>
      <c r="CK20" s="5">
        <f t="shared" ca="1" si="84"/>
        <v>235.35</v>
      </c>
      <c r="CL20" s="5">
        <f t="shared" ca="1" si="85"/>
        <v>332.8</v>
      </c>
      <c r="CM20" s="5">
        <f t="shared" ca="1" si="86"/>
        <v>281.45</v>
      </c>
      <c r="CN20" s="5">
        <f t="shared" ca="1" si="87"/>
        <v>379.35</v>
      </c>
      <c r="CO20" s="5">
        <f t="shared" ca="1" si="88"/>
        <v>343.05</v>
      </c>
      <c r="CP20" s="5">
        <f t="shared" ca="1" si="89"/>
        <v>250.65</v>
      </c>
      <c r="CQ20" s="5">
        <f t="shared" ca="1" si="90"/>
        <v>252.25</v>
      </c>
      <c r="CR20" s="5">
        <f t="shared" ca="1" si="91"/>
        <v>211.8</v>
      </c>
      <c r="CS20" s="5">
        <f t="shared" ca="1" si="92"/>
        <v>487.5</v>
      </c>
      <c r="CT20" s="5">
        <f t="shared" ca="1" si="93"/>
        <v>252.7</v>
      </c>
      <c r="CU20" s="5">
        <f t="shared" ca="1" si="94"/>
        <v>275.10000000000002</v>
      </c>
      <c r="CV20" s="5">
        <f t="shared" ca="1" si="95"/>
        <v>197.15</v>
      </c>
      <c r="CW20" s="5">
        <f t="shared" ca="1" si="96"/>
        <v>278.89999999999998</v>
      </c>
      <c r="CX20" s="5">
        <f t="shared" ca="1" si="97"/>
        <v>359.65</v>
      </c>
      <c r="CY20" s="5">
        <f t="shared" ca="1" si="98"/>
        <v>364.6</v>
      </c>
      <c r="CZ20" s="5">
        <f t="shared" ca="1" si="99"/>
        <v>234.9</v>
      </c>
      <c r="DA20" s="5">
        <f t="shared" ca="1" si="100"/>
        <v>350.8</v>
      </c>
      <c r="DB20" s="5">
        <f t="shared" ca="1" si="101"/>
        <v>413.2</v>
      </c>
      <c r="DC20" s="5">
        <f t="shared" ca="1" si="102"/>
        <v>322.55</v>
      </c>
      <c r="DD20" s="5">
        <f t="shared" ca="1" si="103"/>
        <v>488.1</v>
      </c>
      <c r="DE20" s="5">
        <f t="shared" ca="1" si="104"/>
        <v>211.8</v>
      </c>
      <c r="DF20" s="5">
        <f t="shared" ca="1" si="105"/>
        <v>212.8</v>
      </c>
      <c r="DG20" s="5">
        <f t="shared" ca="1" si="106"/>
        <v>367.85</v>
      </c>
      <c r="DH20" s="5">
        <f t="shared" ca="1" si="107"/>
        <v>196.45</v>
      </c>
      <c r="DI20" s="5">
        <f t="shared" ca="1" si="108"/>
        <v>189.7</v>
      </c>
      <c r="DJ20" s="5">
        <f t="shared" ca="1" si="109"/>
        <v>281.3</v>
      </c>
      <c r="DK20" s="5">
        <f t="shared" ca="1" si="110"/>
        <v>315.2</v>
      </c>
      <c r="DL20" s="5">
        <f t="shared" ca="1" si="111"/>
        <v>229.75</v>
      </c>
      <c r="DM20" s="5">
        <f t="shared" ca="1" si="112"/>
        <v>305.2</v>
      </c>
      <c r="DN20" s="5">
        <f t="shared" ca="1" si="113"/>
        <v>178.05</v>
      </c>
      <c r="DO20" s="5">
        <f t="shared" ca="1" si="114"/>
        <v>240.4</v>
      </c>
      <c r="DP20" s="5">
        <f t="shared" ca="1" si="115"/>
        <v>215.9</v>
      </c>
      <c r="DQ20" s="5">
        <f t="shared" ca="1" si="116"/>
        <v>214.55</v>
      </c>
      <c r="DR20" s="5">
        <f t="shared" ca="1" si="117"/>
        <v>255.15</v>
      </c>
      <c r="DS20" s="5">
        <f t="shared" ca="1" si="118"/>
        <v>372.9</v>
      </c>
      <c r="DT20" s="5">
        <f t="shared" ca="1" si="119"/>
        <v>277.95</v>
      </c>
      <c r="DU20" s="5">
        <f t="shared" ca="1" si="120"/>
        <v>301.3</v>
      </c>
      <c r="DV20" s="5">
        <f t="shared" ca="1" si="121"/>
        <v>266.7</v>
      </c>
      <c r="DW20" s="5">
        <f t="shared" ca="1" si="122"/>
        <v>224.25</v>
      </c>
      <c r="DX20" s="5">
        <f t="shared" ca="1" si="123"/>
        <v>316.05</v>
      </c>
      <c r="DY20" s="5">
        <f t="shared" ca="1" si="124"/>
        <v>248.45</v>
      </c>
      <c r="DZ20" s="5">
        <f t="shared" ca="1" si="125"/>
        <v>183.4</v>
      </c>
      <c r="EA20" s="5">
        <f t="shared" ca="1" si="126"/>
        <v>269.5</v>
      </c>
      <c r="EB20" s="5">
        <f t="shared" ca="1" si="127"/>
        <v>346.8</v>
      </c>
      <c r="EC20" s="5">
        <f t="shared" ca="1" si="128"/>
        <v>429.8</v>
      </c>
      <c r="ED20" s="5">
        <f t="shared" ca="1" si="129"/>
        <v>248.45</v>
      </c>
      <c r="EE20" s="5">
        <f t="shared" ca="1" si="130"/>
        <v>300.75</v>
      </c>
      <c r="EF20" s="5">
        <f t="shared" ca="1" si="131"/>
        <v>350.5</v>
      </c>
      <c r="EG20" s="5">
        <f t="shared" ca="1" si="132"/>
        <v>273.55</v>
      </c>
      <c r="EH20" s="5">
        <f t="shared" ca="1" si="6"/>
        <v>164.95</v>
      </c>
      <c r="EI20" s="5">
        <f t="shared" ref="EI20:EI23" ca="1" si="134">MROUND(EI19*EXP($H$3+$F$3*_xlfn.NORM.S.INV(RAND()))*100,5)/100</f>
        <v>236.3</v>
      </c>
      <c r="EJ20" s="5">
        <f t="shared" ref="EJ20:EJ23" ca="1" si="135">MROUND(EJ19*EXP($H$3+$F$3*_xlfn.NORM.S.INV(RAND()))*100,5)/100</f>
        <v>353.8</v>
      </c>
      <c r="EK20" s="5">
        <f t="shared" ref="EK20:EK23" ca="1" si="136">MROUND(EK19*EXP($H$3+$F$3*_xlfn.NORM.S.INV(RAND()))*100,5)/100</f>
        <v>265.2</v>
      </c>
      <c r="EL20" s="5">
        <f t="shared" ref="EL20:EL23" ca="1" si="137">MROUND(EL19*EXP($H$3+$F$3*_xlfn.NORM.S.INV(RAND()))*100,5)/100</f>
        <v>333.35</v>
      </c>
      <c r="EM20" s="5">
        <f t="shared" ref="EM20:EM23" ca="1" si="138">MROUND(EM19*EXP($H$3+$F$3*_xlfn.NORM.S.INV(RAND()))*100,5)/100</f>
        <v>311.2</v>
      </c>
      <c r="EN20" s="5">
        <f t="shared" ref="EN20:EN23" ca="1" si="139">MROUND(EN19*EXP($H$3+$F$3*_xlfn.NORM.S.INV(RAND()))*100,5)/100</f>
        <v>221.95</v>
      </c>
      <c r="EO20" s="5">
        <f t="shared" ref="EO20:EO23" ca="1" si="140">MROUND(EO19*EXP($H$3+$F$3*_xlfn.NORM.S.INV(RAND()))*100,5)/100</f>
        <v>278.89999999999998</v>
      </c>
      <c r="EP20" s="5">
        <f t="shared" ref="EP20:EP23" ca="1" si="141">MROUND(EP19*EXP($H$3+$F$3*_xlfn.NORM.S.INV(RAND()))*100,5)/100</f>
        <v>166.4</v>
      </c>
      <c r="EQ20" s="5">
        <f t="shared" ref="EQ20:EQ23" ca="1" si="142">MROUND(EQ19*EXP($H$3+$F$3*_xlfn.NORM.S.INV(RAND()))*100,5)/100</f>
        <v>317.60000000000002</v>
      </c>
      <c r="ER20" s="5">
        <f t="shared" ref="ER20:ER23" ca="1" si="143">MROUND(ER19*EXP($H$3+$F$3*_xlfn.NORM.S.INV(RAND()))*100,5)/100</f>
        <v>231.15</v>
      </c>
      <c r="ES20" s="5">
        <f t="shared" ref="ES20:ES23" ca="1" si="144">MROUND(ES19*EXP($H$3+$F$3*_xlfn.NORM.S.INV(RAND()))*100,5)/100</f>
        <v>341</v>
      </c>
      <c r="ET20" s="5">
        <f t="shared" ref="ET20:ET23" ca="1" si="145">MROUND(ET19*EXP($H$3+$F$3*_xlfn.NORM.S.INV(RAND()))*100,5)/100</f>
        <v>251.05</v>
      </c>
      <c r="EU20" s="5">
        <f t="shared" ref="EU20:EU23" ca="1" si="146">MROUND(EU19*EXP($H$3+$F$3*_xlfn.NORM.S.INV(RAND()))*100,5)/100</f>
        <v>186.6</v>
      </c>
      <c r="EV20" s="5">
        <f t="shared" ref="EV20:EV23" ca="1" si="147">MROUND(EV19*EXP($H$3+$F$3*_xlfn.NORM.S.INV(RAND()))*100,5)/100</f>
        <v>232.15</v>
      </c>
      <c r="EW20" s="5">
        <f t="shared" ref="EW20:EW23" ca="1" si="148">MROUND(EW19*EXP($H$3+$F$3*_xlfn.NORM.S.INV(RAND()))*100,5)/100</f>
        <v>262.45</v>
      </c>
      <c r="EX20" s="5">
        <f t="shared" ca="1" si="133"/>
        <v>267.45</v>
      </c>
    </row>
    <row r="21" spans="1:154" s="4" customFormat="1" x14ac:dyDescent="0.3">
      <c r="A21" s="3">
        <v>42794</v>
      </c>
      <c r="B21" s="4">
        <v>256</v>
      </c>
      <c r="C21" s="4">
        <f t="shared" si="0"/>
        <v>9.7703964782661188E-4</v>
      </c>
      <c r="J21" s="5">
        <f t="shared" ca="1" si="4"/>
        <v>386.5</v>
      </c>
      <c r="K21" s="5">
        <f t="shared" ca="1" si="7"/>
        <v>378.05</v>
      </c>
      <c r="L21" s="5">
        <f t="shared" ca="1" si="8"/>
        <v>164.65</v>
      </c>
      <c r="M21" s="5">
        <f t="shared" ca="1" si="9"/>
        <v>198.35</v>
      </c>
      <c r="N21" s="5">
        <f t="shared" ca="1" si="10"/>
        <v>155.75</v>
      </c>
      <c r="O21" s="5">
        <f t="shared" ca="1" si="11"/>
        <v>452.2</v>
      </c>
      <c r="P21" s="5">
        <f t="shared" ca="1" si="12"/>
        <v>207.95</v>
      </c>
      <c r="Q21" s="5">
        <f t="shared" ca="1" si="13"/>
        <v>362.65</v>
      </c>
      <c r="R21" s="5">
        <f t="shared" ca="1" si="14"/>
        <v>561.1</v>
      </c>
      <c r="S21" s="5">
        <f t="shared" ca="1" si="15"/>
        <v>185.7</v>
      </c>
      <c r="T21" s="5">
        <f t="shared" ca="1" si="16"/>
        <v>293.7</v>
      </c>
      <c r="U21" s="5">
        <f t="shared" ca="1" si="17"/>
        <v>230.25</v>
      </c>
      <c r="V21" s="5">
        <f t="shared" ca="1" si="18"/>
        <v>256.14999999999998</v>
      </c>
      <c r="W21" s="5">
        <f t="shared" ca="1" si="19"/>
        <v>318.05</v>
      </c>
      <c r="X21" s="5">
        <f t="shared" ca="1" si="20"/>
        <v>286.25</v>
      </c>
      <c r="Y21" s="5">
        <f t="shared" ca="1" si="21"/>
        <v>208.3</v>
      </c>
      <c r="Z21" s="5">
        <f t="shared" ca="1" si="22"/>
        <v>293.3</v>
      </c>
      <c r="AA21" s="5">
        <f t="shared" ca="1" si="23"/>
        <v>296.55</v>
      </c>
      <c r="AB21" s="5">
        <f t="shared" ca="1" si="24"/>
        <v>338.15</v>
      </c>
      <c r="AC21" s="5">
        <f t="shared" ca="1" si="25"/>
        <v>308.7</v>
      </c>
      <c r="AD21" s="5">
        <f t="shared" ca="1" si="26"/>
        <v>230.95</v>
      </c>
      <c r="AE21" s="5">
        <f t="shared" ca="1" si="27"/>
        <v>409.2</v>
      </c>
      <c r="AF21" s="5">
        <f t="shared" ca="1" si="28"/>
        <v>241.3</v>
      </c>
      <c r="AG21" s="5">
        <f t="shared" ca="1" si="29"/>
        <v>216.9</v>
      </c>
      <c r="AH21" s="5">
        <f t="shared" ca="1" si="30"/>
        <v>195.5</v>
      </c>
      <c r="AI21" s="5">
        <f t="shared" ca="1" si="31"/>
        <v>305.64999999999998</v>
      </c>
      <c r="AJ21" s="5">
        <f t="shared" ca="1" si="32"/>
        <v>248.9</v>
      </c>
      <c r="AK21" s="5">
        <f t="shared" ca="1" si="33"/>
        <v>232.05</v>
      </c>
      <c r="AL21" s="5">
        <f t="shared" ca="1" si="34"/>
        <v>341.05</v>
      </c>
      <c r="AM21" s="5">
        <f t="shared" ca="1" si="35"/>
        <v>335.85</v>
      </c>
      <c r="AN21" s="5">
        <f t="shared" ca="1" si="36"/>
        <v>187.75</v>
      </c>
      <c r="AO21" s="5">
        <f t="shared" ca="1" si="37"/>
        <v>232.6</v>
      </c>
      <c r="AP21" s="5">
        <f t="shared" ca="1" si="38"/>
        <v>271.05</v>
      </c>
      <c r="AQ21" s="5">
        <f t="shared" ca="1" si="39"/>
        <v>193.35</v>
      </c>
      <c r="AR21" s="5">
        <f t="shared" ca="1" si="40"/>
        <v>192.5</v>
      </c>
      <c r="AS21" s="5">
        <f t="shared" ca="1" si="41"/>
        <v>323.05</v>
      </c>
      <c r="AT21" s="5">
        <f t="shared" ca="1" si="42"/>
        <v>268.14999999999998</v>
      </c>
      <c r="AU21" s="5">
        <f t="shared" ca="1" si="43"/>
        <v>190.4</v>
      </c>
      <c r="AV21" s="5">
        <f t="shared" ca="1" si="44"/>
        <v>213.3</v>
      </c>
      <c r="AW21" s="5">
        <f t="shared" ca="1" si="45"/>
        <v>255.1</v>
      </c>
      <c r="AX21" s="5">
        <f t="shared" ca="1" si="46"/>
        <v>210.35</v>
      </c>
      <c r="AY21" s="5">
        <f t="shared" ca="1" si="47"/>
        <v>295.3</v>
      </c>
      <c r="AZ21" s="5">
        <f t="shared" ca="1" si="48"/>
        <v>256.55</v>
      </c>
      <c r="BA21" s="5">
        <f t="shared" ca="1" si="49"/>
        <v>190.25</v>
      </c>
      <c r="BB21" s="5">
        <f t="shared" ca="1" si="50"/>
        <v>227.75</v>
      </c>
      <c r="BC21" s="5">
        <f t="shared" ca="1" si="51"/>
        <v>313.95</v>
      </c>
      <c r="BD21" s="5">
        <f t="shared" ca="1" si="52"/>
        <v>202.45</v>
      </c>
      <c r="BE21" s="5">
        <f t="shared" ca="1" si="53"/>
        <v>294.64999999999998</v>
      </c>
      <c r="BF21" s="5">
        <f t="shared" ca="1" si="54"/>
        <v>249.1</v>
      </c>
      <c r="BG21" s="5">
        <f t="shared" ca="1" si="55"/>
        <v>494.15</v>
      </c>
      <c r="BH21" s="5">
        <f t="shared" ca="1" si="56"/>
        <v>296.8</v>
      </c>
      <c r="BI21" s="5">
        <f t="shared" ca="1" si="57"/>
        <v>211.3</v>
      </c>
      <c r="BJ21" s="5">
        <f t="shared" ca="1" si="58"/>
        <v>311.60000000000002</v>
      </c>
      <c r="BK21" s="5">
        <f t="shared" ca="1" si="59"/>
        <v>204.55</v>
      </c>
      <c r="BL21" s="5">
        <f t="shared" ca="1" si="60"/>
        <v>254.6</v>
      </c>
      <c r="BM21" s="5">
        <f t="shared" ca="1" si="61"/>
        <v>113.6</v>
      </c>
      <c r="BN21" s="5">
        <f t="shared" ca="1" si="62"/>
        <v>268.45</v>
      </c>
      <c r="BO21" s="5">
        <f t="shared" ca="1" si="63"/>
        <v>282.85000000000002</v>
      </c>
      <c r="BP21" s="5">
        <f t="shared" ca="1" si="64"/>
        <v>302.05</v>
      </c>
      <c r="BQ21" s="5">
        <f t="shared" ca="1" si="65"/>
        <v>368.25</v>
      </c>
      <c r="BR21" s="5">
        <f t="shared" ca="1" si="66"/>
        <v>211.95</v>
      </c>
      <c r="BS21" s="5">
        <f t="shared" ca="1" si="67"/>
        <v>345.05</v>
      </c>
      <c r="BT21" s="5">
        <f t="shared" ca="1" si="68"/>
        <v>273.7</v>
      </c>
      <c r="BU21" s="5">
        <f t="shared" ca="1" si="69"/>
        <v>195.4</v>
      </c>
      <c r="BV21" s="5">
        <f t="shared" ca="1" si="5"/>
        <v>283.95</v>
      </c>
      <c r="BW21" s="5">
        <f t="shared" ca="1" si="70"/>
        <v>385.85</v>
      </c>
      <c r="BX21" s="5">
        <f t="shared" ca="1" si="71"/>
        <v>162.69999999999999</v>
      </c>
      <c r="BY21" s="5">
        <f t="shared" ca="1" si="72"/>
        <v>318.10000000000002</v>
      </c>
      <c r="BZ21" s="5">
        <f t="shared" ca="1" si="73"/>
        <v>216.25</v>
      </c>
      <c r="CA21" s="5">
        <f t="shared" ca="1" si="74"/>
        <v>414.1</v>
      </c>
      <c r="CB21" s="5">
        <f t="shared" ca="1" si="75"/>
        <v>408.75</v>
      </c>
      <c r="CC21" s="5">
        <f t="shared" ca="1" si="76"/>
        <v>204.35</v>
      </c>
      <c r="CD21" s="5">
        <f t="shared" ca="1" si="77"/>
        <v>206.05</v>
      </c>
      <c r="CE21" s="5">
        <f t="shared" ca="1" si="78"/>
        <v>198.8</v>
      </c>
      <c r="CF21" s="5">
        <f t="shared" ca="1" si="79"/>
        <v>225.85</v>
      </c>
      <c r="CG21" s="5">
        <f t="shared" ca="1" si="80"/>
        <v>343.7</v>
      </c>
      <c r="CH21" s="5">
        <f t="shared" ca="1" si="81"/>
        <v>279.7</v>
      </c>
      <c r="CI21" s="5">
        <f t="shared" ca="1" si="82"/>
        <v>240.45</v>
      </c>
      <c r="CJ21" s="5">
        <f t="shared" ca="1" si="83"/>
        <v>313.75</v>
      </c>
      <c r="CK21" s="5">
        <f t="shared" ca="1" si="84"/>
        <v>258.75</v>
      </c>
      <c r="CL21" s="5">
        <f t="shared" ca="1" si="85"/>
        <v>314.8</v>
      </c>
      <c r="CM21" s="5">
        <f t="shared" ca="1" si="86"/>
        <v>279.10000000000002</v>
      </c>
      <c r="CN21" s="5">
        <f t="shared" ca="1" si="87"/>
        <v>457.85</v>
      </c>
      <c r="CO21" s="5">
        <f t="shared" ca="1" si="88"/>
        <v>335.4</v>
      </c>
      <c r="CP21" s="5">
        <f t="shared" ca="1" si="89"/>
        <v>236.4</v>
      </c>
      <c r="CQ21" s="5">
        <f t="shared" ca="1" si="90"/>
        <v>266.8</v>
      </c>
      <c r="CR21" s="5">
        <f t="shared" ca="1" si="91"/>
        <v>199</v>
      </c>
      <c r="CS21" s="5">
        <f t="shared" ca="1" si="92"/>
        <v>483.95</v>
      </c>
      <c r="CT21" s="5">
        <f t="shared" ca="1" si="93"/>
        <v>250.6</v>
      </c>
      <c r="CU21" s="5">
        <f t="shared" ca="1" si="94"/>
        <v>234.7</v>
      </c>
      <c r="CV21" s="5">
        <f t="shared" ca="1" si="95"/>
        <v>193.65</v>
      </c>
      <c r="CW21" s="5">
        <f t="shared" ca="1" si="96"/>
        <v>273.39999999999998</v>
      </c>
      <c r="CX21" s="5">
        <f t="shared" ca="1" si="97"/>
        <v>349.55</v>
      </c>
      <c r="CY21" s="5">
        <f t="shared" ca="1" si="98"/>
        <v>336.1</v>
      </c>
      <c r="CZ21" s="5">
        <f t="shared" ca="1" si="99"/>
        <v>231.55</v>
      </c>
      <c r="DA21" s="5">
        <f t="shared" ca="1" si="100"/>
        <v>386.85</v>
      </c>
      <c r="DB21" s="5">
        <f t="shared" ca="1" si="101"/>
        <v>427.05</v>
      </c>
      <c r="DC21" s="5">
        <f t="shared" ca="1" si="102"/>
        <v>315.5</v>
      </c>
      <c r="DD21" s="5">
        <f t="shared" ca="1" si="103"/>
        <v>469.85</v>
      </c>
      <c r="DE21" s="5">
        <f t="shared" ca="1" si="104"/>
        <v>244.95</v>
      </c>
      <c r="DF21" s="5">
        <f t="shared" ca="1" si="105"/>
        <v>210.6</v>
      </c>
      <c r="DG21" s="5">
        <f t="shared" ca="1" si="106"/>
        <v>332.6</v>
      </c>
      <c r="DH21" s="5">
        <f t="shared" ca="1" si="107"/>
        <v>225.2</v>
      </c>
      <c r="DI21" s="5">
        <f t="shared" ca="1" si="108"/>
        <v>180.5</v>
      </c>
      <c r="DJ21" s="5">
        <f t="shared" ca="1" si="109"/>
        <v>274.05</v>
      </c>
      <c r="DK21" s="5">
        <f t="shared" ca="1" si="110"/>
        <v>335.35</v>
      </c>
      <c r="DL21" s="5">
        <f t="shared" ca="1" si="111"/>
        <v>247.55</v>
      </c>
      <c r="DM21" s="5">
        <f t="shared" ca="1" si="112"/>
        <v>299.64999999999998</v>
      </c>
      <c r="DN21" s="5">
        <f t="shared" ca="1" si="113"/>
        <v>168.6</v>
      </c>
      <c r="DO21" s="5">
        <f t="shared" ca="1" si="114"/>
        <v>220.3</v>
      </c>
      <c r="DP21" s="5">
        <f t="shared" ca="1" si="115"/>
        <v>233.2</v>
      </c>
      <c r="DQ21" s="5">
        <f t="shared" ca="1" si="116"/>
        <v>209.3</v>
      </c>
      <c r="DR21" s="5">
        <f t="shared" ca="1" si="117"/>
        <v>217.9</v>
      </c>
      <c r="DS21" s="5">
        <f t="shared" ca="1" si="118"/>
        <v>438.1</v>
      </c>
      <c r="DT21" s="5">
        <f t="shared" ca="1" si="119"/>
        <v>272.10000000000002</v>
      </c>
      <c r="DU21" s="5">
        <f t="shared" ca="1" si="120"/>
        <v>326.7</v>
      </c>
      <c r="DV21" s="5">
        <f t="shared" ca="1" si="121"/>
        <v>252.05</v>
      </c>
      <c r="DW21" s="5">
        <f t="shared" ca="1" si="122"/>
        <v>213.25</v>
      </c>
      <c r="DX21" s="5">
        <f t="shared" ca="1" si="123"/>
        <v>327.05</v>
      </c>
      <c r="DY21" s="5">
        <f t="shared" ca="1" si="124"/>
        <v>248.4</v>
      </c>
      <c r="DZ21" s="5">
        <f t="shared" ca="1" si="125"/>
        <v>202.5</v>
      </c>
      <c r="EA21" s="5">
        <f t="shared" ca="1" si="126"/>
        <v>252.8</v>
      </c>
      <c r="EB21" s="5">
        <f t="shared" ca="1" si="127"/>
        <v>383.8</v>
      </c>
      <c r="EC21" s="5">
        <f t="shared" ca="1" si="128"/>
        <v>408.4</v>
      </c>
      <c r="ED21" s="5">
        <f t="shared" ca="1" si="129"/>
        <v>234.25</v>
      </c>
      <c r="EE21" s="5">
        <f t="shared" ca="1" si="130"/>
        <v>314.10000000000002</v>
      </c>
      <c r="EF21" s="5">
        <f t="shared" ca="1" si="131"/>
        <v>349.95</v>
      </c>
      <c r="EG21" s="5">
        <f t="shared" ca="1" si="132"/>
        <v>241.7</v>
      </c>
      <c r="EH21" s="5">
        <f t="shared" ca="1" si="6"/>
        <v>155.65</v>
      </c>
      <c r="EI21" s="5">
        <f t="shared" ca="1" si="134"/>
        <v>245.7</v>
      </c>
      <c r="EJ21" s="5">
        <f t="shared" ca="1" si="135"/>
        <v>377.3</v>
      </c>
      <c r="EK21" s="5">
        <f t="shared" ca="1" si="136"/>
        <v>277.55</v>
      </c>
      <c r="EL21" s="5">
        <f t="shared" ca="1" si="137"/>
        <v>303.05</v>
      </c>
      <c r="EM21" s="5">
        <f t="shared" ca="1" si="138"/>
        <v>324.64999999999998</v>
      </c>
      <c r="EN21" s="5">
        <f t="shared" ca="1" si="139"/>
        <v>219</v>
      </c>
      <c r="EO21" s="5">
        <f t="shared" ca="1" si="140"/>
        <v>268.89999999999998</v>
      </c>
      <c r="EP21" s="5">
        <f t="shared" ca="1" si="141"/>
        <v>167.35</v>
      </c>
      <c r="EQ21" s="5">
        <f t="shared" ca="1" si="142"/>
        <v>360.6</v>
      </c>
      <c r="ER21" s="5">
        <f t="shared" ca="1" si="143"/>
        <v>217.7</v>
      </c>
      <c r="ES21" s="5">
        <f t="shared" ca="1" si="144"/>
        <v>338.55</v>
      </c>
      <c r="ET21" s="5">
        <f t="shared" ca="1" si="145"/>
        <v>238.95</v>
      </c>
      <c r="EU21" s="5">
        <f t="shared" ca="1" si="146"/>
        <v>199.1</v>
      </c>
      <c r="EV21" s="5">
        <f t="shared" ca="1" si="147"/>
        <v>260.75</v>
      </c>
      <c r="EW21" s="5">
        <f t="shared" ca="1" si="148"/>
        <v>256.45</v>
      </c>
      <c r="EX21" s="5">
        <f t="shared" ca="1" si="133"/>
        <v>257.39999999999998</v>
      </c>
    </row>
    <row r="22" spans="1:154" s="4" customFormat="1" x14ac:dyDescent="0.3">
      <c r="A22" s="3">
        <v>42795</v>
      </c>
      <c r="B22" s="4">
        <v>255.75</v>
      </c>
      <c r="C22" s="4">
        <f t="shared" si="0"/>
        <v>1.914595145935926E-2</v>
      </c>
      <c r="J22" s="5">
        <f t="shared" ca="1" si="4"/>
        <v>338.55</v>
      </c>
      <c r="K22" s="5">
        <f t="shared" ca="1" si="7"/>
        <v>373.55</v>
      </c>
      <c r="L22" s="5">
        <f t="shared" ca="1" si="8"/>
        <v>154.65</v>
      </c>
      <c r="M22" s="5">
        <f t="shared" ca="1" si="9"/>
        <v>196.3</v>
      </c>
      <c r="N22" s="5">
        <f t="shared" ca="1" si="10"/>
        <v>150.30000000000001</v>
      </c>
      <c r="O22" s="5">
        <f t="shared" ca="1" si="11"/>
        <v>445.4</v>
      </c>
      <c r="P22" s="5">
        <f t="shared" ca="1" si="12"/>
        <v>205.75</v>
      </c>
      <c r="Q22" s="5">
        <f t="shared" ca="1" si="13"/>
        <v>335.85</v>
      </c>
      <c r="R22" s="5">
        <f t="shared" ca="1" si="14"/>
        <v>582.70000000000005</v>
      </c>
      <c r="S22" s="5">
        <f t="shared" ca="1" si="15"/>
        <v>166.7</v>
      </c>
      <c r="T22" s="5">
        <f t="shared" ca="1" si="16"/>
        <v>286.39999999999998</v>
      </c>
      <c r="U22" s="5">
        <f t="shared" ca="1" si="17"/>
        <v>237.5</v>
      </c>
      <c r="V22" s="5">
        <f t="shared" ca="1" si="18"/>
        <v>245.75</v>
      </c>
      <c r="W22" s="5">
        <f t="shared" ca="1" si="19"/>
        <v>284.05</v>
      </c>
      <c r="X22" s="5">
        <f t="shared" ca="1" si="20"/>
        <v>274.25</v>
      </c>
      <c r="Y22" s="5">
        <f t="shared" ca="1" si="21"/>
        <v>209</v>
      </c>
      <c r="Z22" s="5">
        <f t="shared" ca="1" si="22"/>
        <v>281.89999999999998</v>
      </c>
      <c r="AA22" s="5">
        <f t="shared" ca="1" si="23"/>
        <v>318.35000000000002</v>
      </c>
      <c r="AB22" s="5">
        <f t="shared" ca="1" si="24"/>
        <v>371.15</v>
      </c>
      <c r="AC22" s="5">
        <f t="shared" ca="1" si="25"/>
        <v>318.2</v>
      </c>
      <c r="AD22" s="5">
        <f t="shared" ca="1" si="26"/>
        <v>218.25</v>
      </c>
      <c r="AE22" s="5">
        <f t="shared" ca="1" si="27"/>
        <v>435.2</v>
      </c>
      <c r="AF22" s="5">
        <f t="shared" ca="1" si="28"/>
        <v>241.1</v>
      </c>
      <c r="AG22" s="5">
        <f t="shared" ca="1" si="29"/>
        <v>238.75</v>
      </c>
      <c r="AH22" s="5">
        <f t="shared" ca="1" si="30"/>
        <v>204.1</v>
      </c>
      <c r="AI22" s="5">
        <f t="shared" ca="1" si="31"/>
        <v>333.25</v>
      </c>
      <c r="AJ22" s="5">
        <f t="shared" ca="1" si="32"/>
        <v>260.7</v>
      </c>
      <c r="AK22" s="5">
        <f t="shared" ca="1" si="33"/>
        <v>222.8</v>
      </c>
      <c r="AL22" s="5">
        <f t="shared" ca="1" si="34"/>
        <v>339.95</v>
      </c>
      <c r="AM22" s="5">
        <f t="shared" ca="1" si="35"/>
        <v>330.05</v>
      </c>
      <c r="AN22" s="5">
        <f t="shared" ca="1" si="36"/>
        <v>196.75</v>
      </c>
      <c r="AO22" s="5">
        <f t="shared" ca="1" si="37"/>
        <v>228.55</v>
      </c>
      <c r="AP22" s="5">
        <f t="shared" ca="1" si="38"/>
        <v>236.3</v>
      </c>
      <c r="AQ22" s="5">
        <f t="shared" ca="1" si="39"/>
        <v>199.2</v>
      </c>
      <c r="AR22" s="5">
        <f t="shared" ca="1" si="40"/>
        <v>187.85</v>
      </c>
      <c r="AS22" s="5">
        <f t="shared" ca="1" si="41"/>
        <v>331.95</v>
      </c>
      <c r="AT22" s="5">
        <f t="shared" ca="1" si="42"/>
        <v>292.55</v>
      </c>
      <c r="AU22" s="5">
        <f t="shared" ca="1" si="43"/>
        <v>206.1</v>
      </c>
      <c r="AV22" s="5">
        <f t="shared" ca="1" si="44"/>
        <v>203.5</v>
      </c>
      <c r="AW22" s="5">
        <f t="shared" ca="1" si="45"/>
        <v>267.39999999999998</v>
      </c>
      <c r="AX22" s="5">
        <f t="shared" ca="1" si="46"/>
        <v>208.8</v>
      </c>
      <c r="AY22" s="5">
        <f t="shared" ca="1" si="47"/>
        <v>275.64999999999998</v>
      </c>
      <c r="AZ22" s="5">
        <f t="shared" ca="1" si="48"/>
        <v>260.75</v>
      </c>
      <c r="BA22" s="5">
        <f t="shared" ca="1" si="49"/>
        <v>185.15</v>
      </c>
      <c r="BB22" s="5">
        <f t="shared" ca="1" si="50"/>
        <v>223.15</v>
      </c>
      <c r="BC22" s="5">
        <f t="shared" ca="1" si="51"/>
        <v>324.95</v>
      </c>
      <c r="BD22" s="5">
        <f t="shared" ca="1" si="52"/>
        <v>206.9</v>
      </c>
      <c r="BE22" s="5">
        <f t="shared" ca="1" si="53"/>
        <v>289.55</v>
      </c>
      <c r="BF22" s="5">
        <f t="shared" ca="1" si="54"/>
        <v>275.8</v>
      </c>
      <c r="BG22" s="5">
        <f t="shared" ca="1" si="55"/>
        <v>473.25</v>
      </c>
      <c r="BH22" s="5">
        <f t="shared" ca="1" si="56"/>
        <v>292.2</v>
      </c>
      <c r="BI22" s="5">
        <f t="shared" ca="1" si="57"/>
        <v>224.7</v>
      </c>
      <c r="BJ22" s="5">
        <f t="shared" ca="1" si="58"/>
        <v>322.95</v>
      </c>
      <c r="BK22" s="5">
        <f t="shared" ca="1" si="59"/>
        <v>185.75</v>
      </c>
      <c r="BL22" s="5">
        <f t="shared" ca="1" si="60"/>
        <v>247.55</v>
      </c>
      <c r="BM22" s="5">
        <f t="shared" ca="1" si="61"/>
        <v>122.7</v>
      </c>
      <c r="BN22" s="5">
        <f t="shared" ca="1" si="62"/>
        <v>270.64999999999998</v>
      </c>
      <c r="BO22" s="5">
        <f t="shared" ca="1" si="63"/>
        <v>256.45</v>
      </c>
      <c r="BP22" s="5">
        <f t="shared" ca="1" si="64"/>
        <v>371.55</v>
      </c>
      <c r="BQ22" s="5">
        <f t="shared" ca="1" si="65"/>
        <v>391.25</v>
      </c>
      <c r="BR22" s="5">
        <f t="shared" ca="1" si="66"/>
        <v>197.25</v>
      </c>
      <c r="BS22" s="5">
        <f t="shared" ca="1" si="67"/>
        <v>366.45</v>
      </c>
      <c r="BT22" s="5">
        <f t="shared" ca="1" si="68"/>
        <v>288.89999999999998</v>
      </c>
      <c r="BU22" s="5">
        <f t="shared" ca="1" si="69"/>
        <v>174.95</v>
      </c>
      <c r="BV22" s="5">
        <f t="shared" ca="1" si="5"/>
        <v>268.95</v>
      </c>
      <c r="BW22" s="5">
        <f t="shared" ca="1" si="70"/>
        <v>443.55</v>
      </c>
      <c r="BX22" s="5">
        <f t="shared" ca="1" si="71"/>
        <v>163.30000000000001</v>
      </c>
      <c r="BY22" s="5">
        <f t="shared" ca="1" si="72"/>
        <v>267.60000000000002</v>
      </c>
      <c r="BZ22" s="5">
        <f t="shared" ca="1" si="73"/>
        <v>209.3</v>
      </c>
      <c r="CA22" s="5">
        <f t="shared" ca="1" si="74"/>
        <v>456.55</v>
      </c>
      <c r="CB22" s="5">
        <f t="shared" ca="1" si="75"/>
        <v>453.8</v>
      </c>
      <c r="CC22" s="5">
        <f t="shared" ca="1" si="76"/>
        <v>198.8</v>
      </c>
      <c r="CD22" s="5">
        <f t="shared" ca="1" si="77"/>
        <v>196.4</v>
      </c>
      <c r="CE22" s="5">
        <f t="shared" ca="1" si="78"/>
        <v>192.55</v>
      </c>
      <c r="CF22" s="5">
        <f t="shared" ca="1" si="79"/>
        <v>217.5</v>
      </c>
      <c r="CG22" s="5">
        <f t="shared" ca="1" si="80"/>
        <v>328.4</v>
      </c>
      <c r="CH22" s="5">
        <f t="shared" ca="1" si="81"/>
        <v>286.64999999999998</v>
      </c>
      <c r="CI22" s="5">
        <f t="shared" ca="1" si="82"/>
        <v>230.3</v>
      </c>
      <c r="CJ22" s="5">
        <f t="shared" ca="1" si="83"/>
        <v>310.2</v>
      </c>
      <c r="CK22" s="5">
        <f t="shared" ca="1" si="84"/>
        <v>292.55</v>
      </c>
      <c r="CL22" s="5">
        <f t="shared" ca="1" si="85"/>
        <v>348.9</v>
      </c>
      <c r="CM22" s="5">
        <f t="shared" ca="1" si="86"/>
        <v>304.8</v>
      </c>
      <c r="CN22" s="5">
        <f t="shared" ca="1" si="87"/>
        <v>440.05</v>
      </c>
      <c r="CO22" s="5">
        <f t="shared" ca="1" si="88"/>
        <v>357.5</v>
      </c>
      <c r="CP22" s="5">
        <f t="shared" ca="1" si="89"/>
        <v>240.05</v>
      </c>
      <c r="CQ22" s="5">
        <f t="shared" ca="1" si="90"/>
        <v>264.5</v>
      </c>
      <c r="CR22" s="5">
        <f t="shared" ca="1" si="91"/>
        <v>193.75</v>
      </c>
      <c r="CS22" s="5">
        <f t="shared" ca="1" si="92"/>
        <v>515.04999999999995</v>
      </c>
      <c r="CT22" s="5">
        <f t="shared" ca="1" si="93"/>
        <v>262.89999999999998</v>
      </c>
      <c r="CU22" s="5">
        <f t="shared" ca="1" si="94"/>
        <v>234.15</v>
      </c>
      <c r="CV22" s="5">
        <f t="shared" ca="1" si="95"/>
        <v>167.1</v>
      </c>
      <c r="CW22" s="5">
        <f t="shared" ca="1" si="96"/>
        <v>299.45</v>
      </c>
      <c r="CX22" s="5">
        <f t="shared" ca="1" si="97"/>
        <v>315.25</v>
      </c>
      <c r="CY22" s="5">
        <f t="shared" ca="1" si="98"/>
        <v>335.5</v>
      </c>
      <c r="CZ22" s="5">
        <f t="shared" ca="1" si="99"/>
        <v>229</v>
      </c>
      <c r="DA22" s="5">
        <f t="shared" ca="1" si="100"/>
        <v>421.7</v>
      </c>
      <c r="DB22" s="5">
        <f t="shared" ca="1" si="101"/>
        <v>413.55</v>
      </c>
      <c r="DC22" s="5">
        <f t="shared" ca="1" si="102"/>
        <v>313.64999999999998</v>
      </c>
      <c r="DD22" s="5">
        <f t="shared" ca="1" si="103"/>
        <v>470.2</v>
      </c>
      <c r="DE22" s="5">
        <f t="shared" ca="1" si="104"/>
        <v>262.85000000000002</v>
      </c>
      <c r="DF22" s="5">
        <f t="shared" ca="1" si="105"/>
        <v>200.5</v>
      </c>
      <c r="DG22" s="5">
        <f t="shared" ca="1" si="106"/>
        <v>325.60000000000002</v>
      </c>
      <c r="DH22" s="5">
        <f t="shared" ca="1" si="107"/>
        <v>220.9</v>
      </c>
      <c r="DI22" s="5">
        <f t="shared" ca="1" si="108"/>
        <v>177.5</v>
      </c>
      <c r="DJ22" s="5">
        <f t="shared" ca="1" si="109"/>
        <v>282.60000000000002</v>
      </c>
      <c r="DK22" s="5">
        <f t="shared" ca="1" si="110"/>
        <v>347.15</v>
      </c>
      <c r="DL22" s="5">
        <f t="shared" ca="1" si="111"/>
        <v>245.15</v>
      </c>
      <c r="DM22" s="5">
        <f t="shared" ca="1" si="112"/>
        <v>311.2</v>
      </c>
      <c r="DN22" s="5">
        <f t="shared" ca="1" si="113"/>
        <v>150.9</v>
      </c>
      <c r="DO22" s="5">
        <f t="shared" ca="1" si="114"/>
        <v>212.05</v>
      </c>
      <c r="DP22" s="5">
        <f t="shared" ca="1" si="115"/>
        <v>244.45</v>
      </c>
      <c r="DQ22" s="5">
        <f t="shared" ca="1" si="116"/>
        <v>200.2</v>
      </c>
      <c r="DR22" s="5">
        <f t="shared" ca="1" si="117"/>
        <v>235.3</v>
      </c>
      <c r="DS22" s="5">
        <f t="shared" ca="1" si="118"/>
        <v>454.05</v>
      </c>
      <c r="DT22" s="5">
        <f t="shared" ca="1" si="119"/>
        <v>284.39999999999998</v>
      </c>
      <c r="DU22" s="5">
        <f t="shared" ca="1" si="120"/>
        <v>289.05</v>
      </c>
      <c r="DV22" s="5">
        <f t="shared" ca="1" si="121"/>
        <v>255</v>
      </c>
      <c r="DW22" s="5">
        <f t="shared" ca="1" si="122"/>
        <v>197.55</v>
      </c>
      <c r="DX22" s="5">
        <f t="shared" ca="1" si="123"/>
        <v>360.95</v>
      </c>
      <c r="DY22" s="5">
        <f t="shared" ca="1" si="124"/>
        <v>256.14999999999998</v>
      </c>
      <c r="DZ22" s="5">
        <f t="shared" ca="1" si="125"/>
        <v>198.65</v>
      </c>
      <c r="EA22" s="5">
        <f t="shared" ca="1" si="126"/>
        <v>256.14999999999998</v>
      </c>
      <c r="EB22" s="5">
        <f t="shared" ca="1" si="127"/>
        <v>385.15</v>
      </c>
      <c r="EC22" s="5">
        <f t="shared" ca="1" si="128"/>
        <v>404.7</v>
      </c>
      <c r="ED22" s="5">
        <f t="shared" ca="1" si="129"/>
        <v>252.65</v>
      </c>
      <c r="EE22" s="5">
        <f t="shared" ca="1" si="130"/>
        <v>304.95</v>
      </c>
      <c r="EF22" s="5">
        <f t="shared" ca="1" si="131"/>
        <v>379.8</v>
      </c>
      <c r="EG22" s="5">
        <f t="shared" ca="1" si="132"/>
        <v>248.95</v>
      </c>
      <c r="EH22" s="5">
        <f t="shared" ca="1" si="6"/>
        <v>163.05000000000001</v>
      </c>
      <c r="EI22" s="5">
        <f t="shared" ca="1" si="134"/>
        <v>252.2</v>
      </c>
      <c r="EJ22" s="5">
        <f t="shared" ca="1" si="135"/>
        <v>354.2</v>
      </c>
      <c r="EK22" s="5">
        <f t="shared" ca="1" si="136"/>
        <v>273.64999999999998</v>
      </c>
      <c r="EL22" s="5">
        <f t="shared" ca="1" si="137"/>
        <v>312.89999999999998</v>
      </c>
      <c r="EM22" s="5">
        <f t="shared" ca="1" si="138"/>
        <v>322.39999999999998</v>
      </c>
      <c r="EN22" s="5">
        <f t="shared" ca="1" si="139"/>
        <v>230.25</v>
      </c>
      <c r="EO22" s="5">
        <f t="shared" ca="1" si="140"/>
        <v>280.85000000000002</v>
      </c>
      <c r="EP22" s="5">
        <f t="shared" ca="1" si="141"/>
        <v>143.4</v>
      </c>
      <c r="EQ22" s="5">
        <f t="shared" ca="1" si="142"/>
        <v>381.45</v>
      </c>
      <c r="ER22" s="5">
        <f t="shared" ca="1" si="143"/>
        <v>211.8</v>
      </c>
      <c r="ES22" s="5">
        <f t="shared" ca="1" si="144"/>
        <v>351</v>
      </c>
      <c r="ET22" s="5">
        <f t="shared" ca="1" si="145"/>
        <v>214.95</v>
      </c>
      <c r="EU22" s="5">
        <f t="shared" ca="1" si="146"/>
        <v>184.15</v>
      </c>
      <c r="EV22" s="5">
        <f t="shared" ca="1" si="147"/>
        <v>254.6</v>
      </c>
      <c r="EW22" s="5">
        <f t="shared" ca="1" si="148"/>
        <v>272.64999999999998</v>
      </c>
      <c r="EX22" s="5">
        <f t="shared" ca="1" si="133"/>
        <v>267.35000000000002</v>
      </c>
    </row>
    <row r="23" spans="1:154" s="4" customFormat="1" x14ac:dyDescent="0.3">
      <c r="A23" s="3">
        <v>42796</v>
      </c>
      <c r="B23" s="4">
        <v>250.9</v>
      </c>
      <c r="C23" s="4">
        <f t="shared" si="0"/>
        <v>-1.3940060009088654E-3</v>
      </c>
      <c r="J23" s="5">
        <f t="shared" ca="1" si="4"/>
        <v>320.7</v>
      </c>
      <c r="K23" s="5">
        <f t="shared" ca="1" si="7"/>
        <v>385.55</v>
      </c>
      <c r="L23" s="5">
        <f t="shared" ca="1" si="8"/>
        <v>147.4</v>
      </c>
      <c r="M23" s="5">
        <f t="shared" ca="1" si="9"/>
        <v>213.4</v>
      </c>
      <c r="N23" s="5">
        <f t="shared" ca="1" si="10"/>
        <v>163.69999999999999</v>
      </c>
      <c r="O23" s="5">
        <f t="shared" ca="1" si="11"/>
        <v>468.45</v>
      </c>
      <c r="P23" s="5">
        <f t="shared" ca="1" si="12"/>
        <v>199.3</v>
      </c>
      <c r="Q23" s="5">
        <f t="shared" ca="1" si="13"/>
        <v>322.85000000000002</v>
      </c>
      <c r="R23" s="5">
        <f t="shared" ca="1" si="14"/>
        <v>550.20000000000005</v>
      </c>
      <c r="S23" s="5">
        <f t="shared" ca="1" si="15"/>
        <v>163.95</v>
      </c>
      <c r="T23" s="5">
        <f t="shared" ca="1" si="16"/>
        <v>277.35000000000002</v>
      </c>
      <c r="U23" s="5">
        <f t="shared" ca="1" si="17"/>
        <v>224.75</v>
      </c>
      <c r="V23" s="5">
        <f t="shared" ca="1" si="18"/>
        <v>270</v>
      </c>
      <c r="W23" s="5">
        <f t="shared" ca="1" si="19"/>
        <v>271.60000000000002</v>
      </c>
      <c r="X23" s="5">
        <f t="shared" ca="1" si="20"/>
        <v>253.95</v>
      </c>
      <c r="Y23" s="5">
        <f t="shared" ca="1" si="21"/>
        <v>185.25</v>
      </c>
      <c r="Z23" s="5">
        <f t="shared" ca="1" si="22"/>
        <v>274.5</v>
      </c>
      <c r="AA23" s="5">
        <f t="shared" ca="1" si="23"/>
        <v>317.7</v>
      </c>
      <c r="AB23" s="5">
        <f t="shared" ca="1" si="24"/>
        <v>341.25</v>
      </c>
      <c r="AC23" s="5">
        <f t="shared" ca="1" si="25"/>
        <v>353.4</v>
      </c>
      <c r="AD23" s="5">
        <f t="shared" ca="1" si="26"/>
        <v>210.65</v>
      </c>
      <c r="AE23" s="5">
        <f t="shared" ca="1" si="27"/>
        <v>441.7</v>
      </c>
      <c r="AF23" s="5">
        <f t="shared" ca="1" si="28"/>
        <v>239.2</v>
      </c>
      <c r="AG23" s="5">
        <f t="shared" ca="1" si="29"/>
        <v>220.15</v>
      </c>
      <c r="AH23" s="5">
        <f t="shared" ca="1" si="30"/>
        <v>208.65</v>
      </c>
      <c r="AI23" s="5">
        <f t="shared" ca="1" si="31"/>
        <v>354.7</v>
      </c>
      <c r="AJ23" s="5">
        <f t="shared" ca="1" si="32"/>
        <v>265.14999999999998</v>
      </c>
      <c r="AK23" s="5">
        <f t="shared" ca="1" si="33"/>
        <v>223.75</v>
      </c>
      <c r="AL23" s="5">
        <f t="shared" ca="1" si="34"/>
        <v>321</v>
      </c>
      <c r="AM23" s="5">
        <f t="shared" ca="1" si="35"/>
        <v>334.7</v>
      </c>
      <c r="AN23" s="5">
        <f t="shared" ca="1" si="36"/>
        <v>173.7</v>
      </c>
      <c r="AO23" s="5">
        <f t="shared" ca="1" si="37"/>
        <v>231</v>
      </c>
      <c r="AP23" s="5">
        <f t="shared" ca="1" si="38"/>
        <v>228.15</v>
      </c>
      <c r="AQ23" s="5">
        <f t="shared" ca="1" si="39"/>
        <v>184.7</v>
      </c>
      <c r="AR23" s="5">
        <f t="shared" ca="1" si="40"/>
        <v>196.6</v>
      </c>
      <c r="AS23" s="5">
        <f t="shared" ca="1" si="41"/>
        <v>362.25</v>
      </c>
      <c r="AT23" s="5">
        <f t="shared" ca="1" si="42"/>
        <v>308.85000000000002</v>
      </c>
      <c r="AU23" s="5">
        <f t="shared" ca="1" si="43"/>
        <v>212.75</v>
      </c>
      <c r="AV23" s="5">
        <f t="shared" ca="1" si="44"/>
        <v>215.75</v>
      </c>
      <c r="AW23" s="5">
        <f t="shared" ca="1" si="45"/>
        <v>263.95</v>
      </c>
      <c r="AX23" s="5">
        <f t="shared" ca="1" si="46"/>
        <v>203.65</v>
      </c>
      <c r="AY23" s="5">
        <f t="shared" ca="1" si="47"/>
        <v>274.35000000000002</v>
      </c>
      <c r="AZ23" s="5">
        <f t="shared" ca="1" si="48"/>
        <v>255.45</v>
      </c>
      <c r="BA23" s="5">
        <f t="shared" ca="1" si="49"/>
        <v>207.9</v>
      </c>
      <c r="BB23" s="5">
        <f t="shared" ca="1" si="50"/>
        <v>225.05</v>
      </c>
      <c r="BC23" s="5">
        <f t="shared" ca="1" si="51"/>
        <v>315.10000000000002</v>
      </c>
      <c r="BD23" s="5">
        <f t="shared" ca="1" si="52"/>
        <v>202.15</v>
      </c>
      <c r="BE23" s="5">
        <f t="shared" ca="1" si="53"/>
        <v>313.85000000000002</v>
      </c>
      <c r="BF23" s="5">
        <f t="shared" ca="1" si="54"/>
        <v>276.7</v>
      </c>
      <c r="BG23" s="5">
        <f t="shared" ca="1" si="55"/>
        <v>497.7</v>
      </c>
      <c r="BH23" s="5">
        <f t="shared" ca="1" si="56"/>
        <v>287.45</v>
      </c>
      <c r="BI23" s="5">
        <f t="shared" ca="1" si="57"/>
        <v>200.05</v>
      </c>
      <c r="BJ23" s="5">
        <f t="shared" ca="1" si="58"/>
        <v>297.8</v>
      </c>
      <c r="BK23" s="5">
        <f t="shared" ca="1" si="59"/>
        <v>203.3</v>
      </c>
      <c r="BL23" s="5">
        <f t="shared" ca="1" si="60"/>
        <v>242.7</v>
      </c>
      <c r="BM23" s="5">
        <f t="shared" ca="1" si="61"/>
        <v>120.4</v>
      </c>
      <c r="BN23" s="5">
        <f t="shared" ca="1" si="62"/>
        <v>279.89999999999998</v>
      </c>
      <c r="BO23" s="5">
        <f t="shared" ca="1" si="63"/>
        <v>241.35</v>
      </c>
      <c r="BP23" s="5">
        <f t="shared" ca="1" si="64"/>
        <v>394.85</v>
      </c>
      <c r="BQ23" s="5">
        <f t="shared" ca="1" si="65"/>
        <v>357.15</v>
      </c>
      <c r="BR23" s="5">
        <f t="shared" ca="1" si="66"/>
        <v>186.95</v>
      </c>
      <c r="BS23" s="5">
        <f t="shared" ca="1" si="67"/>
        <v>372.75</v>
      </c>
      <c r="BT23" s="5">
        <f t="shared" ca="1" si="68"/>
        <v>282.45</v>
      </c>
      <c r="BU23" s="5">
        <f t="shared" ca="1" si="69"/>
        <v>161.6</v>
      </c>
      <c r="BV23" s="5">
        <f t="shared" ca="1" si="5"/>
        <v>252.5</v>
      </c>
      <c r="BW23" s="5">
        <f t="shared" ca="1" si="70"/>
        <v>456.55</v>
      </c>
      <c r="BX23" s="5">
        <f t="shared" ca="1" si="71"/>
        <v>154.6</v>
      </c>
      <c r="BY23" s="5">
        <f t="shared" ca="1" si="72"/>
        <v>253.75</v>
      </c>
      <c r="BZ23" s="5">
        <f t="shared" ca="1" si="73"/>
        <v>225.7</v>
      </c>
      <c r="CA23" s="5">
        <f t="shared" ca="1" si="74"/>
        <v>378.25</v>
      </c>
      <c r="CB23" s="5">
        <f t="shared" ca="1" si="75"/>
        <v>415.7</v>
      </c>
      <c r="CC23" s="5">
        <f t="shared" ca="1" si="76"/>
        <v>203.8</v>
      </c>
      <c r="CD23" s="5">
        <f t="shared" ca="1" si="77"/>
        <v>215.7</v>
      </c>
      <c r="CE23" s="5">
        <f t="shared" ca="1" si="78"/>
        <v>179.85</v>
      </c>
      <c r="CF23" s="5">
        <f t="shared" ca="1" si="79"/>
        <v>226.35</v>
      </c>
      <c r="CG23" s="5">
        <f t="shared" ca="1" si="80"/>
        <v>315.14999999999998</v>
      </c>
      <c r="CH23" s="5">
        <f t="shared" ca="1" si="81"/>
        <v>326.60000000000002</v>
      </c>
      <c r="CI23" s="5">
        <f t="shared" ca="1" si="82"/>
        <v>220.2</v>
      </c>
      <c r="CJ23" s="5">
        <f t="shared" ca="1" si="83"/>
        <v>310.89999999999998</v>
      </c>
      <c r="CK23" s="5">
        <f t="shared" ca="1" si="84"/>
        <v>288.2</v>
      </c>
      <c r="CL23" s="5">
        <f t="shared" ca="1" si="85"/>
        <v>335.95</v>
      </c>
      <c r="CM23" s="5">
        <f t="shared" ca="1" si="86"/>
        <v>298.89999999999998</v>
      </c>
      <c r="CN23" s="5">
        <f t="shared" ca="1" si="87"/>
        <v>465.2</v>
      </c>
      <c r="CO23" s="5">
        <f t="shared" ca="1" si="88"/>
        <v>385.4</v>
      </c>
      <c r="CP23" s="5">
        <f t="shared" ca="1" si="89"/>
        <v>239.25</v>
      </c>
      <c r="CQ23" s="5">
        <f t="shared" ca="1" si="90"/>
        <v>269.3</v>
      </c>
      <c r="CR23" s="5">
        <f t="shared" ca="1" si="91"/>
        <v>181.55</v>
      </c>
      <c r="CS23" s="5">
        <f t="shared" ca="1" si="92"/>
        <v>492.5</v>
      </c>
      <c r="CT23" s="5">
        <f t="shared" ca="1" si="93"/>
        <v>253.95</v>
      </c>
      <c r="CU23" s="5">
        <f t="shared" ca="1" si="94"/>
        <v>222</v>
      </c>
      <c r="CV23" s="5">
        <f t="shared" ca="1" si="95"/>
        <v>153.19999999999999</v>
      </c>
      <c r="CW23" s="5">
        <f t="shared" ca="1" si="96"/>
        <v>288</v>
      </c>
      <c r="CX23" s="5">
        <f t="shared" ca="1" si="97"/>
        <v>313</v>
      </c>
      <c r="CY23" s="5">
        <f t="shared" ca="1" si="98"/>
        <v>340.85</v>
      </c>
      <c r="CZ23" s="5">
        <f t="shared" ca="1" si="99"/>
        <v>221.65</v>
      </c>
      <c r="DA23" s="5">
        <f t="shared" ca="1" si="100"/>
        <v>407.4</v>
      </c>
      <c r="DB23" s="5">
        <f t="shared" ca="1" si="101"/>
        <v>463.65</v>
      </c>
      <c r="DC23" s="5">
        <f t="shared" ca="1" si="102"/>
        <v>278.10000000000002</v>
      </c>
      <c r="DD23" s="5">
        <f t="shared" ca="1" si="103"/>
        <v>430.75</v>
      </c>
      <c r="DE23" s="5">
        <f t="shared" ca="1" si="104"/>
        <v>251.7</v>
      </c>
      <c r="DF23" s="5">
        <f t="shared" ca="1" si="105"/>
        <v>200.05</v>
      </c>
      <c r="DG23" s="5">
        <f t="shared" ca="1" si="106"/>
        <v>337.05</v>
      </c>
      <c r="DH23" s="5">
        <f t="shared" ca="1" si="107"/>
        <v>226.95</v>
      </c>
      <c r="DI23" s="5">
        <f t="shared" ca="1" si="108"/>
        <v>198.15</v>
      </c>
      <c r="DJ23" s="5">
        <f t="shared" ca="1" si="109"/>
        <v>283.2</v>
      </c>
      <c r="DK23" s="5">
        <f t="shared" ca="1" si="110"/>
        <v>345.55</v>
      </c>
      <c r="DL23" s="5">
        <f t="shared" ca="1" si="111"/>
        <v>246.1</v>
      </c>
      <c r="DM23" s="5">
        <f t="shared" ca="1" si="112"/>
        <v>305.55</v>
      </c>
      <c r="DN23" s="5">
        <f t="shared" ca="1" si="113"/>
        <v>155.1</v>
      </c>
      <c r="DO23" s="5">
        <f t="shared" ca="1" si="114"/>
        <v>219.95</v>
      </c>
      <c r="DP23" s="5">
        <f t="shared" ca="1" si="115"/>
        <v>242.95</v>
      </c>
      <c r="DQ23" s="5">
        <f t="shared" ca="1" si="116"/>
        <v>201.55</v>
      </c>
      <c r="DR23" s="5">
        <f t="shared" ca="1" si="117"/>
        <v>226.65</v>
      </c>
      <c r="DS23" s="5">
        <f t="shared" ca="1" si="118"/>
        <v>497</v>
      </c>
      <c r="DT23" s="5">
        <f t="shared" ca="1" si="119"/>
        <v>299.05</v>
      </c>
      <c r="DU23" s="5">
        <f t="shared" ca="1" si="120"/>
        <v>309.35000000000002</v>
      </c>
      <c r="DV23" s="5">
        <f t="shared" ca="1" si="121"/>
        <v>224.55</v>
      </c>
      <c r="DW23" s="5">
        <f t="shared" ca="1" si="122"/>
        <v>197.95</v>
      </c>
      <c r="DX23" s="5">
        <f t="shared" ca="1" si="123"/>
        <v>356.25</v>
      </c>
      <c r="DY23" s="5">
        <f t="shared" ca="1" si="124"/>
        <v>253.25</v>
      </c>
      <c r="DZ23" s="5">
        <f t="shared" ca="1" si="125"/>
        <v>216.25</v>
      </c>
      <c r="EA23" s="5">
        <f t="shared" ca="1" si="126"/>
        <v>249.45</v>
      </c>
      <c r="EB23" s="5">
        <f t="shared" ca="1" si="127"/>
        <v>406.9</v>
      </c>
      <c r="EC23" s="5">
        <f t="shared" ca="1" si="128"/>
        <v>376</v>
      </c>
      <c r="ED23" s="5">
        <f t="shared" ca="1" si="129"/>
        <v>257.64999999999998</v>
      </c>
      <c r="EE23" s="5">
        <f t="shared" ca="1" si="130"/>
        <v>262.2</v>
      </c>
      <c r="EF23" s="5">
        <f t="shared" ca="1" si="131"/>
        <v>358.8</v>
      </c>
      <c r="EG23" s="5">
        <f t="shared" ca="1" si="132"/>
        <v>254.4</v>
      </c>
      <c r="EH23" s="5">
        <f t="shared" ca="1" si="6"/>
        <v>133</v>
      </c>
      <c r="EI23" s="5">
        <f t="shared" ca="1" si="134"/>
        <v>239.7</v>
      </c>
      <c r="EJ23" s="5">
        <f t="shared" ca="1" si="135"/>
        <v>348.95</v>
      </c>
      <c r="EK23" s="5">
        <f t="shared" ca="1" si="136"/>
        <v>278.05</v>
      </c>
      <c r="EL23" s="5">
        <f t="shared" ca="1" si="137"/>
        <v>318.45</v>
      </c>
      <c r="EM23" s="5">
        <f t="shared" ca="1" si="138"/>
        <v>329.95</v>
      </c>
      <c r="EN23" s="5">
        <f t="shared" ca="1" si="139"/>
        <v>206.65</v>
      </c>
      <c r="EO23" s="5">
        <f t="shared" ca="1" si="140"/>
        <v>291.89999999999998</v>
      </c>
      <c r="EP23" s="5">
        <f t="shared" ca="1" si="141"/>
        <v>138.1</v>
      </c>
      <c r="EQ23" s="5">
        <f t="shared" ca="1" si="142"/>
        <v>349.1</v>
      </c>
      <c r="ER23" s="5">
        <f t="shared" ca="1" si="143"/>
        <v>220</v>
      </c>
      <c r="ES23" s="5">
        <f t="shared" ca="1" si="144"/>
        <v>340.6</v>
      </c>
      <c r="ET23" s="5">
        <f t="shared" ca="1" si="145"/>
        <v>203</v>
      </c>
      <c r="EU23" s="5">
        <f t="shared" ca="1" si="146"/>
        <v>187.15</v>
      </c>
      <c r="EV23" s="5">
        <f t="shared" ca="1" si="147"/>
        <v>262.75</v>
      </c>
      <c r="EW23" s="5">
        <f t="shared" ca="1" si="148"/>
        <v>273</v>
      </c>
      <c r="EX23" s="5">
        <f t="shared" ca="1" si="133"/>
        <v>251.35</v>
      </c>
    </row>
    <row r="24" spans="1:154" s="4" customFormat="1" x14ac:dyDescent="0.3">
      <c r="A24" s="3">
        <v>42797</v>
      </c>
      <c r="B24" s="4">
        <v>251.25</v>
      </c>
      <c r="C24" s="4">
        <f t="shared" si="0"/>
        <v>-3.5756891494488755E-3</v>
      </c>
    </row>
    <row r="25" spans="1:154" s="4" customFormat="1" x14ac:dyDescent="0.3">
      <c r="A25" s="3">
        <v>42798</v>
      </c>
      <c r="B25" s="4">
        <v>252.15</v>
      </c>
      <c r="C25" s="4">
        <f t="shared" si="0"/>
        <v>1.5386456008613429E-2</v>
      </c>
    </row>
    <row r="26" spans="1:154" s="4" customFormat="1" x14ac:dyDescent="0.3">
      <c r="A26" s="3">
        <v>42799</v>
      </c>
      <c r="B26" s="4">
        <v>248.3</v>
      </c>
      <c r="C26" s="4">
        <f t="shared" si="0"/>
        <v>5.046947222361803E-3</v>
      </c>
    </row>
    <row r="27" spans="1:154" s="4" customFormat="1" x14ac:dyDescent="0.3">
      <c r="A27" s="3">
        <v>42800</v>
      </c>
      <c r="B27" s="4">
        <v>247.05</v>
      </c>
      <c r="C27" s="4">
        <f t="shared" si="0"/>
        <v>4.6657960696122524E-3</v>
      </c>
    </row>
    <row r="28" spans="1:154" s="4" customFormat="1" x14ac:dyDescent="0.3">
      <c r="A28" s="3">
        <v>42801</v>
      </c>
      <c r="B28" s="4">
        <v>245.9</v>
      </c>
      <c r="C28" s="4">
        <f t="shared" si="0"/>
        <v>2.2391866862344454E-3</v>
      </c>
    </row>
    <row r="29" spans="1:154" s="4" customFormat="1" x14ac:dyDescent="0.3">
      <c r="A29" s="3">
        <v>42802</v>
      </c>
      <c r="B29" s="4">
        <v>245.35</v>
      </c>
      <c r="C29" s="4">
        <f t="shared" si="0"/>
        <v>1.0035926527785434E-2</v>
      </c>
    </row>
    <row r="30" spans="1:154" s="4" customFormat="1" x14ac:dyDescent="0.3">
      <c r="A30" s="3">
        <v>42803</v>
      </c>
      <c r="B30" s="4">
        <v>242.9</v>
      </c>
      <c r="C30" s="4">
        <f t="shared" si="0"/>
        <v>-8.2001279499952402E-3</v>
      </c>
    </row>
    <row r="31" spans="1:154" s="4" customFormat="1" x14ac:dyDescent="0.3">
      <c r="A31" s="3">
        <v>42804</v>
      </c>
      <c r="B31" s="4">
        <v>244.9</v>
      </c>
      <c r="C31" s="4">
        <f t="shared" si="0"/>
        <v>5.3224281223800633E-3</v>
      </c>
    </row>
    <row r="32" spans="1:154" s="4" customFormat="1" x14ac:dyDescent="0.3">
      <c r="A32" s="3">
        <v>42805</v>
      </c>
      <c r="B32" s="4">
        <v>243.6</v>
      </c>
      <c r="C32" s="4">
        <f t="shared" si="0"/>
        <v>-2.6733062197068752E-2</v>
      </c>
    </row>
    <row r="33" spans="1:3" s="4" customFormat="1" x14ac:dyDescent="0.3">
      <c r="A33" s="3">
        <v>42806</v>
      </c>
      <c r="B33" s="4">
        <v>250.2</v>
      </c>
      <c r="C33" s="4">
        <f t="shared" si="0"/>
        <v>1.0244138998564073E-2</v>
      </c>
    </row>
    <row r="34" spans="1:3" s="4" customFormat="1" x14ac:dyDescent="0.3">
      <c r="A34" s="3">
        <v>42807</v>
      </c>
      <c r="B34" s="4">
        <v>247.65</v>
      </c>
      <c r="C34" s="4">
        <f t="shared" si="0"/>
        <v>-4.0371417585068694E-4</v>
      </c>
    </row>
    <row r="35" spans="1:3" s="4" customFormat="1" x14ac:dyDescent="0.3">
      <c r="A35" s="3">
        <v>42808</v>
      </c>
      <c r="B35" s="4">
        <v>247.75</v>
      </c>
      <c r="C35" s="4">
        <f t="shared" ref="C35:C66" si="149">LN(B35/B36)</f>
        <v>-4.0282028286047758E-3</v>
      </c>
    </row>
    <row r="36" spans="1:3" s="4" customFormat="1" x14ac:dyDescent="0.3">
      <c r="A36" s="3">
        <v>42809</v>
      </c>
      <c r="B36" s="4">
        <v>248.75</v>
      </c>
      <c r="C36" s="4">
        <f t="shared" si="149"/>
        <v>1.8460814362097847E-2</v>
      </c>
    </row>
    <row r="37" spans="1:3" s="4" customFormat="1" x14ac:dyDescent="0.3">
      <c r="A37" s="3">
        <v>42810</v>
      </c>
      <c r="B37" s="4">
        <v>244.2</v>
      </c>
      <c r="C37" s="4">
        <f t="shared" si="149"/>
        <v>-2.0067563050809371E-2</v>
      </c>
    </row>
    <row r="38" spans="1:3" s="4" customFormat="1" x14ac:dyDescent="0.3">
      <c r="A38" s="3">
        <v>42811</v>
      </c>
      <c r="B38" s="4">
        <v>249.15</v>
      </c>
      <c r="C38" s="4">
        <f t="shared" si="149"/>
        <v>-2.6054729640637318E-3</v>
      </c>
    </row>
    <row r="39" spans="1:3" s="4" customFormat="1" x14ac:dyDescent="0.3">
      <c r="A39" s="3">
        <v>42812</v>
      </c>
      <c r="B39" s="4">
        <v>249.8</v>
      </c>
      <c r="C39" s="4">
        <f t="shared" si="149"/>
        <v>-2.1974555402175536E-2</v>
      </c>
    </row>
    <row r="40" spans="1:3" s="4" customFormat="1" x14ac:dyDescent="0.3">
      <c r="A40" s="3">
        <v>42813</v>
      </c>
      <c r="B40" s="4">
        <v>255.35</v>
      </c>
      <c r="C40" s="4">
        <f t="shared" si="149"/>
        <v>3.1378727453078626E-3</v>
      </c>
    </row>
    <row r="41" spans="1:3" s="4" customFormat="1" x14ac:dyDescent="0.3">
      <c r="A41" s="3">
        <v>42814</v>
      </c>
      <c r="B41" s="4">
        <v>254.55</v>
      </c>
      <c r="C41" s="4">
        <f t="shared" si="149"/>
        <v>-2.6363224810585846E-2</v>
      </c>
    </row>
    <row r="42" spans="1:3" s="4" customFormat="1" x14ac:dyDescent="0.3">
      <c r="A42" s="3">
        <v>42815</v>
      </c>
      <c r="B42" s="4">
        <v>261.35000000000002</v>
      </c>
      <c r="C42" s="4">
        <f t="shared" si="149"/>
        <v>-1.2925479322584914E-2</v>
      </c>
    </row>
    <row r="43" spans="1:3" s="4" customFormat="1" x14ac:dyDescent="0.3">
      <c r="A43" s="3">
        <v>42816</v>
      </c>
      <c r="B43" s="4">
        <v>264.75</v>
      </c>
      <c r="C43" s="4">
        <f t="shared" si="149"/>
        <v>-2.4521374165912165E-3</v>
      </c>
    </row>
    <row r="44" spans="1:3" s="4" customFormat="1" x14ac:dyDescent="0.3">
      <c r="A44" s="3">
        <v>42817</v>
      </c>
      <c r="B44" s="4">
        <v>265.39999999999998</v>
      </c>
      <c r="C44" s="4">
        <f t="shared" si="149"/>
        <v>9.4643901622715066E-3</v>
      </c>
    </row>
    <row r="45" spans="1:3" s="4" customFormat="1" x14ac:dyDescent="0.3">
      <c r="A45" s="3">
        <v>42818</v>
      </c>
      <c r="B45" s="4">
        <v>262.89999999999998</v>
      </c>
      <c r="C45" s="4">
        <f t="shared" si="149"/>
        <v>-1.2286327882930836E-2</v>
      </c>
    </row>
    <row r="46" spans="1:3" s="4" customFormat="1" x14ac:dyDescent="0.3">
      <c r="A46" s="3">
        <v>42819</v>
      </c>
      <c r="B46" s="4">
        <v>266.14999999999998</v>
      </c>
      <c r="C46" s="4">
        <f t="shared" si="149"/>
        <v>9.4375936422876668E-3</v>
      </c>
    </row>
    <row r="47" spans="1:3" s="4" customFormat="1" x14ac:dyDescent="0.3">
      <c r="A47" s="3">
        <v>42820</v>
      </c>
      <c r="B47" s="4">
        <v>263.64999999999998</v>
      </c>
      <c r="C47" s="4">
        <f t="shared" si="149"/>
        <v>-1.1314471070132424E-2</v>
      </c>
    </row>
    <row r="48" spans="1:3" s="4" customFormat="1" x14ac:dyDescent="0.3">
      <c r="A48" s="3">
        <v>42821</v>
      </c>
      <c r="B48" s="4">
        <v>266.64999999999998</v>
      </c>
      <c r="C48" s="4">
        <f t="shared" si="149"/>
        <v>2.5639995399166615E-2</v>
      </c>
    </row>
    <row r="49" spans="1:3" s="4" customFormat="1" x14ac:dyDescent="0.3">
      <c r="A49" s="3">
        <v>42822</v>
      </c>
      <c r="B49" s="4">
        <v>259.89999999999998</v>
      </c>
      <c r="C49" s="4">
        <f t="shared" si="149"/>
        <v>1.6683219144064801E-2</v>
      </c>
    </row>
    <row r="50" spans="1:3" s="4" customFormat="1" x14ac:dyDescent="0.3">
      <c r="A50" s="3">
        <v>42823</v>
      </c>
      <c r="B50" s="4">
        <v>255.6</v>
      </c>
      <c r="C50" s="4">
        <f t="shared" si="149"/>
        <v>-1.360036506468466E-2</v>
      </c>
    </row>
    <row r="51" spans="1:3" s="4" customFormat="1" x14ac:dyDescent="0.3">
      <c r="A51" s="3">
        <v>42824</v>
      </c>
      <c r="B51" s="4">
        <v>259.10000000000002</v>
      </c>
      <c r="C51" s="4">
        <f t="shared" si="149"/>
        <v>8.5271834522266457E-3</v>
      </c>
    </row>
    <row r="52" spans="1:3" s="4" customFormat="1" x14ac:dyDescent="0.3">
      <c r="A52" s="3">
        <v>42825</v>
      </c>
      <c r="B52" s="4">
        <v>256.89999999999998</v>
      </c>
      <c r="C52" s="4">
        <f t="shared" si="149"/>
        <v>1.0959013789719382E-2</v>
      </c>
    </row>
    <row r="53" spans="1:3" s="4" customFormat="1" x14ac:dyDescent="0.3">
      <c r="A53" s="3">
        <v>42826</v>
      </c>
      <c r="B53" s="4">
        <v>254.1</v>
      </c>
      <c r="C53" s="4">
        <f t="shared" si="149"/>
        <v>-6.0814311998899319E-3</v>
      </c>
    </row>
    <row r="54" spans="1:3" s="4" customFormat="1" x14ac:dyDescent="0.3">
      <c r="A54" s="3">
        <v>42827</v>
      </c>
      <c r="B54" s="4">
        <v>255.65</v>
      </c>
      <c r="C54" s="4">
        <f t="shared" si="149"/>
        <v>-1.050593320718546E-2</v>
      </c>
    </row>
    <row r="55" spans="1:3" s="4" customFormat="1" x14ac:dyDescent="0.3">
      <c r="A55" s="3">
        <v>42828</v>
      </c>
      <c r="B55" s="4">
        <v>258.35000000000002</v>
      </c>
      <c r="C55" s="4">
        <f t="shared" si="149"/>
        <v>2.2112240339045162E-2</v>
      </c>
    </row>
    <row r="56" spans="1:3" s="4" customFormat="1" x14ac:dyDescent="0.3">
      <c r="A56" s="3">
        <v>42829</v>
      </c>
      <c r="B56" s="4">
        <v>252.7</v>
      </c>
      <c r="C56" s="4">
        <f t="shared" si="149"/>
        <v>-3.3580278468795899E-3</v>
      </c>
    </row>
    <row r="57" spans="1:3" s="4" customFormat="1" x14ac:dyDescent="0.3">
      <c r="A57" s="3">
        <v>42830</v>
      </c>
      <c r="B57" s="4">
        <v>253.55</v>
      </c>
      <c r="C57" s="4">
        <f t="shared" si="149"/>
        <v>-2.8767775848394139E-2</v>
      </c>
    </row>
    <row r="58" spans="1:3" s="4" customFormat="1" x14ac:dyDescent="0.3">
      <c r="A58" s="3">
        <v>42831</v>
      </c>
      <c r="B58" s="4">
        <v>260.95</v>
      </c>
      <c r="C58" s="4">
        <f t="shared" si="149"/>
        <v>-3.0610316612240188E-3</v>
      </c>
    </row>
    <row r="59" spans="1:3" s="4" customFormat="1" x14ac:dyDescent="0.3">
      <c r="A59" s="3">
        <v>42832</v>
      </c>
      <c r="B59" s="4">
        <v>261.75</v>
      </c>
      <c r="C59" s="4">
        <f t="shared" si="149"/>
        <v>1.1914053301122255E-2</v>
      </c>
    </row>
    <row r="60" spans="1:3" s="4" customFormat="1" x14ac:dyDescent="0.3">
      <c r="A60" s="3">
        <v>42833</v>
      </c>
      <c r="B60" s="4">
        <v>258.64999999999998</v>
      </c>
      <c r="C60" s="4">
        <f t="shared" si="149"/>
        <v>5.0387703507604222E-3</v>
      </c>
    </row>
    <row r="61" spans="1:3" s="4" customFormat="1" x14ac:dyDescent="0.3">
      <c r="A61" s="3">
        <v>42834</v>
      </c>
      <c r="B61" s="4">
        <v>257.35000000000002</v>
      </c>
      <c r="C61" s="4">
        <f t="shared" si="149"/>
        <v>0</v>
      </c>
    </row>
    <row r="62" spans="1:3" s="4" customFormat="1" x14ac:dyDescent="0.3">
      <c r="A62" s="3">
        <v>42835</v>
      </c>
      <c r="B62" s="4">
        <v>257.35000000000002</v>
      </c>
      <c r="C62" s="4">
        <f t="shared" si="149"/>
        <v>-6.9238939260437823E-2</v>
      </c>
    </row>
    <row r="63" spans="1:3" s="4" customFormat="1" x14ac:dyDescent="0.3">
      <c r="A63" s="3">
        <v>42836</v>
      </c>
      <c r="B63" s="4">
        <v>275.8</v>
      </c>
      <c r="C63" s="4">
        <f t="shared" si="149"/>
        <v>-5.9647714127087637E-3</v>
      </c>
    </row>
    <row r="64" spans="1:3" s="4" customFormat="1" x14ac:dyDescent="0.3">
      <c r="A64" s="3">
        <v>42837</v>
      </c>
      <c r="B64" s="4">
        <v>277.45</v>
      </c>
      <c r="C64" s="4">
        <f t="shared" si="149"/>
        <v>9.0146945616213921E-4</v>
      </c>
    </row>
    <row r="65" spans="1:3" s="4" customFormat="1" x14ac:dyDescent="0.3">
      <c r="A65" s="3">
        <v>42838</v>
      </c>
      <c r="B65" s="4">
        <v>277.2</v>
      </c>
      <c r="C65" s="4">
        <f t="shared" si="149"/>
        <v>-3.6010121735943427E-3</v>
      </c>
    </row>
    <row r="66" spans="1:3" s="4" customFormat="1" x14ac:dyDescent="0.3">
      <c r="A66" s="3">
        <v>42839</v>
      </c>
      <c r="B66" s="4">
        <v>278.2</v>
      </c>
      <c r="C66" s="4">
        <f t="shared" si="149"/>
        <v>1.8868484304382736E-2</v>
      </c>
    </row>
    <row r="67" spans="1:3" s="4" customFormat="1" x14ac:dyDescent="0.3">
      <c r="A67" s="3">
        <v>42840</v>
      </c>
      <c r="B67" s="4">
        <v>273</v>
      </c>
      <c r="C67" s="4">
        <f t="shared" ref="C67:C130" si="150">LN(B67/B68)</f>
        <v>0</v>
      </c>
    </row>
    <row r="68" spans="1:3" s="4" customFormat="1" x14ac:dyDescent="0.3">
      <c r="A68" s="3">
        <v>42841</v>
      </c>
      <c r="B68" s="4">
        <v>273</v>
      </c>
      <c r="C68" s="4">
        <f t="shared" si="150"/>
        <v>-2.9949920310851474E-2</v>
      </c>
    </row>
    <row r="69" spans="1:3" s="4" customFormat="1" x14ac:dyDescent="0.3">
      <c r="A69" s="3">
        <v>42842</v>
      </c>
      <c r="B69" s="4">
        <v>281.3</v>
      </c>
      <c r="C69" s="4">
        <f t="shared" si="150"/>
        <v>7.8740084480283495E-2</v>
      </c>
    </row>
    <row r="70" spans="1:3" s="4" customFormat="1" x14ac:dyDescent="0.3">
      <c r="A70" s="3">
        <v>42843</v>
      </c>
      <c r="B70" s="4">
        <v>260</v>
      </c>
      <c r="C70" s="4">
        <f t="shared" si="150"/>
        <v>2.8676499277610044E-2</v>
      </c>
    </row>
    <row r="71" spans="1:3" s="4" customFormat="1" x14ac:dyDescent="0.3">
      <c r="A71" s="3">
        <v>42844</v>
      </c>
      <c r="B71" s="4">
        <v>252.65</v>
      </c>
      <c r="C71" s="4">
        <f t="shared" si="150"/>
        <v>-1.9788265623092092E-4</v>
      </c>
    </row>
    <row r="72" spans="1:3" s="4" customFormat="1" x14ac:dyDescent="0.3">
      <c r="A72" s="3">
        <v>42845</v>
      </c>
      <c r="B72" s="4">
        <v>252.7</v>
      </c>
      <c r="C72" s="4">
        <f t="shared" si="150"/>
        <v>3.9759045602394689E-2</v>
      </c>
    </row>
    <row r="73" spans="1:3" s="4" customFormat="1" x14ac:dyDescent="0.3">
      <c r="A73" s="3">
        <v>42846</v>
      </c>
      <c r="B73" s="4">
        <v>242.85</v>
      </c>
      <c r="C73" s="4">
        <f t="shared" si="150"/>
        <v>-1.1463789822903516E-2</v>
      </c>
    </row>
    <row r="74" spans="1:3" s="4" customFormat="1" x14ac:dyDescent="0.3">
      <c r="A74" s="3">
        <v>42847</v>
      </c>
      <c r="B74" s="4">
        <v>245.65</v>
      </c>
      <c r="C74" s="4">
        <f t="shared" si="150"/>
        <v>-2.1744363866057308E-2</v>
      </c>
    </row>
    <row r="75" spans="1:3" s="4" customFormat="1" x14ac:dyDescent="0.3">
      <c r="A75" s="3">
        <v>42848</v>
      </c>
      <c r="B75" s="4">
        <v>251.05</v>
      </c>
      <c r="C75" s="4">
        <f t="shared" si="150"/>
        <v>-3.0982870389185926E-2</v>
      </c>
    </row>
    <row r="76" spans="1:3" s="4" customFormat="1" x14ac:dyDescent="0.3">
      <c r="A76" s="3">
        <v>42849</v>
      </c>
      <c r="B76" s="4">
        <v>258.95</v>
      </c>
      <c r="C76" s="4">
        <f t="shared" si="150"/>
        <v>3.6754079482829178E-3</v>
      </c>
    </row>
    <row r="77" spans="1:3" s="4" customFormat="1" x14ac:dyDescent="0.3">
      <c r="A77" s="3">
        <v>42850</v>
      </c>
      <c r="B77" s="4">
        <v>258</v>
      </c>
      <c r="C77" s="4">
        <f t="shared" si="150"/>
        <v>0</v>
      </c>
    </row>
    <row r="78" spans="1:3" s="4" customFormat="1" x14ac:dyDescent="0.3">
      <c r="A78" s="3">
        <v>42851</v>
      </c>
      <c r="B78" s="4">
        <v>258</v>
      </c>
      <c r="C78" s="4">
        <f t="shared" si="150"/>
        <v>1.0128641323178445E-2</v>
      </c>
    </row>
    <row r="79" spans="1:3" s="4" customFormat="1" x14ac:dyDescent="0.3">
      <c r="A79" s="3">
        <v>42852</v>
      </c>
      <c r="B79" s="4">
        <v>255.4</v>
      </c>
      <c r="C79" s="4">
        <f t="shared" si="150"/>
        <v>-1.3031400981139895E-2</v>
      </c>
    </row>
    <row r="80" spans="1:3" s="4" customFormat="1" x14ac:dyDescent="0.3">
      <c r="A80" s="3">
        <v>42853</v>
      </c>
      <c r="B80" s="4">
        <v>258.75</v>
      </c>
      <c r="C80" s="4">
        <f t="shared" si="150"/>
        <v>-1.0380716054560741E-2</v>
      </c>
    </row>
    <row r="81" spans="1:3" s="4" customFormat="1" x14ac:dyDescent="0.3">
      <c r="A81" s="3">
        <v>42854</v>
      </c>
      <c r="B81" s="4">
        <v>261.45</v>
      </c>
      <c r="C81" s="4">
        <f t="shared" si="150"/>
        <v>-5.7208394012135434E-3</v>
      </c>
    </row>
    <row r="82" spans="1:3" s="4" customFormat="1" x14ac:dyDescent="0.3">
      <c r="A82" s="3">
        <v>42855</v>
      </c>
      <c r="B82" s="4">
        <v>262.95</v>
      </c>
      <c r="C82" s="4">
        <f t="shared" si="150"/>
        <v>1.7068206086869306E-2</v>
      </c>
    </row>
    <row r="83" spans="1:3" s="4" customFormat="1" x14ac:dyDescent="0.3">
      <c r="A83" s="3">
        <v>42856</v>
      </c>
      <c r="B83" s="4">
        <v>258.5</v>
      </c>
      <c r="C83" s="4">
        <f t="shared" si="150"/>
        <v>-6.5548721299209991E-3</v>
      </c>
    </row>
    <row r="84" spans="1:3" s="4" customFormat="1" x14ac:dyDescent="0.3">
      <c r="A84" s="3">
        <v>42857</v>
      </c>
      <c r="B84" s="4">
        <v>260.2</v>
      </c>
      <c r="C84" s="4">
        <f t="shared" si="150"/>
        <v>1.8619622479965969E-2</v>
      </c>
    </row>
    <row r="85" spans="1:3" s="4" customFormat="1" x14ac:dyDescent="0.3">
      <c r="A85" s="3">
        <v>42858</v>
      </c>
      <c r="B85" s="4">
        <v>255.4</v>
      </c>
      <c r="C85" s="4">
        <f t="shared" si="150"/>
        <v>-5.8559605173988559E-3</v>
      </c>
    </row>
    <row r="86" spans="1:3" s="4" customFormat="1" x14ac:dyDescent="0.3">
      <c r="A86" s="3">
        <v>42859</v>
      </c>
      <c r="B86" s="4">
        <v>256.89999999999998</v>
      </c>
      <c r="C86" s="4">
        <f t="shared" si="150"/>
        <v>1.4507213845816819E-2</v>
      </c>
    </row>
    <row r="87" spans="1:3" s="4" customFormat="1" x14ac:dyDescent="0.3">
      <c r="A87" s="3">
        <v>42860</v>
      </c>
      <c r="B87" s="4">
        <v>253.2</v>
      </c>
      <c r="C87" s="4">
        <f t="shared" si="150"/>
        <v>4.35385607614694E-3</v>
      </c>
    </row>
    <row r="88" spans="1:3" s="4" customFormat="1" x14ac:dyDescent="0.3">
      <c r="A88" s="3">
        <v>42861</v>
      </c>
      <c r="B88" s="4">
        <v>252.1</v>
      </c>
      <c r="C88" s="4">
        <f t="shared" si="150"/>
        <v>9.7658972472558486E-3</v>
      </c>
    </row>
    <row r="89" spans="1:3" s="4" customFormat="1" x14ac:dyDescent="0.3">
      <c r="A89" s="3">
        <v>42862</v>
      </c>
      <c r="B89" s="4">
        <v>249.65</v>
      </c>
      <c r="C89" s="4">
        <f t="shared" si="150"/>
        <v>-2.7458515234917782E-2</v>
      </c>
    </row>
    <row r="90" spans="1:3" s="4" customFormat="1" x14ac:dyDescent="0.3">
      <c r="A90" s="3">
        <v>42863</v>
      </c>
      <c r="B90" s="4">
        <v>256.60000000000002</v>
      </c>
      <c r="C90" s="4">
        <f t="shared" si="150"/>
        <v>0</v>
      </c>
    </row>
    <row r="91" spans="1:3" s="4" customFormat="1" x14ac:dyDescent="0.3">
      <c r="A91" s="3">
        <v>42864</v>
      </c>
      <c r="B91" s="4">
        <v>256.60000000000002</v>
      </c>
      <c r="C91" s="4">
        <f t="shared" si="150"/>
        <v>0</v>
      </c>
    </row>
    <row r="92" spans="1:3" s="4" customFormat="1" x14ac:dyDescent="0.3">
      <c r="A92" s="3">
        <v>42865</v>
      </c>
      <c r="B92" s="4">
        <v>256.60000000000002</v>
      </c>
      <c r="C92" s="4">
        <f t="shared" si="150"/>
        <v>-8.1506370104472148E-3</v>
      </c>
    </row>
    <row r="93" spans="1:3" s="4" customFormat="1" x14ac:dyDescent="0.3">
      <c r="A93" s="3">
        <v>42866</v>
      </c>
      <c r="B93" s="4">
        <v>258.7</v>
      </c>
      <c r="C93" s="4">
        <f t="shared" si="150"/>
        <v>7.3715173761772978E-3</v>
      </c>
    </row>
    <row r="94" spans="1:3" s="4" customFormat="1" x14ac:dyDescent="0.3">
      <c r="A94" s="3">
        <v>42867</v>
      </c>
      <c r="B94" s="4">
        <v>256.8</v>
      </c>
      <c r="C94" s="4">
        <f t="shared" si="150"/>
        <v>-1.5647957652595624E-2</v>
      </c>
    </row>
    <row r="95" spans="1:3" s="4" customFormat="1" x14ac:dyDescent="0.3">
      <c r="A95" s="3">
        <v>42868</v>
      </c>
      <c r="B95" s="4">
        <v>260.85000000000002</v>
      </c>
      <c r="C95" s="4">
        <f t="shared" si="150"/>
        <v>4.2258994890651165E-3</v>
      </c>
    </row>
    <row r="96" spans="1:3" s="4" customFormat="1" x14ac:dyDescent="0.3">
      <c r="A96" s="3">
        <v>42869</v>
      </c>
      <c r="B96" s="4">
        <v>259.75</v>
      </c>
      <c r="C96" s="4">
        <f t="shared" si="150"/>
        <v>1.7280305731898638E-2</v>
      </c>
    </row>
    <row r="97" spans="1:3" s="4" customFormat="1" x14ac:dyDescent="0.3">
      <c r="A97" s="3">
        <v>42870</v>
      </c>
      <c r="B97" s="4">
        <v>255.3</v>
      </c>
      <c r="C97" s="4">
        <f t="shared" si="150"/>
        <v>1.5990864874152647E-2</v>
      </c>
    </row>
    <row r="98" spans="1:3" s="4" customFormat="1" x14ac:dyDescent="0.3">
      <c r="A98" s="3">
        <v>42871</v>
      </c>
      <c r="B98" s="4">
        <v>251.25</v>
      </c>
      <c r="C98" s="4">
        <f t="shared" si="150"/>
        <v>1.6048488870464086E-2</v>
      </c>
    </row>
    <row r="99" spans="1:3" s="4" customFormat="1" x14ac:dyDescent="0.3">
      <c r="A99" s="3">
        <v>42872</v>
      </c>
      <c r="B99" s="4">
        <v>247.25</v>
      </c>
      <c r="C99" s="4">
        <f t="shared" si="150"/>
        <v>-2.5949559853175628E-2</v>
      </c>
    </row>
    <row r="100" spans="1:3" s="4" customFormat="1" x14ac:dyDescent="0.3">
      <c r="A100" s="3">
        <v>42873</v>
      </c>
      <c r="B100" s="4">
        <v>253.75</v>
      </c>
      <c r="C100" s="4">
        <f t="shared" si="150"/>
        <v>1.889663389128949E-2</v>
      </c>
    </row>
    <row r="101" spans="1:3" s="4" customFormat="1" x14ac:dyDescent="0.3">
      <c r="A101" s="3">
        <v>42874</v>
      </c>
      <c r="B101" s="4">
        <v>249</v>
      </c>
      <c r="C101" s="4">
        <f t="shared" si="150"/>
        <v>-1.0586336757661382E-2</v>
      </c>
    </row>
    <row r="102" spans="1:3" s="4" customFormat="1" x14ac:dyDescent="0.3">
      <c r="A102" s="3">
        <v>42875</v>
      </c>
      <c r="B102" s="4">
        <v>251.65</v>
      </c>
      <c r="C102" s="4">
        <f t="shared" si="150"/>
        <v>-1.1458047125976003E-2</v>
      </c>
    </row>
    <row r="103" spans="1:3" s="4" customFormat="1" x14ac:dyDescent="0.3">
      <c r="A103" s="3">
        <v>42876</v>
      </c>
      <c r="B103" s="4">
        <v>254.55</v>
      </c>
      <c r="C103" s="4">
        <f t="shared" si="150"/>
        <v>-1.307463253895394E-2</v>
      </c>
    </row>
    <row r="104" spans="1:3" s="4" customFormat="1" x14ac:dyDescent="0.3">
      <c r="A104" s="3">
        <v>42877</v>
      </c>
      <c r="B104" s="4">
        <v>257.89999999999998</v>
      </c>
      <c r="C104" s="4">
        <f t="shared" si="150"/>
        <v>2.6521542691245306E-2</v>
      </c>
    </row>
    <row r="105" spans="1:3" s="4" customFormat="1" x14ac:dyDescent="0.3">
      <c r="A105" s="3">
        <v>42878</v>
      </c>
      <c r="B105" s="4">
        <v>251.15</v>
      </c>
      <c r="C105" s="4">
        <f t="shared" si="150"/>
        <v>-1.3053982838787863E-2</v>
      </c>
    </row>
    <row r="106" spans="1:3" s="4" customFormat="1" x14ac:dyDescent="0.3">
      <c r="A106" s="3">
        <v>42879</v>
      </c>
      <c r="B106" s="4">
        <v>254.45</v>
      </c>
      <c r="C106" s="4">
        <f t="shared" si="150"/>
        <v>-4.7049684911665817E-3</v>
      </c>
    </row>
    <row r="107" spans="1:3" s="4" customFormat="1" x14ac:dyDescent="0.3">
      <c r="A107" s="3">
        <v>42880</v>
      </c>
      <c r="B107" s="4">
        <v>255.65</v>
      </c>
      <c r="C107" s="4">
        <f t="shared" si="150"/>
        <v>5.2946490979341706E-3</v>
      </c>
    </row>
    <row r="108" spans="1:3" s="4" customFormat="1" x14ac:dyDescent="0.3">
      <c r="A108" s="3">
        <v>42881</v>
      </c>
      <c r="B108" s="4">
        <v>254.3</v>
      </c>
      <c r="C108" s="4">
        <f t="shared" si="150"/>
        <v>-6.6627720514884784E-3</v>
      </c>
    </row>
    <row r="109" spans="1:3" s="4" customFormat="1" x14ac:dyDescent="0.3">
      <c r="A109" s="3">
        <v>42882</v>
      </c>
      <c r="B109" s="4">
        <v>256</v>
      </c>
      <c r="C109" s="4">
        <f t="shared" si="150"/>
        <v>-6.0364315320317946E-3</v>
      </c>
    </row>
    <row r="110" spans="1:3" s="4" customFormat="1" x14ac:dyDescent="0.3">
      <c r="A110" s="3">
        <v>42883</v>
      </c>
      <c r="B110" s="4">
        <v>257.55</v>
      </c>
      <c r="C110" s="4">
        <f t="shared" si="150"/>
        <v>1.8813018111013467E-2</v>
      </c>
    </row>
    <row r="111" spans="1:3" s="4" customFormat="1" x14ac:dyDescent="0.3">
      <c r="A111" s="3">
        <v>42884</v>
      </c>
      <c r="B111" s="4">
        <v>252.75</v>
      </c>
      <c r="C111" s="4">
        <f t="shared" si="150"/>
        <v>0</v>
      </c>
    </row>
    <row r="112" spans="1:3" s="4" customFormat="1" x14ac:dyDescent="0.3">
      <c r="A112" s="3">
        <v>42885</v>
      </c>
      <c r="B112" s="4">
        <v>252.75</v>
      </c>
      <c r="C112" s="4">
        <f t="shared" si="150"/>
        <v>-4.3926961402505876E-2</v>
      </c>
    </row>
    <row r="113" spans="1:3" s="4" customFormat="1" x14ac:dyDescent="0.3">
      <c r="A113" s="3">
        <v>42886</v>
      </c>
      <c r="B113" s="4">
        <v>264.10000000000002</v>
      </c>
      <c r="C113" s="4">
        <f t="shared" si="150"/>
        <v>-1.5964279319751369E-2</v>
      </c>
    </row>
    <row r="114" spans="1:3" s="4" customFormat="1" x14ac:dyDescent="0.3">
      <c r="A114" s="3">
        <v>42887</v>
      </c>
      <c r="B114" s="4">
        <v>268.35000000000002</v>
      </c>
      <c r="C114" s="4">
        <f t="shared" si="150"/>
        <v>5.7927845813692804E-3</v>
      </c>
    </row>
    <row r="115" spans="1:3" s="4" customFormat="1" x14ac:dyDescent="0.3">
      <c r="A115" s="3">
        <v>42888</v>
      </c>
      <c r="B115" s="4">
        <v>266.8</v>
      </c>
      <c r="C115" s="4">
        <f t="shared" si="150"/>
        <v>2.5433141586862794E-2</v>
      </c>
    </row>
    <row r="116" spans="1:3" s="4" customFormat="1" x14ac:dyDescent="0.3">
      <c r="A116" s="3">
        <v>42889</v>
      </c>
      <c r="B116" s="4">
        <v>260.10000000000002</v>
      </c>
      <c r="C116" s="4">
        <f t="shared" si="150"/>
        <v>2.1372486331299862E-2</v>
      </c>
    </row>
    <row r="117" spans="1:3" s="4" customFormat="1" x14ac:dyDescent="0.3">
      <c r="A117" s="3">
        <v>42890</v>
      </c>
      <c r="B117" s="4">
        <v>254.6</v>
      </c>
      <c r="C117" s="4">
        <f t="shared" si="150"/>
        <v>0</v>
      </c>
    </row>
    <row r="118" spans="1:3" s="4" customFormat="1" x14ac:dyDescent="0.3">
      <c r="A118" s="3">
        <v>42891</v>
      </c>
      <c r="B118" s="4">
        <v>254.6</v>
      </c>
      <c r="C118" s="4">
        <f t="shared" si="150"/>
        <v>1.0264598611882803E-2</v>
      </c>
    </row>
    <row r="119" spans="1:3" s="4" customFormat="1" x14ac:dyDescent="0.3">
      <c r="A119" s="3">
        <v>42892</v>
      </c>
      <c r="B119" s="4">
        <v>252</v>
      </c>
      <c r="C119" s="4">
        <f t="shared" si="150"/>
        <v>-1.9821612039912112E-3</v>
      </c>
    </row>
    <row r="120" spans="1:3" s="4" customFormat="1" x14ac:dyDescent="0.3">
      <c r="A120" s="3">
        <v>42893</v>
      </c>
      <c r="B120" s="4">
        <v>252.5</v>
      </c>
      <c r="C120" s="4">
        <f t="shared" si="150"/>
        <v>9.9058948169608823E-4</v>
      </c>
    </row>
    <row r="121" spans="1:3" s="4" customFormat="1" x14ac:dyDescent="0.3">
      <c r="A121" s="3">
        <v>42894</v>
      </c>
      <c r="B121" s="4">
        <v>252.25</v>
      </c>
      <c r="C121" s="4">
        <f t="shared" si="150"/>
        <v>1.2766979714425889E-2</v>
      </c>
    </row>
    <row r="122" spans="1:3" s="4" customFormat="1" x14ac:dyDescent="0.3">
      <c r="A122" s="3">
        <v>42895</v>
      </c>
      <c r="B122" s="4">
        <v>249.05</v>
      </c>
      <c r="C122" s="4">
        <f t="shared" si="150"/>
        <v>9.8860887890484667E-3</v>
      </c>
    </row>
    <row r="123" spans="1:3" s="4" customFormat="1" x14ac:dyDescent="0.3">
      <c r="A123" s="3">
        <v>42896</v>
      </c>
      <c r="B123" s="4">
        <v>246.6</v>
      </c>
      <c r="C123" s="4">
        <f t="shared" si="150"/>
        <v>-1.4293147203970128E-2</v>
      </c>
    </row>
    <row r="124" spans="1:3" s="4" customFormat="1" x14ac:dyDescent="0.3">
      <c r="A124" s="3">
        <v>42897</v>
      </c>
      <c r="B124" s="4">
        <v>250.15</v>
      </c>
      <c r="C124" s="4">
        <f t="shared" si="150"/>
        <v>-1.6847093531752993E-2</v>
      </c>
    </row>
    <row r="125" spans="1:3" s="4" customFormat="1" x14ac:dyDescent="0.3">
      <c r="A125" s="3">
        <v>42898</v>
      </c>
      <c r="B125" s="4">
        <v>254.4</v>
      </c>
      <c r="C125" s="4">
        <f t="shared" si="150"/>
        <v>-1.3748406368670545E-3</v>
      </c>
    </row>
    <row r="126" spans="1:3" s="4" customFormat="1" x14ac:dyDescent="0.3">
      <c r="A126" s="3">
        <v>42899</v>
      </c>
      <c r="B126" s="4">
        <v>254.75</v>
      </c>
      <c r="C126" s="4">
        <f t="shared" si="150"/>
        <v>-1.9625159517410159E-4</v>
      </c>
    </row>
    <row r="127" spans="1:3" s="4" customFormat="1" x14ac:dyDescent="0.3">
      <c r="A127" s="3">
        <v>42900</v>
      </c>
      <c r="B127" s="4">
        <v>254.8</v>
      </c>
      <c r="C127" s="4">
        <f t="shared" si="150"/>
        <v>-1.4416770250475459E-2</v>
      </c>
    </row>
    <row r="128" spans="1:3" s="4" customFormat="1" x14ac:dyDescent="0.3">
      <c r="A128" s="3">
        <v>42901</v>
      </c>
      <c r="B128" s="4">
        <v>258.5</v>
      </c>
      <c r="C128" s="4">
        <f t="shared" si="150"/>
        <v>3.985534388916008E-2</v>
      </c>
    </row>
    <row r="129" spans="1:3" s="4" customFormat="1" x14ac:dyDescent="0.3">
      <c r="A129" s="3">
        <v>42902</v>
      </c>
      <c r="B129" s="4">
        <v>248.4</v>
      </c>
      <c r="C129" s="4">
        <f t="shared" si="150"/>
        <v>8.6930700071254155E-3</v>
      </c>
    </row>
    <row r="130" spans="1:3" s="4" customFormat="1" x14ac:dyDescent="0.3">
      <c r="A130" s="3">
        <v>42903</v>
      </c>
      <c r="B130" s="4">
        <v>246.25</v>
      </c>
      <c r="C130" s="4">
        <f t="shared" si="150"/>
        <v>-2.0283982613927207E-3</v>
      </c>
    </row>
    <row r="131" spans="1:3" s="4" customFormat="1" x14ac:dyDescent="0.3">
      <c r="A131" s="3">
        <v>42904</v>
      </c>
      <c r="B131" s="4">
        <v>246.75</v>
      </c>
      <c r="C131" s="4">
        <f t="shared" ref="C131:C194" si="151">LN(B131/B132)</f>
        <v>1.4080428524114086E-2</v>
      </c>
    </row>
    <row r="132" spans="1:3" s="4" customFormat="1" x14ac:dyDescent="0.3">
      <c r="A132" s="3">
        <v>42905</v>
      </c>
      <c r="B132" s="4">
        <v>243.3</v>
      </c>
      <c r="C132" s="4">
        <f t="shared" si="151"/>
        <v>0</v>
      </c>
    </row>
    <row r="133" spans="1:3" s="4" customFormat="1" x14ac:dyDescent="0.3">
      <c r="A133" s="3">
        <v>42906</v>
      </c>
      <c r="B133" s="4">
        <v>243.3</v>
      </c>
      <c r="C133" s="4">
        <f t="shared" si="151"/>
        <v>6.8684657584064668E-2</v>
      </c>
    </row>
    <row r="134" spans="1:3" s="4" customFormat="1" x14ac:dyDescent="0.3">
      <c r="A134" s="3">
        <v>42907</v>
      </c>
      <c r="B134" s="4">
        <v>227.15</v>
      </c>
      <c r="C134" s="4">
        <f t="shared" si="151"/>
        <v>-1.8969281320876403E-2</v>
      </c>
    </row>
    <row r="135" spans="1:3" s="4" customFormat="1" x14ac:dyDescent="0.3">
      <c r="A135" s="3">
        <v>42908</v>
      </c>
      <c r="B135" s="4">
        <v>231.5</v>
      </c>
      <c r="C135" s="4">
        <f t="shared" si="151"/>
        <v>-1.5643734864768291E-2</v>
      </c>
    </row>
    <row r="136" spans="1:3" s="4" customFormat="1" x14ac:dyDescent="0.3">
      <c r="A136" s="3">
        <v>42909</v>
      </c>
      <c r="B136" s="4">
        <v>235.15</v>
      </c>
      <c r="C136" s="4">
        <f t="shared" si="151"/>
        <v>8.1127686636037286E-3</v>
      </c>
    </row>
    <row r="137" spans="1:3" s="4" customFormat="1" x14ac:dyDescent="0.3">
      <c r="A137" s="3">
        <v>42910</v>
      </c>
      <c r="B137" s="4">
        <v>233.25</v>
      </c>
      <c r="C137" s="4">
        <f t="shared" si="151"/>
        <v>2.1459235702766762E-3</v>
      </c>
    </row>
    <row r="138" spans="1:3" s="4" customFormat="1" x14ac:dyDescent="0.3">
      <c r="A138" s="3">
        <v>42911</v>
      </c>
      <c r="B138" s="4">
        <v>232.75</v>
      </c>
      <c r="C138" s="4">
        <f t="shared" si="151"/>
        <v>3.0979789884166255E-2</v>
      </c>
    </row>
    <row r="139" spans="1:3" s="4" customFormat="1" x14ac:dyDescent="0.3">
      <c r="A139" s="3">
        <v>42912</v>
      </c>
      <c r="B139" s="4">
        <v>225.65</v>
      </c>
      <c r="C139" s="4">
        <f t="shared" si="151"/>
        <v>-4.421851113848089E-3</v>
      </c>
    </row>
    <row r="140" spans="1:3" s="4" customFormat="1" x14ac:dyDescent="0.3">
      <c r="A140" s="3">
        <v>42913</v>
      </c>
      <c r="B140" s="4">
        <v>226.65</v>
      </c>
      <c r="C140" s="4">
        <f t="shared" si="151"/>
        <v>-6.1579257708511475E-3</v>
      </c>
    </row>
    <row r="141" spans="1:3" s="4" customFormat="1" x14ac:dyDescent="0.3">
      <c r="A141" s="3">
        <v>42914</v>
      </c>
      <c r="B141" s="4">
        <v>228.05</v>
      </c>
      <c r="C141" s="4">
        <f t="shared" si="151"/>
        <v>3.2941722992120121E-3</v>
      </c>
    </row>
    <row r="142" spans="1:3" s="4" customFormat="1" x14ac:dyDescent="0.3">
      <c r="A142" s="3">
        <v>42915</v>
      </c>
      <c r="B142" s="4">
        <v>227.3</v>
      </c>
      <c r="C142" s="4">
        <f t="shared" si="151"/>
        <v>-9.1964738367727832E-3</v>
      </c>
    </row>
    <row r="143" spans="1:3" s="4" customFormat="1" x14ac:dyDescent="0.3">
      <c r="A143" s="3">
        <v>42916</v>
      </c>
      <c r="B143" s="4">
        <v>229.4</v>
      </c>
      <c r="C143" s="4">
        <f t="shared" si="151"/>
        <v>-6.9505058265231902E-3</v>
      </c>
    </row>
    <row r="144" spans="1:3" s="4" customFormat="1" x14ac:dyDescent="0.3">
      <c r="A144" s="3">
        <v>42917</v>
      </c>
      <c r="B144" s="4">
        <v>231</v>
      </c>
      <c r="C144" s="4">
        <f t="shared" si="151"/>
        <v>7.6045993852192125E-3</v>
      </c>
    </row>
    <row r="145" spans="1:3" s="4" customFormat="1" x14ac:dyDescent="0.3">
      <c r="A145" s="3">
        <v>42918</v>
      </c>
      <c r="B145" s="4">
        <v>229.25</v>
      </c>
      <c r="C145" s="4">
        <f t="shared" si="151"/>
        <v>1.1185553623090917E-2</v>
      </c>
    </row>
    <row r="146" spans="1:3" s="4" customFormat="1" x14ac:dyDescent="0.3">
      <c r="A146" s="3">
        <v>42919</v>
      </c>
      <c r="B146" s="4">
        <v>226.7</v>
      </c>
      <c r="C146" s="4">
        <f t="shared" si="151"/>
        <v>-1.4016874255652678E-2</v>
      </c>
    </row>
    <row r="147" spans="1:3" s="4" customFormat="1" x14ac:dyDescent="0.3">
      <c r="A147" s="3">
        <v>42920</v>
      </c>
      <c r="B147" s="4">
        <v>229.9</v>
      </c>
      <c r="C147" s="4">
        <f t="shared" si="151"/>
        <v>2.8233017715512416E-2</v>
      </c>
    </row>
    <row r="148" spans="1:3" s="4" customFormat="1" x14ac:dyDescent="0.3">
      <c r="A148" s="3">
        <v>42921</v>
      </c>
      <c r="B148" s="4">
        <v>223.5</v>
      </c>
      <c r="C148" s="4">
        <f t="shared" si="151"/>
        <v>-9.5737122193867152E-3</v>
      </c>
    </row>
    <row r="149" spans="1:3" s="4" customFormat="1" x14ac:dyDescent="0.3">
      <c r="A149" s="3">
        <v>42922</v>
      </c>
      <c r="B149" s="4">
        <v>225.65</v>
      </c>
      <c r="C149" s="4">
        <f t="shared" si="151"/>
        <v>-2.4081724161224307E-2</v>
      </c>
    </row>
    <row r="150" spans="1:3" s="4" customFormat="1" x14ac:dyDescent="0.3">
      <c r="A150" s="3">
        <v>42923</v>
      </c>
      <c r="B150" s="4">
        <v>231.15</v>
      </c>
      <c r="C150" s="4">
        <f t="shared" si="151"/>
        <v>6.7281859888231087E-3</v>
      </c>
    </row>
    <row r="151" spans="1:3" s="4" customFormat="1" x14ac:dyDescent="0.3">
      <c r="A151" s="3">
        <v>42924</v>
      </c>
      <c r="B151" s="4">
        <v>229.6</v>
      </c>
      <c r="C151" s="4">
        <f t="shared" si="151"/>
        <v>3.7089602897806702E-3</v>
      </c>
    </row>
    <row r="152" spans="1:3" s="4" customFormat="1" x14ac:dyDescent="0.3">
      <c r="A152" s="3">
        <v>42925</v>
      </c>
      <c r="B152" s="4">
        <v>228.75</v>
      </c>
      <c r="C152" s="4">
        <f t="shared" si="151"/>
        <v>-1.1950169370658084E-2</v>
      </c>
    </row>
    <row r="153" spans="1:3" s="4" customFormat="1" x14ac:dyDescent="0.3">
      <c r="A153" s="3">
        <v>42926</v>
      </c>
      <c r="B153" s="4">
        <v>231.5</v>
      </c>
      <c r="C153" s="4">
        <f t="shared" si="151"/>
        <v>-2.1574981400212367E-3</v>
      </c>
    </row>
    <row r="154" spans="1:3" s="4" customFormat="1" x14ac:dyDescent="0.3">
      <c r="A154" s="3">
        <v>42927</v>
      </c>
      <c r="B154" s="4">
        <v>232</v>
      </c>
      <c r="C154" s="4">
        <f t="shared" si="151"/>
        <v>1.8708398596616084E-2</v>
      </c>
    </row>
    <row r="155" spans="1:3" s="4" customFormat="1" x14ac:dyDescent="0.3">
      <c r="A155" s="3">
        <v>42928</v>
      </c>
      <c r="B155" s="4">
        <v>227.7</v>
      </c>
      <c r="C155" s="4">
        <f t="shared" si="151"/>
        <v>4.4014155562107221E-3</v>
      </c>
    </row>
    <row r="156" spans="1:3" s="4" customFormat="1" x14ac:dyDescent="0.3">
      <c r="A156" s="3">
        <v>42929</v>
      </c>
      <c r="B156" s="4">
        <v>226.7</v>
      </c>
      <c r="C156" s="4">
        <f t="shared" si="151"/>
        <v>8.8613783221998567E-3</v>
      </c>
    </row>
    <row r="157" spans="1:3" s="4" customFormat="1" x14ac:dyDescent="0.3">
      <c r="A157" s="3">
        <v>42930</v>
      </c>
      <c r="B157" s="4">
        <v>224.7</v>
      </c>
      <c r="C157" s="4">
        <f t="shared" si="151"/>
        <v>2.8895915635385211E-2</v>
      </c>
    </row>
    <row r="158" spans="1:3" s="4" customFormat="1" x14ac:dyDescent="0.3">
      <c r="A158" s="3">
        <v>42931</v>
      </c>
      <c r="B158" s="4">
        <v>218.3</v>
      </c>
      <c r="C158" s="4">
        <f t="shared" si="151"/>
        <v>-7.9845297012021872E-3</v>
      </c>
    </row>
    <row r="159" spans="1:3" s="4" customFormat="1" x14ac:dyDescent="0.3">
      <c r="A159" s="3">
        <v>42932</v>
      </c>
      <c r="B159" s="4">
        <v>220.05</v>
      </c>
      <c r="C159" s="4">
        <f t="shared" si="151"/>
        <v>-1.5556620796523053E-2</v>
      </c>
    </row>
    <row r="160" spans="1:3" s="4" customFormat="1" x14ac:dyDescent="0.3">
      <c r="A160" s="3">
        <v>42933</v>
      </c>
      <c r="B160" s="4">
        <v>223.5</v>
      </c>
      <c r="C160" s="4">
        <f t="shared" si="151"/>
        <v>0</v>
      </c>
    </row>
    <row r="161" spans="1:3" s="4" customFormat="1" x14ac:dyDescent="0.3">
      <c r="A161" s="3">
        <v>42934</v>
      </c>
      <c r="B161" s="4">
        <v>223.5</v>
      </c>
      <c r="C161" s="4">
        <f t="shared" si="151"/>
        <v>2.2396425935046599E-3</v>
      </c>
    </row>
    <row r="162" spans="1:3" s="4" customFormat="1" x14ac:dyDescent="0.3">
      <c r="A162" s="3">
        <v>42935</v>
      </c>
      <c r="B162" s="4">
        <v>223</v>
      </c>
      <c r="C162" s="4">
        <f t="shared" si="151"/>
        <v>1.5364061824743246E-2</v>
      </c>
    </row>
    <row r="163" spans="1:3" s="4" customFormat="1" x14ac:dyDescent="0.3">
      <c r="A163" s="3">
        <v>42936</v>
      </c>
      <c r="B163" s="4">
        <v>219.6</v>
      </c>
      <c r="C163" s="4">
        <f t="shared" si="151"/>
        <v>3.6496390875493312E-3</v>
      </c>
    </row>
    <row r="164" spans="1:3" s="4" customFormat="1" x14ac:dyDescent="0.3">
      <c r="A164" s="3">
        <v>42937</v>
      </c>
      <c r="B164" s="4">
        <v>218.8</v>
      </c>
      <c r="C164" s="4">
        <f t="shared" si="151"/>
        <v>7.3394824880459696E-3</v>
      </c>
    </row>
    <row r="165" spans="1:3" s="4" customFormat="1" x14ac:dyDescent="0.3">
      <c r="A165" s="3">
        <v>42938</v>
      </c>
      <c r="B165" s="4">
        <v>217.2</v>
      </c>
      <c r="C165" s="4">
        <f t="shared" si="151"/>
        <v>6.0032505390185242E-3</v>
      </c>
    </row>
    <row r="166" spans="1:3" s="4" customFormat="1" x14ac:dyDescent="0.3">
      <c r="A166" s="3">
        <v>42939</v>
      </c>
      <c r="B166" s="4">
        <v>215.9</v>
      </c>
      <c r="C166" s="4">
        <f t="shared" si="151"/>
        <v>-5.7730214600692142E-3</v>
      </c>
    </row>
    <row r="167" spans="1:3" s="4" customFormat="1" x14ac:dyDescent="0.3">
      <c r="A167" s="3">
        <v>42940</v>
      </c>
      <c r="B167" s="4">
        <v>217.15</v>
      </c>
      <c r="C167" s="4">
        <f t="shared" si="151"/>
        <v>2.7546092743547638E-2</v>
      </c>
    </row>
    <row r="168" spans="1:3" s="4" customFormat="1" x14ac:dyDescent="0.3">
      <c r="A168" s="3">
        <v>42941</v>
      </c>
      <c r="B168" s="4">
        <v>211.25</v>
      </c>
      <c r="C168" s="4">
        <f t="shared" si="151"/>
        <v>-2.9386442929405891E-2</v>
      </c>
    </row>
    <row r="169" spans="1:3" s="4" customFormat="1" x14ac:dyDescent="0.3">
      <c r="A169" s="3">
        <v>42942</v>
      </c>
      <c r="B169" s="4">
        <v>217.55</v>
      </c>
      <c r="C169" s="4">
        <f t="shared" si="151"/>
        <v>2.160613726725534E-2</v>
      </c>
    </row>
    <row r="170" spans="1:3" s="4" customFormat="1" x14ac:dyDescent="0.3">
      <c r="A170" s="3">
        <v>42943</v>
      </c>
      <c r="B170" s="4">
        <v>212.9</v>
      </c>
      <c r="C170" s="4">
        <f t="shared" si="151"/>
        <v>-5.1534431224176461E-3</v>
      </c>
    </row>
    <row r="171" spans="1:3" s="4" customFormat="1" x14ac:dyDescent="0.3">
      <c r="A171" s="3">
        <v>42944</v>
      </c>
      <c r="B171" s="4">
        <v>214</v>
      </c>
      <c r="C171" s="4">
        <f t="shared" si="151"/>
        <v>-8.839322498910257E-3</v>
      </c>
    </row>
    <row r="172" spans="1:3" s="4" customFormat="1" x14ac:dyDescent="0.3">
      <c r="A172" s="3">
        <v>42945</v>
      </c>
      <c r="B172" s="4">
        <v>215.9</v>
      </c>
      <c r="C172" s="4">
        <f t="shared" si="151"/>
        <v>1.141272431679069E-2</v>
      </c>
    </row>
    <row r="173" spans="1:3" s="4" customFormat="1" x14ac:dyDescent="0.3">
      <c r="A173" s="3">
        <v>42946</v>
      </c>
      <c r="B173" s="4">
        <v>213.45</v>
      </c>
      <c r="C173" s="4">
        <f t="shared" si="151"/>
        <v>-1.1875794480194005E-2</v>
      </c>
    </row>
    <row r="174" spans="1:3" s="4" customFormat="1" x14ac:dyDescent="0.3">
      <c r="A174" s="3">
        <v>42947</v>
      </c>
      <c r="B174" s="4">
        <v>216</v>
      </c>
      <c r="C174" s="4">
        <f t="shared" si="151"/>
        <v>-2.314546937772294E-4</v>
      </c>
    </row>
    <row r="175" spans="1:3" s="4" customFormat="1" x14ac:dyDescent="0.3">
      <c r="A175" s="3">
        <v>42948</v>
      </c>
      <c r="B175" s="4">
        <v>216.05</v>
      </c>
      <c r="C175" s="4">
        <f t="shared" si="151"/>
        <v>3.9415131495875715E-2</v>
      </c>
    </row>
    <row r="176" spans="1:3" s="4" customFormat="1" x14ac:dyDescent="0.3">
      <c r="A176" s="3">
        <v>42949</v>
      </c>
      <c r="B176" s="4">
        <v>207.7</v>
      </c>
      <c r="C176" s="4">
        <f t="shared" si="151"/>
        <v>2.8817622962557826E-2</v>
      </c>
    </row>
    <row r="177" spans="1:3" s="4" customFormat="1" x14ac:dyDescent="0.3">
      <c r="A177" s="3">
        <v>42950</v>
      </c>
      <c r="B177" s="4">
        <v>201.8</v>
      </c>
      <c r="C177" s="4">
        <f t="shared" si="151"/>
        <v>-2.0356312962581034E-2</v>
      </c>
    </row>
    <row r="178" spans="1:3" s="4" customFormat="1" x14ac:dyDescent="0.3">
      <c r="A178" s="3">
        <v>42951</v>
      </c>
      <c r="B178" s="4">
        <v>205.95</v>
      </c>
      <c r="C178" s="4">
        <f t="shared" si="151"/>
        <v>-1.9235986248112586E-2</v>
      </c>
    </row>
    <row r="179" spans="1:3" s="4" customFormat="1" x14ac:dyDescent="0.3">
      <c r="A179" s="3">
        <v>42952</v>
      </c>
      <c r="B179" s="4">
        <v>209.95</v>
      </c>
      <c r="C179" s="4">
        <f t="shared" si="151"/>
        <v>-3.5659136799410344E-3</v>
      </c>
    </row>
    <row r="180" spans="1:3" s="4" customFormat="1" x14ac:dyDescent="0.3">
      <c r="A180" s="3">
        <v>42953</v>
      </c>
      <c r="B180" s="4">
        <v>210.7</v>
      </c>
      <c r="C180" s="4">
        <f t="shared" si="151"/>
        <v>2.6137593590174718E-3</v>
      </c>
    </row>
    <row r="181" spans="1:3" s="4" customFormat="1" x14ac:dyDescent="0.3">
      <c r="A181" s="3">
        <v>42954</v>
      </c>
      <c r="B181" s="4">
        <v>210.15</v>
      </c>
      <c r="C181" s="4">
        <f t="shared" si="151"/>
        <v>5.5019375591199203E-2</v>
      </c>
    </row>
    <row r="182" spans="1:3" s="4" customFormat="1" x14ac:dyDescent="0.3">
      <c r="A182" s="3">
        <v>42955</v>
      </c>
      <c r="B182" s="4">
        <v>198.9</v>
      </c>
      <c r="C182" s="4">
        <f t="shared" si="151"/>
        <v>1.163097814686042E-2</v>
      </c>
    </row>
    <row r="183" spans="1:3" s="4" customFormat="1" x14ac:dyDescent="0.3">
      <c r="A183" s="3">
        <v>42956</v>
      </c>
      <c r="B183" s="4">
        <v>196.6</v>
      </c>
      <c r="C183" s="4">
        <f t="shared" si="151"/>
        <v>-1.9892384502995797E-2</v>
      </c>
    </row>
    <row r="184" spans="1:3" s="4" customFormat="1" x14ac:dyDescent="0.3">
      <c r="A184" s="3">
        <v>42957</v>
      </c>
      <c r="B184" s="4">
        <v>200.55</v>
      </c>
      <c r="C184" s="4">
        <f t="shared" si="151"/>
        <v>1.153473170110457E-2</v>
      </c>
    </row>
    <row r="185" spans="1:3" s="4" customFormat="1" x14ac:dyDescent="0.3">
      <c r="A185" s="3">
        <v>42958</v>
      </c>
      <c r="B185" s="4">
        <v>198.25</v>
      </c>
      <c r="C185" s="4">
        <f t="shared" si="151"/>
        <v>-3.3237186435389116E-2</v>
      </c>
    </row>
    <row r="186" spans="1:3" s="4" customFormat="1" x14ac:dyDescent="0.3">
      <c r="A186" s="3">
        <v>42959</v>
      </c>
      <c r="B186" s="4">
        <v>204.95</v>
      </c>
      <c r="C186" s="4">
        <f t="shared" si="151"/>
        <v>3.0215275296646964E-2</v>
      </c>
    </row>
    <row r="187" spans="1:3" s="4" customFormat="1" x14ac:dyDescent="0.3">
      <c r="A187" s="3">
        <v>42960</v>
      </c>
      <c r="B187" s="4">
        <v>198.85</v>
      </c>
      <c r="C187" s="4">
        <f t="shared" si="151"/>
        <v>1.4946446703204438E-2</v>
      </c>
    </row>
    <row r="188" spans="1:3" s="4" customFormat="1" x14ac:dyDescent="0.3">
      <c r="A188" s="3">
        <v>42961</v>
      </c>
      <c r="B188" s="4">
        <v>195.9</v>
      </c>
      <c r="C188" s="4">
        <f t="shared" si="151"/>
        <v>6.185368205942067E-2</v>
      </c>
    </row>
    <row r="189" spans="1:3" s="4" customFormat="1" x14ac:dyDescent="0.3">
      <c r="A189" s="3">
        <v>42962</v>
      </c>
      <c r="B189" s="4">
        <v>184.15</v>
      </c>
      <c r="C189" s="4">
        <f t="shared" si="151"/>
        <v>5.0393403599268215E-2</v>
      </c>
    </row>
    <row r="190" spans="1:3" s="4" customFormat="1" x14ac:dyDescent="0.3">
      <c r="A190" s="3">
        <v>42963</v>
      </c>
      <c r="B190" s="4">
        <v>175.1</v>
      </c>
      <c r="C190" s="4">
        <f t="shared" si="151"/>
        <v>3.250431247130111E-2</v>
      </c>
    </row>
    <row r="191" spans="1:3" s="4" customFormat="1" x14ac:dyDescent="0.3">
      <c r="A191" s="3">
        <v>42964</v>
      </c>
      <c r="B191" s="4">
        <v>169.5</v>
      </c>
      <c r="C191" s="4">
        <f t="shared" si="151"/>
        <v>6.5108250122785649E-3</v>
      </c>
    </row>
    <row r="192" spans="1:3" s="4" customFormat="1" x14ac:dyDescent="0.3">
      <c r="A192" s="3">
        <v>42965</v>
      </c>
      <c r="B192" s="4">
        <v>168.4</v>
      </c>
      <c r="C192" s="4">
        <f t="shared" si="151"/>
        <v>-1.7366146512391472E-2</v>
      </c>
    </row>
    <row r="193" spans="1:3" s="4" customFormat="1" x14ac:dyDescent="0.3">
      <c r="A193" s="3">
        <v>42966</v>
      </c>
      <c r="B193" s="4">
        <v>171.35</v>
      </c>
      <c r="C193" s="4">
        <f t="shared" si="151"/>
        <v>-7.8477368320150273E-3</v>
      </c>
    </row>
    <row r="194" spans="1:3" s="4" customFormat="1" x14ac:dyDescent="0.3">
      <c r="A194" s="3">
        <v>42967</v>
      </c>
      <c r="B194" s="4">
        <v>172.7</v>
      </c>
      <c r="C194" s="4">
        <f t="shared" si="151"/>
        <v>-4.1123049372406746E-2</v>
      </c>
    </row>
    <row r="195" spans="1:3" s="4" customFormat="1" x14ac:dyDescent="0.3">
      <c r="A195" s="3">
        <v>42968</v>
      </c>
      <c r="B195" s="4">
        <v>179.95</v>
      </c>
      <c r="C195" s="4">
        <f t="shared" ref="C195:C258" si="152">LN(B195/B196)</f>
        <v>1.7377118873550125E-2</v>
      </c>
    </row>
    <row r="196" spans="1:3" s="4" customFormat="1" x14ac:dyDescent="0.3">
      <c r="A196" s="3">
        <v>42969</v>
      </c>
      <c r="B196" s="4">
        <v>176.85</v>
      </c>
      <c r="C196" s="4">
        <f t="shared" si="152"/>
        <v>2.8276544794656334E-4</v>
      </c>
    </row>
    <row r="197" spans="1:3" s="4" customFormat="1" x14ac:dyDescent="0.3">
      <c r="A197" s="3">
        <v>42970</v>
      </c>
      <c r="B197" s="4">
        <v>176.8</v>
      </c>
      <c r="C197" s="4">
        <f t="shared" si="152"/>
        <v>-4.4525535179097811E-2</v>
      </c>
    </row>
    <row r="198" spans="1:3" s="4" customFormat="1" x14ac:dyDescent="0.3">
      <c r="A198" s="3">
        <v>42971</v>
      </c>
      <c r="B198" s="4">
        <v>184.85</v>
      </c>
      <c r="C198" s="4">
        <f t="shared" si="152"/>
        <v>-1.9553321505424607E-2</v>
      </c>
    </row>
    <row r="199" spans="1:3" s="4" customFormat="1" x14ac:dyDescent="0.3">
      <c r="A199" s="3">
        <v>42972</v>
      </c>
      <c r="B199" s="4">
        <v>188.5</v>
      </c>
      <c r="C199" s="4">
        <f t="shared" si="152"/>
        <v>1.8742181809740664E-2</v>
      </c>
    </row>
    <row r="200" spans="1:3" s="4" customFormat="1" x14ac:dyDescent="0.3">
      <c r="A200" s="3">
        <v>42973</v>
      </c>
      <c r="B200" s="4">
        <v>185</v>
      </c>
      <c r="C200" s="4">
        <f t="shared" si="152"/>
        <v>-2.403319944415622E-2</v>
      </c>
    </row>
    <row r="201" spans="1:3" s="4" customFormat="1" x14ac:dyDescent="0.3">
      <c r="A201" s="3">
        <v>42974</v>
      </c>
      <c r="B201" s="4">
        <v>189.5</v>
      </c>
      <c r="C201" s="4">
        <f t="shared" si="152"/>
        <v>4.2305721479765157E-3</v>
      </c>
    </row>
    <row r="202" spans="1:3" s="4" customFormat="1" x14ac:dyDescent="0.3">
      <c r="A202" s="3">
        <v>42975</v>
      </c>
      <c r="B202" s="4">
        <v>188.7</v>
      </c>
      <c r="C202" s="4">
        <f t="shared" si="152"/>
        <v>2.332232769435099E-2</v>
      </c>
    </row>
    <row r="203" spans="1:3" s="4" customFormat="1" x14ac:dyDescent="0.3">
      <c r="A203" s="3">
        <v>42976</v>
      </c>
      <c r="B203" s="4">
        <v>184.35</v>
      </c>
      <c r="C203" s="4">
        <f t="shared" si="152"/>
        <v>2.1936717330605527E-2</v>
      </c>
    </row>
    <row r="204" spans="1:3" s="4" customFormat="1" x14ac:dyDescent="0.3">
      <c r="A204" s="3">
        <v>42977</v>
      </c>
      <c r="B204" s="4">
        <v>180.35</v>
      </c>
      <c r="C204" s="4">
        <f t="shared" si="152"/>
        <v>2.2203728245082624E-3</v>
      </c>
    </row>
    <row r="205" spans="1:3" s="4" customFormat="1" x14ac:dyDescent="0.3">
      <c r="A205" s="3">
        <v>42978</v>
      </c>
      <c r="B205" s="4">
        <v>179.95</v>
      </c>
      <c r="C205" s="4">
        <f t="shared" si="152"/>
        <v>-2.2528425299990572E-2</v>
      </c>
    </row>
    <row r="206" spans="1:3" s="4" customFormat="1" x14ac:dyDescent="0.3">
      <c r="A206" s="3">
        <v>42979</v>
      </c>
      <c r="B206" s="4">
        <v>184.05</v>
      </c>
      <c r="C206" s="4">
        <f t="shared" si="152"/>
        <v>-1.0539213888171013E-2</v>
      </c>
    </row>
    <row r="207" spans="1:3" s="4" customFormat="1" x14ac:dyDescent="0.3">
      <c r="A207" s="3">
        <v>42980</v>
      </c>
      <c r="B207" s="4">
        <v>186</v>
      </c>
      <c r="C207" s="4">
        <f t="shared" si="152"/>
        <v>-1.6000341346441189E-2</v>
      </c>
    </row>
    <row r="208" spans="1:3" s="4" customFormat="1" x14ac:dyDescent="0.3">
      <c r="A208" s="3">
        <v>42981</v>
      </c>
      <c r="B208" s="4">
        <v>189</v>
      </c>
      <c r="C208" s="4">
        <f t="shared" si="152"/>
        <v>-1.6008739732271453E-2</v>
      </c>
    </row>
    <row r="209" spans="1:3" s="4" customFormat="1" x14ac:dyDescent="0.3">
      <c r="A209" s="3">
        <v>42982</v>
      </c>
      <c r="B209" s="4">
        <v>192.05</v>
      </c>
      <c r="C209" s="4">
        <f t="shared" si="152"/>
        <v>-2.1123917863647774E-2</v>
      </c>
    </row>
    <row r="210" spans="1:3" s="4" customFormat="1" x14ac:dyDescent="0.3">
      <c r="A210" s="3">
        <v>42983</v>
      </c>
      <c r="B210" s="4">
        <v>196.15</v>
      </c>
      <c r="C210" s="4">
        <f t="shared" si="152"/>
        <v>-2.4176448239648495E-2</v>
      </c>
    </row>
    <row r="211" spans="1:3" s="4" customFormat="1" x14ac:dyDescent="0.3">
      <c r="A211" s="3">
        <v>42984</v>
      </c>
      <c r="B211" s="4">
        <v>200.95</v>
      </c>
      <c r="C211" s="4">
        <f t="shared" si="152"/>
        <v>1.9598617254197221E-2</v>
      </c>
    </row>
    <row r="212" spans="1:3" s="4" customFormat="1" x14ac:dyDescent="0.3">
      <c r="A212" s="3">
        <v>42985</v>
      </c>
      <c r="B212" s="4">
        <v>197.05</v>
      </c>
      <c r="C212" s="4">
        <f t="shared" si="152"/>
        <v>-1.5609581797569928E-2</v>
      </c>
    </row>
    <row r="213" spans="1:3" s="4" customFormat="1" x14ac:dyDescent="0.3">
      <c r="A213" s="3">
        <v>42986</v>
      </c>
      <c r="B213" s="4">
        <v>200.15</v>
      </c>
      <c r="C213" s="4">
        <f t="shared" si="152"/>
        <v>2.9406428140350518E-2</v>
      </c>
    </row>
    <row r="214" spans="1:3" s="4" customFormat="1" x14ac:dyDescent="0.3">
      <c r="A214" s="3">
        <v>42987</v>
      </c>
      <c r="B214" s="4">
        <v>194.35</v>
      </c>
      <c r="C214" s="4">
        <f t="shared" si="152"/>
        <v>3.6949047848189295E-2</v>
      </c>
    </row>
    <row r="215" spans="1:3" s="4" customFormat="1" x14ac:dyDescent="0.3">
      <c r="A215" s="3">
        <v>42988</v>
      </c>
      <c r="B215" s="4">
        <v>187.3</v>
      </c>
      <c r="C215" s="4">
        <f t="shared" si="152"/>
        <v>2.9407854371161341E-3</v>
      </c>
    </row>
    <row r="216" spans="1:3" s="4" customFormat="1" x14ac:dyDescent="0.3">
      <c r="A216" s="3">
        <v>42989</v>
      </c>
      <c r="B216" s="4">
        <v>186.75</v>
      </c>
      <c r="C216" s="4">
        <f t="shared" si="152"/>
        <v>0</v>
      </c>
    </row>
    <row r="217" spans="1:3" s="4" customFormat="1" x14ac:dyDescent="0.3">
      <c r="A217" s="3">
        <v>42990</v>
      </c>
      <c r="B217" s="4">
        <v>186.75</v>
      </c>
      <c r="C217" s="4">
        <f t="shared" si="152"/>
        <v>-2.7203579000727608E-2</v>
      </c>
    </row>
    <row r="218" spans="1:3" s="4" customFormat="1" x14ac:dyDescent="0.3">
      <c r="A218" s="3">
        <v>42991</v>
      </c>
      <c r="B218" s="4">
        <v>191.9</v>
      </c>
      <c r="C218" s="4">
        <f t="shared" si="152"/>
        <v>0</v>
      </c>
    </row>
    <row r="219" spans="1:3" s="4" customFormat="1" x14ac:dyDescent="0.3">
      <c r="A219" s="3">
        <v>42992</v>
      </c>
      <c r="B219" s="4">
        <v>191.9</v>
      </c>
      <c r="C219" s="4">
        <f t="shared" si="152"/>
        <v>0</v>
      </c>
    </row>
    <row r="220" spans="1:3" s="4" customFormat="1" x14ac:dyDescent="0.3">
      <c r="A220" s="3">
        <v>42993</v>
      </c>
      <c r="B220" s="4">
        <v>191.9</v>
      </c>
      <c r="C220" s="4">
        <f t="shared" si="152"/>
        <v>2.1596836239491737E-2</v>
      </c>
    </row>
    <row r="221" spans="1:3" s="4" customFormat="1" x14ac:dyDescent="0.3">
      <c r="A221" s="3">
        <v>42994</v>
      </c>
      <c r="B221" s="4">
        <v>187.8</v>
      </c>
      <c r="C221" s="4">
        <f t="shared" si="152"/>
        <v>-2.3932999058403786E-3</v>
      </c>
    </row>
    <row r="222" spans="1:3" s="4" customFormat="1" x14ac:dyDescent="0.3">
      <c r="A222" s="3">
        <v>42995</v>
      </c>
      <c r="B222" s="4">
        <v>188.25</v>
      </c>
      <c r="C222" s="4">
        <f t="shared" si="152"/>
        <v>2.7738414999538021E-2</v>
      </c>
    </row>
    <row r="223" spans="1:3" s="4" customFormat="1" x14ac:dyDescent="0.3">
      <c r="A223" s="3">
        <v>42996</v>
      </c>
      <c r="B223" s="4">
        <v>183.1</v>
      </c>
      <c r="C223" s="4">
        <f t="shared" si="152"/>
        <v>6.3005276222962685E-3</v>
      </c>
    </row>
    <row r="224" spans="1:3" s="4" customFormat="1" x14ac:dyDescent="0.3">
      <c r="A224" s="3">
        <v>42997</v>
      </c>
      <c r="B224" s="4">
        <v>181.95</v>
      </c>
      <c r="C224" s="4">
        <f t="shared" si="152"/>
        <v>-1.038828368911218E-2</v>
      </c>
    </row>
    <row r="225" spans="1:3" s="4" customFormat="1" x14ac:dyDescent="0.3">
      <c r="A225" s="3">
        <v>42998</v>
      </c>
      <c r="B225" s="4">
        <v>183.85</v>
      </c>
      <c r="C225" s="4">
        <f t="shared" si="152"/>
        <v>-2.7159169328725072E-3</v>
      </c>
    </row>
    <row r="226" spans="1:3" s="4" customFormat="1" x14ac:dyDescent="0.3">
      <c r="A226" s="3">
        <v>42999</v>
      </c>
      <c r="B226" s="4">
        <v>184.35</v>
      </c>
      <c r="C226" s="4">
        <f t="shared" si="152"/>
        <v>-5.4623787698000401E-2</v>
      </c>
    </row>
    <row r="227" spans="1:3" s="4" customFormat="1" x14ac:dyDescent="0.3">
      <c r="A227" s="3">
        <v>43000</v>
      </c>
      <c r="B227" s="4">
        <v>194.7</v>
      </c>
      <c r="C227" s="4">
        <f t="shared" si="152"/>
        <v>-4.8674362782675012E-3</v>
      </c>
    </row>
    <row r="228" spans="1:3" s="4" customFormat="1" x14ac:dyDescent="0.3">
      <c r="A228" s="3">
        <v>43001</v>
      </c>
      <c r="B228" s="4">
        <v>195.65</v>
      </c>
      <c r="C228" s="4">
        <f t="shared" si="152"/>
        <v>7.1813594086645761E-3</v>
      </c>
    </row>
    <row r="229" spans="1:3" s="4" customFormat="1" x14ac:dyDescent="0.3">
      <c r="A229" s="3">
        <v>43002</v>
      </c>
      <c r="B229" s="4">
        <v>194.25</v>
      </c>
      <c r="C229" s="4">
        <f t="shared" si="152"/>
        <v>-1.6845727609642938E-2</v>
      </c>
    </row>
    <row r="230" spans="1:3" s="4" customFormat="1" x14ac:dyDescent="0.3">
      <c r="A230" s="3">
        <v>43003</v>
      </c>
      <c r="B230" s="4">
        <v>197.55</v>
      </c>
      <c r="C230" s="4">
        <f t="shared" si="152"/>
        <v>4.1602692334918839E-2</v>
      </c>
    </row>
    <row r="231" spans="1:3" s="4" customFormat="1" x14ac:dyDescent="0.3">
      <c r="A231" s="3">
        <v>43004</v>
      </c>
      <c r="B231" s="4">
        <v>189.5</v>
      </c>
      <c r="C231" s="4">
        <f t="shared" si="152"/>
        <v>6.3525888593742369E-3</v>
      </c>
    </row>
    <row r="232" spans="1:3" s="4" customFormat="1" x14ac:dyDescent="0.3">
      <c r="A232" s="3">
        <v>43005</v>
      </c>
      <c r="B232" s="4">
        <v>188.3</v>
      </c>
      <c r="C232" s="4">
        <f t="shared" si="152"/>
        <v>-4.3134772049959386E-2</v>
      </c>
    </row>
    <row r="233" spans="1:3" s="4" customFormat="1" x14ac:dyDescent="0.3">
      <c r="A233" s="3">
        <v>43006</v>
      </c>
      <c r="B233" s="4">
        <v>196.6</v>
      </c>
      <c r="C233" s="4">
        <f t="shared" si="152"/>
        <v>0</v>
      </c>
    </row>
    <row r="234" spans="1:3" s="4" customFormat="1" x14ac:dyDescent="0.3">
      <c r="A234" s="3">
        <v>43007</v>
      </c>
      <c r="B234" s="4">
        <v>196.6</v>
      </c>
      <c r="C234" s="4">
        <f t="shared" si="152"/>
        <v>0</v>
      </c>
    </row>
    <row r="235" spans="1:3" s="4" customFormat="1" x14ac:dyDescent="0.3">
      <c r="A235" s="3">
        <v>43008</v>
      </c>
      <c r="B235" s="4">
        <v>196.6</v>
      </c>
      <c r="C235" s="4">
        <f t="shared" si="152"/>
        <v>-4.5673766281104505E-3</v>
      </c>
    </row>
    <row r="236" spans="1:3" s="4" customFormat="1" x14ac:dyDescent="0.3">
      <c r="A236" s="3">
        <v>43009</v>
      </c>
      <c r="B236" s="4">
        <v>197.5</v>
      </c>
      <c r="C236" s="4">
        <f t="shared" si="152"/>
        <v>3.5505997230233844E-3</v>
      </c>
    </row>
    <row r="237" spans="1:3" s="4" customFormat="1" x14ac:dyDescent="0.3">
      <c r="A237" s="3">
        <v>43010</v>
      </c>
      <c r="B237" s="4">
        <v>196.8</v>
      </c>
      <c r="C237" s="4">
        <f t="shared" si="152"/>
        <v>2.860651191150786E-2</v>
      </c>
    </row>
    <row r="238" spans="1:3" s="4" customFormat="1" x14ac:dyDescent="0.3">
      <c r="A238" s="3">
        <v>43011</v>
      </c>
      <c r="B238" s="4">
        <v>191.25</v>
      </c>
      <c r="C238" s="4">
        <f t="shared" si="152"/>
        <v>2.5954846781377723E-2</v>
      </c>
    </row>
    <row r="239" spans="1:3" s="4" customFormat="1" x14ac:dyDescent="0.3">
      <c r="A239" s="3">
        <v>43012</v>
      </c>
      <c r="B239" s="4">
        <v>186.35</v>
      </c>
      <c r="C239" s="4">
        <f t="shared" si="152"/>
        <v>6.1903037131884895E-3</v>
      </c>
    </row>
    <row r="240" spans="1:3" s="4" customFormat="1" x14ac:dyDescent="0.3">
      <c r="A240" s="3">
        <v>43013</v>
      </c>
      <c r="B240" s="4">
        <v>185.2</v>
      </c>
      <c r="C240" s="4">
        <f t="shared" si="152"/>
        <v>-5.3981107923524788E-4</v>
      </c>
    </row>
    <row r="241" spans="1:3" s="4" customFormat="1" x14ac:dyDescent="0.3">
      <c r="A241" s="3">
        <v>43014</v>
      </c>
      <c r="B241" s="4">
        <v>185.3</v>
      </c>
      <c r="C241" s="4">
        <f t="shared" si="152"/>
        <v>1.9344016877685354E-2</v>
      </c>
    </row>
    <row r="242" spans="1:3" s="4" customFormat="1" x14ac:dyDescent="0.3">
      <c r="A242" s="3">
        <v>43015</v>
      </c>
      <c r="B242" s="4">
        <v>181.75</v>
      </c>
      <c r="C242" s="4">
        <f t="shared" si="152"/>
        <v>9.1198642317183443E-3</v>
      </c>
    </row>
    <row r="243" spans="1:3" s="4" customFormat="1" x14ac:dyDescent="0.3">
      <c r="A243" s="3">
        <v>43016</v>
      </c>
      <c r="B243" s="4">
        <v>180.1</v>
      </c>
      <c r="C243" s="4">
        <f t="shared" si="152"/>
        <v>-2.2185255910252173E-3</v>
      </c>
    </row>
    <row r="244" spans="1:3" s="4" customFormat="1" x14ac:dyDescent="0.3">
      <c r="A244" s="3">
        <v>43017</v>
      </c>
      <c r="B244" s="4">
        <v>180.5</v>
      </c>
      <c r="C244" s="4">
        <f t="shared" si="152"/>
        <v>-1.5938782049428883E-2</v>
      </c>
    </row>
    <row r="245" spans="1:3" s="4" customFormat="1" x14ac:dyDescent="0.3">
      <c r="A245" s="3">
        <v>43018</v>
      </c>
      <c r="B245" s="4">
        <v>183.4</v>
      </c>
      <c r="C245" s="4">
        <f t="shared" si="152"/>
        <v>2.726653050295974E-4</v>
      </c>
    </row>
    <row r="246" spans="1:3" s="4" customFormat="1" x14ac:dyDescent="0.3">
      <c r="A246" s="3">
        <v>43019</v>
      </c>
      <c r="B246" s="4">
        <v>183.35</v>
      </c>
      <c r="C246" s="4">
        <f t="shared" si="152"/>
        <v>-2.7170467624927745E-2</v>
      </c>
    </row>
    <row r="247" spans="1:3" s="4" customFormat="1" x14ac:dyDescent="0.3">
      <c r="A247" s="3">
        <v>43020</v>
      </c>
      <c r="B247" s="4">
        <v>188.4</v>
      </c>
      <c r="C247" s="4">
        <f t="shared" si="152"/>
        <v>0</v>
      </c>
    </row>
    <row r="248" spans="1:3" s="4" customFormat="1" x14ac:dyDescent="0.3">
      <c r="A248" s="3">
        <v>43021</v>
      </c>
      <c r="B248" s="4">
        <v>188.4</v>
      </c>
      <c r="C248" s="4">
        <f t="shared" si="152"/>
        <v>3.0448263512374892E-2</v>
      </c>
    </row>
    <row r="249" spans="1:3" s="4" customFormat="1" x14ac:dyDescent="0.3">
      <c r="A249" s="3">
        <v>43022</v>
      </c>
      <c r="B249" s="4">
        <v>182.75</v>
      </c>
      <c r="C249" s="4">
        <f t="shared" si="152"/>
        <v>8.7936812888016868E-3</v>
      </c>
    </row>
    <row r="250" spans="1:3" s="4" customFormat="1" x14ac:dyDescent="0.3">
      <c r="A250" s="3">
        <v>43023</v>
      </c>
      <c r="B250" s="4">
        <v>181.15</v>
      </c>
      <c r="C250" s="4">
        <f t="shared" si="152"/>
        <v>0.11142048775352982</v>
      </c>
    </row>
    <row r="251" spans="1:3" s="4" customFormat="1" x14ac:dyDescent="0.3">
      <c r="A251" s="3">
        <v>43024</v>
      </c>
      <c r="B251" s="4">
        <v>162.05000000000001</v>
      </c>
      <c r="C251" s="4">
        <f t="shared" si="152"/>
        <v>2.0574291814755504E-2</v>
      </c>
    </row>
    <row r="252" spans="1:3" s="4" customFormat="1" x14ac:dyDescent="0.3">
      <c r="A252" s="3">
        <v>43025</v>
      </c>
      <c r="B252" s="4">
        <v>158.75</v>
      </c>
      <c r="C252" s="4">
        <f t="shared" si="152"/>
        <v>1.8115861709070123E-2</v>
      </c>
    </row>
    <row r="253" spans="1:3" s="4" customFormat="1" x14ac:dyDescent="0.3">
      <c r="A253" s="3">
        <v>43026</v>
      </c>
      <c r="B253" s="4">
        <v>155.9</v>
      </c>
      <c r="C253" s="4">
        <f t="shared" si="152"/>
        <v>2.6650911102201205E-2</v>
      </c>
    </row>
    <row r="254" spans="1:3" s="4" customFormat="1" x14ac:dyDescent="0.3">
      <c r="A254" s="3">
        <v>43027</v>
      </c>
      <c r="B254" s="4">
        <v>151.80000000000001</v>
      </c>
      <c r="C254" s="4">
        <f t="shared" si="152"/>
        <v>-2.9213372465901395E-2</v>
      </c>
    </row>
    <row r="255" spans="1:3" s="4" customFormat="1" x14ac:dyDescent="0.3">
      <c r="A255" s="3">
        <v>43028</v>
      </c>
      <c r="B255" s="4">
        <v>156.30000000000001</v>
      </c>
      <c r="C255" s="4">
        <f t="shared" si="152"/>
        <v>-1.3977355889904269E-2</v>
      </c>
    </row>
    <row r="256" spans="1:3" s="4" customFormat="1" x14ac:dyDescent="0.3">
      <c r="A256" s="3">
        <v>43029</v>
      </c>
      <c r="B256" s="4">
        <v>158.5</v>
      </c>
      <c r="C256" s="4">
        <f t="shared" si="152"/>
        <v>-3.9887804357255023E-2</v>
      </c>
    </row>
    <row r="257" spans="1:3" s="4" customFormat="1" x14ac:dyDescent="0.3">
      <c r="A257" s="3">
        <v>43030</v>
      </c>
      <c r="B257" s="4">
        <v>164.95</v>
      </c>
      <c r="C257" s="4">
        <f t="shared" si="152"/>
        <v>1.5167604909958048E-3</v>
      </c>
    </row>
    <row r="258" spans="1:3" s="4" customFormat="1" x14ac:dyDescent="0.3">
      <c r="A258" s="3">
        <v>43031</v>
      </c>
      <c r="B258" s="4">
        <v>164.7</v>
      </c>
      <c r="C258" s="4">
        <f t="shared" si="152"/>
        <v>3.020260385142029E-2</v>
      </c>
    </row>
    <row r="259" spans="1:3" s="4" customFormat="1" x14ac:dyDescent="0.3">
      <c r="A259" s="3">
        <v>43032</v>
      </c>
      <c r="B259" s="4">
        <v>159.80000000000001</v>
      </c>
      <c r="C259" s="4">
        <f t="shared" ref="C259:C322" si="153">LN(B259/B260)</f>
        <v>5.3333459753628232E-3</v>
      </c>
    </row>
    <row r="260" spans="1:3" s="4" customFormat="1" x14ac:dyDescent="0.3">
      <c r="A260" s="3">
        <v>43033</v>
      </c>
      <c r="B260" s="4">
        <v>158.94999999999999</v>
      </c>
      <c r="C260" s="4">
        <f t="shared" si="153"/>
        <v>1.6172859245600968E-2</v>
      </c>
    </row>
    <row r="261" spans="1:3" s="4" customFormat="1" x14ac:dyDescent="0.3">
      <c r="A261" s="3">
        <v>43034</v>
      </c>
      <c r="B261" s="4">
        <v>156.4</v>
      </c>
      <c r="C261" s="4">
        <f t="shared" si="153"/>
        <v>-7.0653895314833126E-2</v>
      </c>
    </row>
    <row r="262" spans="1:3" s="4" customFormat="1" x14ac:dyDescent="0.3">
      <c r="A262" s="3">
        <v>43035</v>
      </c>
      <c r="B262" s="4">
        <v>167.85</v>
      </c>
      <c r="C262" s="4">
        <f t="shared" si="153"/>
        <v>8.0936762270417129E-2</v>
      </c>
    </row>
    <row r="263" spans="1:3" s="4" customFormat="1" x14ac:dyDescent="0.3">
      <c r="A263" s="3">
        <v>43036</v>
      </c>
      <c r="B263" s="4">
        <v>154.80000000000001</v>
      </c>
      <c r="C263" s="4">
        <f t="shared" si="153"/>
        <v>3.5592983701295418E-3</v>
      </c>
    </row>
    <row r="264" spans="1:3" s="4" customFormat="1" x14ac:dyDescent="0.3">
      <c r="A264" s="3">
        <v>43037</v>
      </c>
      <c r="B264" s="4">
        <v>154.25</v>
      </c>
      <c r="C264" s="4">
        <f t="shared" si="153"/>
        <v>-3.032953943473438E-2</v>
      </c>
    </row>
    <row r="265" spans="1:3" s="4" customFormat="1" x14ac:dyDescent="0.3">
      <c r="A265" s="3">
        <v>43038</v>
      </c>
      <c r="B265" s="4">
        <v>159</v>
      </c>
      <c r="C265" s="4">
        <f t="shared" si="153"/>
        <v>-4.9388966582534069E-2</v>
      </c>
    </row>
    <row r="266" spans="1:3" s="4" customFormat="1" x14ac:dyDescent="0.3">
      <c r="A266" s="3">
        <v>43039</v>
      </c>
      <c r="B266" s="4">
        <v>167.05</v>
      </c>
      <c r="C266" s="4">
        <f t="shared" si="153"/>
        <v>-3.0073020981767187E-2</v>
      </c>
    </row>
    <row r="267" spans="1:3" s="4" customFormat="1" x14ac:dyDescent="0.3">
      <c r="A267" s="3">
        <v>43040</v>
      </c>
      <c r="B267" s="4">
        <v>172.15</v>
      </c>
      <c r="C267" s="4">
        <f t="shared" si="153"/>
        <v>2.3212442245685114E-2</v>
      </c>
    </row>
    <row r="268" spans="1:3" s="4" customFormat="1" x14ac:dyDescent="0.3">
      <c r="A268" s="3">
        <v>43041</v>
      </c>
      <c r="B268" s="4">
        <v>168.2</v>
      </c>
      <c r="C268" s="4">
        <f t="shared" si="153"/>
        <v>3.2324215816605162E-2</v>
      </c>
    </row>
    <row r="269" spans="1:3" s="4" customFormat="1" x14ac:dyDescent="0.3">
      <c r="A269" s="3">
        <v>43042</v>
      </c>
      <c r="B269" s="4">
        <v>162.85</v>
      </c>
      <c r="C269" s="4">
        <f t="shared" si="153"/>
        <v>-1.9459416100513161E-2</v>
      </c>
    </row>
    <row r="270" spans="1:3" s="4" customFormat="1" x14ac:dyDescent="0.3">
      <c r="A270" s="3">
        <v>43043</v>
      </c>
      <c r="B270" s="4">
        <v>166.05</v>
      </c>
      <c r="C270" s="4">
        <f t="shared" si="153"/>
        <v>-1.9973834395198415E-2</v>
      </c>
    </row>
    <row r="271" spans="1:3" s="4" customFormat="1" x14ac:dyDescent="0.3">
      <c r="A271" s="3">
        <v>43044</v>
      </c>
      <c r="B271" s="4">
        <v>169.4</v>
      </c>
      <c r="C271" s="4">
        <f t="shared" si="153"/>
        <v>-1.9582680429825278E-2</v>
      </c>
    </row>
    <row r="272" spans="1:3" s="4" customFormat="1" x14ac:dyDescent="0.3">
      <c r="A272" s="3">
        <v>43045</v>
      </c>
      <c r="B272" s="4">
        <v>172.75</v>
      </c>
      <c r="C272" s="4">
        <f t="shared" si="153"/>
        <v>-4.0555678308708223E-2</v>
      </c>
    </row>
    <row r="273" spans="1:3" s="4" customFormat="1" x14ac:dyDescent="0.3">
      <c r="A273" s="3">
        <v>43046</v>
      </c>
      <c r="B273" s="4">
        <v>179.9</v>
      </c>
      <c r="C273" s="4">
        <f t="shared" si="153"/>
        <v>-2.9305123219708809E-2</v>
      </c>
    </row>
    <row r="274" spans="1:3" s="4" customFormat="1" x14ac:dyDescent="0.3">
      <c r="A274" s="3">
        <v>43047</v>
      </c>
      <c r="B274" s="4">
        <v>185.25</v>
      </c>
      <c r="C274" s="4">
        <f t="shared" si="153"/>
        <v>4.5989530537027343E-3</v>
      </c>
    </row>
    <row r="275" spans="1:3" s="4" customFormat="1" x14ac:dyDescent="0.3">
      <c r="A275" s="3">
        <v>43048</v>
      </c>
      <c r="B275" s="4">
        <v>184.4</v>
      </c>
      <c r="C275" s="4">
        <f t="shared" si="153"/>
        <v>7.8944196572776678E-3</v>
      </c>
    </row>
    <row r="276" spans="1:3" s="4" customFormat="1" x14ac:dyDescent="0.3">
      <c r="A276" s="3">
        <v>43049</v>
      </c>
      <c r="B276" s="4">
        <v>182.95</v>
      </c>
      <c r="C276" s="4">
        <f t="shared" si="153"/>
        <v>0</v>
      </c>
    </row>
    <row r="277" spans="1:3" s="4" customFormat="1" x14ac:dyDescent="0.3">
      <c r="A277" s="3">
        <v>43050</v>
      </c>
      <c r="B277" s="4">
        <v>182.95</v>
      </c>
      <c r="C277" s="4">
        <f t="shared" si="153"/>
        <v>-8.9784306035359963E-3</v>
      </c>
    </row>
    <row r="278" spans="1:3" s="4" customFormat="1" x14ac:dyDescent="0.3">
      <c r="A278" s="3">
        <v>43051</v>
      </c>
      <c r="B278" s="4">
        <v>184.6</v>
      </c>
      <c r="C278" s="4">
        <f t="shared" si="153"/>
        <v>4.9982640867735399E-2</v>
      </c>
    </row>
    <row r="279" spans="1:3" s="4" customFormat="1" x14ac:dyDescent="0.3">
      <c r="A279" s="3">
        <v>43052</v>
      </c>
      <c r="B279" s="4">
        <v>175.6</v>
      </c>
      <c r="C279" s="4">
        <f t="shared" si="153"/>
        <v>1.1166902010933229E-2</v>
      </c>
    </row>
    <row r="280" spans="1:3" s="4" customFormat="1" x14ac:dyDescent="0.3">
      <c r="A280" s="3">
        <v>43053</v>
      </c>
      <c r="B280" s="4">
        <v>173.65</v>
      </c>
      <c r="C280" s="4">
        <f t="shared" si="153"/>
        <v>-5.2171112275132651E-2</v>
      </c>
    </row>
    <row r="281" spans="1:3" s="4" customFormat="1" x14ac:dyDescent="0.3">
      <c r="A281" s="3">
        <v>43054</v>
      </c>
      <c r="B281" s="4">
        <v>182.95</v>
      </c>
      <c r="C281" s="4">
        <f t="shared" si="153"/>
        <v>1.0715860199389983E-2</v>
      </c>
    </row>
    <row r="282" spans="1:3" s="4" customFormat="1" x14ac:dyDescent="0.3">
      <c r="A282" s="3">
        <v>43055</v>
      </c>
      <c r="B282" s="4">
        <v>181</v>
      </c>
      <c r="C282" s="4">
        <f t="shared" si="153"/>
        <v>-1.8067833409951911E-2</v>
      </c>
    </row>
    <row r="283" spans="1:3" s="4" customFormat="1" x14ac:dyDescent="0.3">
      <c r="A283" s="3">
        <v>43056</v>
      </c>
      <c r="B283" s="4">
        <v>184.3</v>
      </c>
      <c r="C283" s="4">
        <f t="shared" si="153"/>
        <v>-6.1804864062563088E-2</v>
      </c>
    </row>
    <row r="284" spans="1:3" s="4" customFormat="1" x14ac:dyDescent="0.3">
      <c r="A284" s="3">
        <v>43057</v>
      </c>
      <c r="B284" s="4">
        <v>196.05</v>
      </c>
      <c r="C284" s="4">
        <f t="shared" si="153"/>
        <v>-2.4437543082548092E-2</v>
      </c>
    </row>
    <row r="285" spans="1:3" s="4" customFormat="1" x14ac:dyDescent="0.3">
      <c r="A285" s="3">
        <v>43058</v>
      </c>
      <c r="B285" s="4">
        <v>200.9</v>
      </c>
      <c r="C285" s="4">
        <f t="shared" si="153"/>
        <v>7.4944142931506648E-3</v>
      </c>
    </row>
    <row r="286" spans="1:3" s="4" customFormat="1" x14ac:dyDescent="0.3">
      <c r="A286" s="3">
        <v>43059</v>
      </c>
      <c r="B286" s="4">
        <v>199.4</v>
      </c>
      <c r="C286" s="4">
        <f t="shared" si="153"/>
        <v>-2.427664429583842E-2</v>
      </c>
    </row>
    <row r="287" spans="1:3" s="4" customFormat="1" x14ac:dyDescent="0.3">
      <c r="A287" s="3">
        <v>43060</v>
      </c>
      <c r="B287" s="4">
        <v>204.3</v>
      </c>
      <c r="C287" s="4">
        <f t="shared" si="153"/>
        <v>-2.2505487070347881E-2</v>
      </c>
    </row>
    <row r="288" spans="1:3" s="4" customFormat="1" x14ac:dyDescent="0.3">
      <c r="A288" s="3">
        <v>43061</v>
      </c>
      <c r="B288" s="4">
        <v>208.95</v>
      </c>
      <c r="C288" s="4">
        <f t="shared" si="153"/>
        <v>-2.8673854771562026E-3</v>
      </c>
    </row>
    <row r="289" spans="1:3" s="4" customFormat="1" x14ac:dyDescent="0.3">
      <c r="A289" s="3">
        <v>43062</v>
      </c>
      <c r="B289" s="4">
        <v>209.55</v>
      </c>
      <c r="C289" s="4">
        <f t="shared" si="153"/>
        <v>-3.4243495910294686E-2</v>
      </c>
    </row>
    <row r="290" spans="1:3" s="4" customFormat="1" x14ac:dyDescent="0.3">
      <c r="A290" s="3">
        <v>43063</v>
      </c>
      <c r="B290" s="4">
        <v>216.85</v>
      </c>
      <c r="C290" s="4">
        <f t="shared" si="153"/>
        <v>-4.1417454512369433E-3</v>
      </c>
    </row>
    <row r="291" spans="1:3" s="4" customFormat="1" x14ac:dyDescent="0.3">
      <c r="A291" s="3">
        <v>43064</v>
      </c>
      <c r="B291" s="4">
        <v>217.75</v>
      </c>
      <c r="C291" s="4">
        <f t="shared" si="153"/>
        <v>-1.3456697530078525E-2</v>
      </c>
    </row>
    <row r="292" spans="1:3" s="4" customFormat="1" x14ac:dyDescent="0.3">
      <c r="A292" s="3">
        <v>43065</v>
      </c>
      <c r="B292" s="4">
        <v>220.7</v>
      </c>
      <c r="C292" s="4">
        <f t="shared" si="153"/>
        <v>-3.1663737750391156E-2</v>
      </c>
    </row>
    <row r="293" spans="1:3" s="4" customFormat="1" x14ac:dyDescent="0.3">
      <c r="A293" s="3">
        <v>43066</v>
      </c>
      <c r="B293" s="4">
        <v>227.8</v>
      </c>
      <c r="C293" s="4">
        <f t="shared" si="153"/>
        <v>1.4815085785140682E-2</v>
      </c>
    </row>
    <row r="294" spans="1:3" s="4" customFormat="1" x14ac:dyDescent="0.3">
      <c r="A294" s="3">
        <v>43067</v>
      </c>
      <c r="B294" s="4">
        <v>224.45</v>
      </c>
      <c r="C294" s="4">
        <f t="shared" si="153"/>
        <v>-5.9966864876206316E-3</v>
      </c>
    </row>
    <row r="295" spans="1:3" s="4" customFormat="1" x14ac:dyDescent="0.3">
      <c r="A295" s="3">
        <v>43068</v>
      </c>
      <c r="B295" s="4">
        <v>225.8</v>
      </c>
      <c r="C295" s="4">
        <f t="shared" si="153"/>
        <v>-1.0572785712413577E-2</v>
      </c>
    </row>
    <row r="296" spans="1:3" s="4" customFormat="1" x14ac:dyDescent="0.3">
      <c r="A296" s="3">
        <v>43069</v>
      </c>
      <c r="B296" s="4">
        <v>228.2</v>
      </c>
      <c r="C296" s="4">
        <f t="shared" si="153"/>
        <v>-3.0627895305458783E-3</v>
      </c>
    </row>
    <row r="297" spans="1:3" s="4" customFormat="1" x14ac:dyDescent="0.3">
      <c r="A297" s="3">
        <v>43070</v>
      </c>
      <c r="B297" s="4">
        <v>228.9</v>
      </c>
      <c r="C297" s="4">
        <f t="shared" si="153"/>
        <v>2.62467342277108E-3</v>
      </c>
    </row>
    <row r="298" spans="1:3" s="4" customFormat="1" x14ac:dyDescent="0.3">
      <c r="A298" s="3">
        <v>43071</v>
      </c>
      <c r="B298" s="4">
        <v>228.3</v>
      </c>
      <c r="C298" s="4">
        <f t="shared" si="153"/>
        <v>0</v>
      </c>
    </row>
    <row r="299" spans="1:3" s="4" customFormat="1" x14ac:dyDescent="0.3">
      <c r="A299" s="3">
        <v>43072</v>
      </c>
      <c r="B299" s="4">
        <v>228.3</v>
      </c>
      <c r="C299" s="4">
        <f t="shared" si="153"/>
        <v>-5.895857236052602E-3</v>
      </c>
    </row>
    <row r="300" spans="1:3" s="4" customFormat="1" x14ac:dyDescent="0.3">
      <c r="A300" s="3">
        <v>43073</v>
      </c>
      <c r="B300" s="4">
        <v>229.65</v>
      </c>
      <c r="C300" s="4">
        <f t="shared" si="153"/>
        <v>5.6768711407944985E-3</v>
      </c>
    </row>
    <row r="301" spans="1:3" s="4" customFormat="1" x14ac:dyDescent="0.3">
      <c r="A301" s="3">
        <v>43074</v>
      </c>
      <c r="B301" s="4">
        <v>228.35</v>
      </c>
      <c r="C301" s="4">
        <f t="shared" si="153"/>
        <v>-9.1543795355093268E-3</v>
      </c>
    </row>
    <row r="302" spans="1:3" s="4" customFormat="1" x14ac:dyDescent="0.3">
      <c r="A302" s="3">
        <v>43075</v>
      </c>
      <c r="B302" s="4">
        <v>230.45</v>
      </c>
      <c r="C302" s="4">
        <f t="shared" si="153"/>
        <v>1.7288974243428505E-2</v>
      </c>
    </row>
    <row r="303" spans="1:3" s="4" customFormat="1" x14ac:dyDescent="0.3">
      <c r="A303" s="3">
        <v>43076</v>
      </c>
      <c r="B303" s="4">
        <v>226.5</v>
      </c>
      <c r="C303" s="4">
        <f t="shared" si="153"/>
        <v>-1.9239771437360945E-2</v>
      </c>
    </row>
    <row r="304" spans="1:3" s="4" customFormat="1" x14ac:dyDescent="0.3">
      <c r="A304" s="3">
        <v>43077</v>
      </c>
      <c r="B304" s="4">
        <v>230.9</v>
      </c>
      <c r="C304" s="4">
        <f t="shared" si="153"/>
        <v>1.5713985501952205E-2</v>
      </c>
    </row>
    <row r="305" spans="1:3" s="4" customFormat="1" x14ac:dyDescent="0.3">
      <c r="A305" s="3">
        <v>43078</v>
      </c>
      <c r="B305" s="4">
        <v>227.3</v>
      </c>
      <c r="C305" s="4">
        <f t="shared" si="153"/>
        <v>3.9673845294696808E-3</v>
      </c>
    </row>
    <row r="306" spans="1:3" s="4" customFormat="1" x14ac:dyDescent="0.3">
      <c r="A306" s="3">
        <v>43079</v>
      </c>
      <c r="B306" s="4">
        <v>226.4</v>
      </c>
      <c r="C306" s="4">
        <f t="shared" si="153"/>
        <v>1.9896104717392039E-3</v>
      </c>
    </row>
    <row r="307" spans="1:3" s="4" customFormat="1" x14ac:dyDescent="0.3">
      <c r="A307" s="3">
        <v>43080</v>
      </c>
      <c r="B307" s="4">
        <v>225.95</v>
      </c>
      <c r="C307" s="4">
        <f t="shared" si="153"/>
        <v>-5.9569950012089354E-3</v>
      </c>
    </row>
    <row r="308" spans="1:3" s="4" customFormat="1" x14ac:dyDescent="0.3">
      <c r="A308" s="3">
        <v>43081</v>
      </c>
      <c r="B308" s="4">
        <v>227.3</v>
      </c>
      <c r="C308" s="4">
        <f t="shared" si="153"/>
        <v>-2.025110033925508E-2</v>
      </c>
    </row>
    <row r="309" spans="1:3" s="4" customFormat="1" x14ac:dyDescent="0.3">
      <c r="A309" s="3">
        <v>43082</v>
      </c>
      <c r="B309" s="4">
        <v>231.95</v>
      </c>
      <c r="C309" s="4">
        <f t="shared" si="153"/>
        <v>-1.0507226505104928E-2</v>
      </c>
    </row>
    <row r="310" spans="1:3" s="4" customFormat="1" x14ac:dyDescent="0.3">
      <c r="A310" s="3">
        <v>43083</v>
      </c>
      <c r="B310" s="4">
        <v>234.4</v>
      </c>
      <c r="C310" s="4">
        <f t="shared" si="153"/>
        <v>-6.5908604695388492E-3</v>
      </c>
    </row>
    <row r="311" spans="1:3" s="4" customFormat="1" x14ac:dyDescent="0.3">
      <c r="A311" s="3">
        <v>43084</v>
      </c>
      <c r="B311" s="4">
        <v>235.95</v>
      </c>
      <c r="C311" s="4">
        <f t="shared" si="153"/>
        <v>-1.1378125279509091E-2</v>
      </c>
    </row>
    <row r="312" spans="1:3" s="4" customFormat="1" x14ac:dyDescent="0.3">
      <c r="A312" s="3">
        <v>43085</v>
      </c>
      <c r="B312" s="4">
        <v>238.65</v>
      </c>
      <c r="C312" s="4">
        <f t="shared" si="153"/>
        <v>-1.0213741735219758E-2</v>
      </c>
    </row>
    <row r="313" spans="1:3" s="4" customFormat="1" x14ac:dyDescent="0.3">
      <c r="A313" s="3">
        <v>43086</v>
      </c>
      <c r="B313" s="4">
        <v>241.1</v>
      </c>
      <c r="C313" s="4">
        <f t="shared" si="153"/>
        <v>0</v>
      </c>
    </row>
    <row r="314" spans="1:3" s="4" customFormat="1" x14ac:dyDescent="0.3">
      <c r="A314" s="3">
        <v>43087</v>
      </c>
      <c r="B314" s="4">
        <v>241.1</v>
      </c>
      <c r="C314" s="4">
        <f t="shared" si="153"/>
        <v>-1.4412438065946626E-2</v>
      </c>
    </row>
    <row r="315" spans="1:3" s="4" customFormat="1" x14ac:dyDescent="0.3">
      <c r="A315" s="3">
        <v>43088</v>
      </c>
      <c r="B315" s="4">
        <v>244.6</v>
      </c>
      <c r="C315" s="4">
        <f t="shared" si="153"/>
        <v>-2.2636374779738719E-2</v>
      </c>
    </row>
    <row r="316" spans="1:3" s="4" customFormat="1" x14ac:dyDescent="0.3">
      <c r="A316" s="3">
        <v>43089</v>
      </c>
      <c r="B316" s="4">
        <v>250.2</v>
      </c>
      <c r="C316" s="4">
        <f t="shared" si="153"/>
        <v>6.214312872063101E-3</v>
      </c>
    </row>
    <row r="317" spans="1:3" s="4" customFormat="1" x14ac:dyDescent="0.3">
      <c r="A317" s="3">
        <v>43090</v>
      </c>
      <c r="B317" s="4">
        <v>248.65</v>
      </c>
      <c r="C317" s="4">
        <f t="shared" si="153"/>
        <v>-4.2139121249799459E-3</v>
      </c>
    </row>
    <row r="318" spans="1:3" s="4" customFormat="1" x14ac:dyDescent="0.3">
      <c r="A318" s="3">
        <v>43091</v>
      </c>
      <c r="B318" s="4">
        <v>249.7</v>
      </c>
      <c r="C318" s="4">
        <f t="shared" si="153"/>
        <v>2.9258486908189503E-2</v>
      </c>
    </row>
    <row r="319" spans="1:3" s="4" customFormat="1" x14ac:dyDescent="0.3">
      <c r="A319" s="3">
        <v>43092</v>
      </c>
      <c r="B319" s="4">
        <v>242.5</v>
      </c>
      <c r="C319" s="4">
        <f t="shared" si="153"/>
        <v>4.546401714106663E-3</v>
      </c>
    </row>
    <row r="320" spans="1:3" s="4" customFormat="1" x14ac:dyDescent="0.3">
      <c r="A320" s="3">
        <v>43093</v>
      </c>
      <c r="B320" s="4">
        <v>241.4</v>
      </c>
      <c r="C320" s="4">
        <f t="shared" si="153"/>
        <v>0</v>
      </c>
    </row>
    <row r="321" spans="1:3" s="4" customFormat="1" x14ac:dyDescent="0.3">
      <c r="A321" s="3">
        <v>43094</v>
      </c>
      <c r="B321" s="4">
        <v>241.4</v>
      </c>
      <c r="C321" s="4">
        <f t="shared" si="153"/>
        <v>-5.3708040691244812E-3</v>
      </c>
    </row>
    <row r="322" spans="1:3" s="4" customFormat="1" x14ac:dyDescent="0.3">
      <c r="A322" s="3">
        <v>43095</v>
      </c>
      <c r="B322" s="4">
        <v>242.7</v>
      </c>
      <c r="C322" s="4">
        <f t="shared" si="153"/>
        <v>-1.0295481193562878E-3</v>
      </c>
    </row>
    <row r="323" spans="1:3" s="4" customFormat="1" x14ac:dyDescent="0.3">
      <c r="A323" s="3">
        <v>43096</v>
      </c>
      <c r="B323" s="4">
        <v>242.95</v>
      </c>
      <c r="C323" s="4">
        <f t="shared" ref="C323:C386" si="154">LN(B323/B324)</f>
        <v>-3.9026443699626589E-3</v>
      </c>
    </row>
    <row r="324" spans="1:3" s="4" customFormat="1" x14ac:dyDescent="0.3">
      <c r="A324" s="3">
        <v>43097</v>
      </c>
      <c r="B324" s="4">
        <v>243.9</v>
      </c>
      <c r="C324" s="4">
        <f t="shared" si="154"/>
        <v>1.1961371731219561E-2</v>
      </c>
    </row>
    <row r="325" spans="1:3" s="4" customFormat="1" x14ac:dyDescent="0.3">
      <c r="A325" s="3">
        <v>43098</v>
      </c>
      <c r="B325" s="4">
        <v>241</v>
      </c>
      <c r="C325" s="4">
        <f t="shared" si="154"/>
        <v>-2.8026790975927845E-2</v>
      </c>
    </row>
    <row r="326" spans="1:3" s="4" customFormat="1" x14ac:dyDescent="0.3">
      <c r="A326" s="3">
        <v>43099</v>
      </c>
      <c r="B326" s="4">
        <v>247.85</v>
      </c>
      <c r="C326" s="4">
        <f t="shared" si="154"/>
        <v>-1.8139680475381299E-3</v>
      </c>
    </row>
    <row r="327" spans="1:3" s="4" customFormat="1" x14ac:dyDescent="0.3">
      <c r="A327" s="3">
        <v>43100</v>
      </c>
      <c r="B327" s="4">
        <v>248.3</v>
      </c>
      <c r="C327" s="4">
        <f t="shared" si="154"/>
        <v>3.2957644663719032E-2</v>
      </c>
    </row>
    <row r="328" spans="1:3" s="4" customFormat="1" x14ac:dyDescent="0.3">
      <c r="A328" s="3">
        <v>43101</v>
      </c>
      <c r="B328" s="4">
        <v>240.25</v>
      </c>
      <c r="C328" s="4">
        <f t="shared" si="154"/>
        <v>-1.1998488999392922E-2</v>
      </c>
    </row>
    <row r="329" spans="1:3" s="4" customFormat="1" x14ac:dyDescent="0.3">
      <c r="A329" s="3">
        <v>43102</v>
      </c>
      <c r="B329" s="4">
        <v>243.15</v>
      </c>
      <c r="C329" s="4">
        <f t="shared" si="154"/>
        <v>0</v>
      </c>
    </row>
    <row r="330" spans="1:3" s="4" customFormat="1" x14ac:dyDescent="0.3">
      <c r="A330" s="3">
        <v>43103</v>
      </c>
      <c r="B330" s="4">
        <v>243.15</v>
      </c>
      <c r="C330" s="4">
        <f t="shared" si="154"/>
        <v>8.0520719967645659E-3</v>
      </c>
    </row>
    <row r="331" spans="1:3" s="4" customFormat="1" x14ac:dyDescent="0.3">
      <c r="A331" s="3">
        <v>43104</v>
      </c>
      <c r="B331" s="4">
        <v>241.2</v>
      </c>
      <c r="C331" s="4">
        <f t="shared" si="154"/>
        <v>-2.0111492543979776E-2</v>
      </c>
    </row>
    <row r="332" spans="1:3" s="4" customFormat="1" x14ac:dyDescent="0.3">
      <c r="A332" s="3">
        <v>43105</v>
      </c>
      <c r="B332" s="4">
        <v>246.1</v>
      </c>
      <c r="C332" s="4">
        <f t="shared" si="154"/>
        <v>1.2676514056461809E-2</v>
      </c>
    </row>
    <row r="333" spans="1:3" s="4" customFormat="1" x14ac:dyDescent="0.3">
      <c r="A333" s="3">
        <v>43106</v>
      </c>
      <c r="B333" s="4">
        <v>243</v>
      </c>
      <c r="C333" s="4">
        <f t="shared" si="154"/>
        <v>3.8167769750415109E-2</v>
      </c>
    </row>
    <row r="334" spans="1:3" s="4" customFormat="1" x14ac:dyDescent="0.3">
      <c r="A334" s="3">
        <v>43107</v>
      </c>
      <c r="B334" s="4">
        <v>233.9</v>
      </c>
      <c r="C334" s="4">
        <f t="shared" si="154"/>
        <v>-2.1569878341377274E-2</v>
      </c>
    </row>
    <row r="335" spans="1:3" s="4" customFormat="1" x14ac:dyDescent="0.3">
      <c r="A335" s="3">
        <v>43108</v>
      </c>
      <c r="B335" s="4">
        <v>239</v>
      </c>
      <c r="C335" s="4">
        <f t="shared" si="154"/>
        <v>1.2843633759114181E-2</v>
      </c>
    </row>
    <row r="336" spans="1:3" s="4" customFormat="1" x14ac:dyDescent="0.3">
      <c r="A336" s="3">
        <v>43109</v>
      </c>
      <c r="B336" s="4">
        <v>235.95</v>
      </c>
      <c r="C336" s="4">
        <f t="shared" si="154"/>
        <v>-4.0181929923433267E-3</v>
      </c>
    </row>
    <row r="337" spans="1:3" s="4" customFormat="1" x14ac:dyDescent="0.3">
      <c r="A337" s="3">
        <v>43110</v>
      </c>
      <c r="B337" s="4">
        <v>236.9</v>
      </c>
      <c r="C337" s="4">
        <f t="shared" si="154"/>
        <v>-6.3297818338754947E-4</v>
      </c>
    </row>
    <row r="338" spans="1:3" s="4" customFormat="1" x14ac:dyDescent="0.3">
      <c r="A338" s="3">
        <v>43111</v>
      </c>
      <c r="B338" s="4">
        <v>237.05</v>
      </c>
      <c r="C338" s="4">
        <f t="shared" si="154"/>
        <v>4.219409345301264E-4</v>
      </c>
    </row>
    <row r="339" spans="1:3" s="4" customFormat="1" x14ac:dyDescent="0.3">
      <c r="A339" s="3">
        <v>43112</v>
      </c>
      <c r="B339" s="4">
        <v>236.95</v>
      </c>
      <c r="C339" s="4">
        <f t="shared" si="154"/>
        <v>-2.1295167972106135E-2</v>
      </c>
    </row>
    <row r="340" spans="1:3" s="4" customFormat="1" x14ac:dyDescent="0.3">
      <c r="A340" s="3">
        <v>43113</v>
      </c>
      <c r="B340" s="4">
        <v>242.05</v>
      </c>
      <c r="C340" s="4">
        <f t="shared" si="154"/>
        <v>-2.7505044479321034E-2</v>
      </c>
    </row>
    <row r="341" spans="1:3" s="4" customFormat="1" x14ac:dyDescent="0.3">
      <c r="A341" s="3">
        <v>43114</v>
      </c>
      <c r="B341" s="4">
        <v>248.8</v>
      </c>
      <c r="C341" s="4">
        <f t="shared" si="154"/>
        <v>-9.7990985082610886E-3</v>
      </c>
    </row>
    <row r="342" spans="1:3" s="4" customFormat="1" x14ac:dyDescent="0.3">
      <c r="A342" s="3">
        <v>43115</v>
      </c>
      <c r="B342" s="4">
        <v>251.25</v>
      </c>
      <c r="C342" s="4">
        <f t="shared" si="154"/>
        <v>-8.5208085137531853E-3</v>
      </c>
    </row>
    <row r="343" spans="1:3" s="4" customFormat="1" x14ac:dyDescent="0.3">
      <c r="A343" s="3">
        <v>43116</v>
      </c>
      <c r="B343" s="4">
        <v>253.4</v>
      </c>
      <c r="C343" s="4">
        <f t="shared" si="154"/>
        <v>1.4308670195561302E-2</v>
      </c>
    </row>
    <row r="344" spans="1:3" s="4" customFormat="1" x14ac:dyDescent="0.3">
      <c r="A344" s="3">
        <v>43117</v>
      </c>
      <c r="B344" s="4">
        <v>249.8</v>
      </c>
      <c r="C344" s="4">
        <f t="shared" si="154"/>
        <v>0</v>
      </c>
    </row>
    <row r="345" spans="1:3" s="4" customFormat="1" x14ac:dyDescent="0.3">
      <c r="A345" s="3">
        <v>43118</v>
      </c>
      <c r="B345" s="4">
        <v>249.8</v>
      </c>
      <c r="C345" s="4">
        <f t="shared" si="154"/>
        <v>-2.001453909457335E-2</v>
      </c>
    </row>
    <row r="346" spans="1:3" s="4" customFormat="1" x14ac:dyDescent="0.3">
      <c r="A346" s="3">
        <v>43119</v>
      </c>
      <c r="B346" s="4">
        <v>254.85</v>
      </c>
      <c r="C346" s="4">
        <f t="shared" si="154"/>
        <v>1.3743007954732048E-3</v>
      </c>
    </row>
    <row r="347" spans="1:3" s="4" customFormat="1" x14ac:dyDescent="0.3">
      <c r="A347" s="3">
        <v>43120</v>
      </c>
      <c r="B347" s="4">
        <v>254.5</v>
      </c>
      <c r="C347" s="4">
        <f t="shared" si="154"/>
        <v>-8.9967358252286897E-3</v>
      </c>
    </row>
    <row r="348" spans="1:3" s="4" customFormat="1" x14ac:dyDescent="0.3">
      <c r="A348" s="3">
        <v>43121</v>
      </c>
      <c r="B348" s="4">
        <v>256.8</v>
      </c>
      <c r="C348" s="4">
        <f t="shared" si="154"/>
        <v>3.1045498727614404E-2</v>
      </c>
    </row>
    <row r="349" spans="1:3" s="4" customFormat="1" x14ac:dyDescent="0.3">
      <c r="A349" s="3">
        <v>43122</v>
      </c>
      <c r="B349" s="4">
        <v>248.95</v>
      </c>
      <c r="C349" s="4">
        <f t="shared" si="154"/>
        <v>1.9059782165299577E-2</v>
      </c>
    </row>
    <row r="350" spans="1:3" s="4" customFormat="1" x14ac:dyDescent="0.3">
      <c r="A350" s="3">
        <v>43123</v>
      </c>
      <c r="B350" s="4">
        <v>244.25</v>
      </c>
      <c r="C350" s="4">
        <f t="shared" si="154"/>
        <v>1.8440738757209249E-3</v>
      </c>
    </row>
    <row r="351" spans="1:3" s="4" customFormat="1" x14ac:dyDescent="0.3">
      <c r="A351" s="3">
        <v>43124</v>
      </c>
      <c r="B351" s="4">
        <v>243.8</v>
      </c>
      <c r="C351" s="4">
        <f t="shared" si="154"/>
        <v>-3.0715699381950157E-3</v>
      </c>
    </row>
    <row r="352" spans="1:3" s="4" customFormat="1" x14ac:dyDescent="0.3">
      <c r="A352" s="3">
        <v>43125</v>
      </c>
      <c r="B352" s="4">
        <v>244.55</v>
      </c>
      <c r="C352" s="4">
        <f t="shared" si="154"/>
        <v>4.5082043566564639E-3</v>
      </c>
    </row>
    <row r="353" spans="1:3" s="4" customFormat="1" x14ac:dyDescent="0.3">
      <c r="A353" s="3">
        <v>43126</v>
      </c>
      <c r="B353" s="4">
        <v>243.45</v>
      </c>
      <c r="C353" s="4">
        <f t="shared" si="154"/>
        <v>6.1633283923290738E-4</v>
      </c>
    </row>
    <row r="354" spans="1:3" s="4" customFormat="1" x14ac:dyDescent="0.3">
      <c r="A354" s="3">
        <v>43127</v>
      </c>
      <c r="B354" s="4">
        <v>243.3</v>
      </c>
      <c r="C354" s="4">
        <f t="shared" si="154"/>
        <v>-1.0270104630747874E-3</v>
      </c>
    </row>
    <row r="355" spans="1:3" s="4" customFormat="1" x14ac:dyDescent="0.3">
      <c r="A355" s="3">
        <v>43128</v>
      </c>
      <c r="B355" s="4">
        <v>243.55</v>
      </c>
      <c r="C355" s="4">
        <f t="shared" si="154"/>
        <v>1.4266757025344171E-2</v>
      </c>
    </row>
    <row r="356" spans="1:3" s="4" customFormat="1" x14ac:dyDescent="0.3">
      <c r="A356" s="3">
        <v>43129</v>
      </c>
      <c r="B356" s="4">
        <v>240.1</v>
      </c>
      <c r="C356" s="4">
        <f t="shared" si="154"/>
        <v>4.1657988521629787E-4</v>
      </c>
    </row>
    <row r="357" spans="1:3" s="4" customFormat="1" x14ac:dyDescent="0.3">
      <c r="A357" s="3">
        <v>43130</v>
      </c>
      <c r="B357" s="4">
        <v>240</v>
      </c>
      <c r="C357" s="4">
        <f t="shared" si="154"/>
        <v>2.0415314950934363E-2</v>
      </c>
    </row>
    <row r="358" spans="1:3" s="4" customFormat="1" x14ac:dyDescent="0.3">
      <c r="A358" s="3">
        <v>43131</v>
      </c>
      <c r="B358" s="4">
        <v>235.15</v>
      </c>
      <c r="C358" s="4">
        <f t="shared" si="154"/>
        <v>0</v>
      </c>
    </row>
    <row r="359" spans="1:3" s="4" customFormat="1" x14ac:dyDescent="0.3">
      <c r="A359" s="3">
        <v>43132</v>
      </c>
      <c r="B359" s="4">
        <v>235.15</v>
      </c>
      <c r="C359" s="4">
        <f t="shared" si="154"/>
        <v>-8.4692439325337564E-3</v>
      </c>
    </row>
    <row r="360" spans="1:3" s="4" customFormat="1" x14ac:dyDescent="0.3">
      <c r="A360" s="3">
        <v>43133</v>
      </c>
      <c r="B360" s="4">
        <v>237.15</v>
      </c>
      <c r="C360" s="4">
        <f t="shared" si="154"/>
        <v>-1.9831565292390822E-2</v>
      </c>
    </row>
    <row r="361" spans="1:3" s="4" customFormat="1" x14ac:dyDescent="0.3">
      <c r="A361" s="3">
        <v>43134</v>
      </c>
      <c r="B361" s="4">
        <v>241.9</v>
      </c>
      <c r="C361" s="4">
        <f t="shared" si="154"/>
        <v>1.0179790827363224E-2</v>
      </c>
    </row>
    <row r="362" spans="1:3" s="4" customFormat="1" x14ac:dyDescent="0.3">
      <c r="A362" s="3">
        <v>43135</v>
      </c>
      <c r="B362" s="4">
        <v>239.45</v>
      </c>
      <c r="C362" s="4">
        <f t="shared" si="154"/>
        <v>1.6718917165058054E-3</v>
      </c>
    </row>
    <row r="363" spans="1:3" s="4" customFormat="1" x14ac:dyDescent="0.3">
      <c r="A363" s="3">
        <v>43136</v>
      </c>
      <c r="B363" s="4">
        <v>239.05</v>
      </c>
      <c r="C363" s="4">
        <f t="shared" si="154"/>
        <v>0</v>
      </c>
    </row>
    <row r="364" spans="1:3" s="4" customFormat="1" x14ac:dyDescent="0.3">
      <c r="A364" s="3">
        <v>43137</v>
      </c>
      <c r="B364" s="4">
        <v>239.05</v>
      </c>
      <c r="C364" s="4">
        <f t="shared" si="154"/>
        <v>-3.3409928759605126E-3</v>
      </c>
    </row>
    <row r="365" spans="1:3" s="4" customFormat="1" x14ac:dyDescent="0.3">
      <c r="A365" s="3">
        <v>43138</v>
      </c>
      <c r="B365" s="4">
        <v>239.85</v>
      </c>
      <c r="C365" s="4">
        <f t="shared" si="154"/>
        <v>7.9531603809535438E-3</v>
      </c>
    </row>
    <row r="366" spans="1:3" s="4" customFormat="1" x14ac:dyDescent="0.3">
      <c r="A366" s="3">
        <v>43139</v>
      </c>
      <c r="B366" s="4">
        <v>237.95</v>
      </c>
      <c r="C366" s="4">
        <f t="shared" si="154"/>
        <v>-3.0217530878353063E-2</v>
      </c>
    </row>
    <row r="367" spans="1:3" s="4" customFormat="1" x14ac:dyDescent="0.3">
      <c r="A367" s="3">
        <v>43140</v>
      </c>
      <c r="B367" s="4">
        <v>245.25</v>
      </c>
      <c r="C367" s="4">
        <f t="shared" si="154"/>
        <v>1.3340372288786104E-2</v>
      </c>
    </row>
    <row r="368" spans="1:3" s="4" customFormat="1" x14ac:dyDescent="0.3">
      <c r="A368" s="3">
        <v>43141</v>
      </c>
      <c r="B368" s="4">
        <v>242</v>
      </c>
      <c r="C368" s="4">
        <f t="shared" si="154"/>
        <v>2.172182314683575E-2</v>
      </c>
    </row>
    <row r="369" spans="1:3" s="4" customFormat="1" x14ac:dyDescent="0.3">
      <c r="A369" s="3">
        <v>43142</v>
      </c>
      <c r="B369" s="4">
        <v>236.8</v>
      </c>
      <c r="C369" s="4">
        <f t="shared" si="154"/>
        <v>0</v>
      </c>
    </row>
    <row r="370" spans="1:3" s="4" customFormat="1" x14ac:dyDescent="0.3">
      <c r="A370" s="3">
        <v>43143</v>
      </c>
      <c r="B370" s="4">
        <v>236.8</v>
      </c>
      <c r="C370" s="4">
        <f t="shared" si="154"/>
        <v>1.6606726119555267E-2</v>
      </c>
    </row>
    <row r="371" spans="1:3" s="4" customFormat="1" x14ac:dyDescent="0.3">
      <c r="A371" s="3">
        <v>43144</v>
      </c>
      <c r="B371" s="4">
        <v>232.9</v>
      </c>
      <c r="C371" s="4">
        <f t="shared" si="154"/>
        <v>-1.003960157519366E-2</v>
      </c>
    </row>
    <row r="372" spans="1:3" s="4" customFormat="1" x14ac:dyDescent="0.3">
      <c r="A372" s="3">
        <v>43145</v>
      </c>
      <c r="B372" s="4">
        <v>235.25</v>
      </c>
      <c r="C372" s="4">
        <f t="shared" si="154"/>
        <v>2.2134781424168859E-2</v>
      </c>
    </row>
    <row r="373" spans="1:3" s="4" customFormat="1" x14ac:dyDescent="0.3">
      <c r="A373" s="3">
        <v>43146</v>
      </c>
      <c r="B373" s="4">
        <v>230.1</v>
      </c>
      <c r="C373" s="4">
        <f t="shared" si="154"/>
        <v>1.1583563025307038E-2</v>
      </c>
    </row>
    <row r="374" spans="1:3" s="4" customFormat="1" x14ac:dyDescent="0.3">
      <c r="A374" s="3">
        <v>43147</v>
      </c>
      <c r="B374" s="4">
        <v>227.45</v>
      </c>
      <c r="C374" s="4">
        <f t="shared" si="154"/>
        <v>-1.8297177846644409E-2</v>
      </c>
    </row>
    <row r="375" spans="1:3" s="4" customFormat="1" x14ac:dyDescent="0.3">
      <c r="A375" s="3">
        <v>43148</v>
      </c>
      <c r="B375" s="4">
        <v>231.65</v>
      </c>
      <c r="C375" s="4">
        <f t="shared" si="154"/>
        <v>1.4348072231649437E-2</v>
      </c>
    </row>
    <row r="376" spans="1:3" s="4" customFormat="1" x14ac:dyDescent="0.3">
      <c r="A376" s="3">
        <v>43149</v>
      </c>
      <c r="B376" s="4">
        <v>228.35</v>
      </c>
      <c r="C376" s="4">
        <f t="shared" si="154"/>
        <v>3.226445176760738E-2</v>
      </c>
    </row>
    <row r="377" spans="1:3" s="4" customFormat="1" x14ac:dyDescent="0.3">
      <c r="A377" s="3">
        <v>43150</v>
      </c>
      <c r="B377" s="4">
        <v>221.1</v>
      </c>
      <c r="C377" s="4">
        <f t="shared" si="154"/>
        <v>-1.8151758884180084E-2</v>
      </c>
    </row>
    <row r="378" spans="1:3" s="4" customFormat="1" x14ac:dyDescent="0.3">
      <c r="A378" s="3">
        <v>43151</v>
      </c>
      <c r="B378" s="4">
        <v>225.15</v>
      </c>
      <c r="C378" s="4">
        <f t="shared" si="154"/>
        <v>-3.1047530946367169E-2</v>
      </c>
    </row>
    <row r="379" spans="1:3" s="4" customFormat="1" x14ac:dyDescent="0.3">
      <c r="A379" s="3">
        <v>43152</v>
      </c>
      <c r="B379" s="4">
        <v>232.25</v>
      </c>
      <c r="C379" s="4">
        <f t="shared" si="154"/>
        <v>7.3466190412332386E-3</v>
      </c>
    </row>
    <row r="380" spans="1:3" s="4" customFormat="1" x14ac:dyDescent="0.3">
      <c r="A380" s="3">
        <v>43153</v>
      </c>
      <c r="B380" s="4">
        <v>230.55</v>
      </c>
      <c r="C380" s="4">
        <f t="shared" si="154"/>
        <v>-3.641411581156441E-2</v>
      </c>
    </row>
    <row r="381" spans="1:3" s="4" customFormat="1" x14ac:dyDescent="0.3">
      <c r="A381" s="3">
        <v>43154</v>
      </c>
      <c r="B381" s="4">
        <v>239.1</v>
      </c>
      <c r="C381" s="4">
        <f t="shared" si="154"/>
        <v>-3.3922463209438543E-2</v>
      </c>
    </row>
    <row r="382" spans="1:3" s="4" customFormat="1" x14ac:dyDescent="0.3">
      <c r="A382" s="3">
        <v>43155</v>
      </c>
      <c r="B382" s="4">
        <v>247.35</v>
      </c>
      <c r="C382" s="4">
        <f t="shared" si="154"/>
        <v>-6.4477354144740614E-3</v>
      </c>
    </row>
    <row r="383" spans="1:3" s="4" customFormat="1" x14ac:dyDescent="0.3">
      <c r="A383" s="3">
        <v>43156</v>
      </c>
      <c r="B383" s="4">
        <v>248.95</v>
      </c>
      <c r="C383" s="4">
        <f t="shared" si="154"/>
        <v>-2.0064212188546549E-3</v>
      </c>
    </row>
    <row r="384" spans="1:3" s="4" customFormat="1" x14ac:dyDescent="0.3">
      <c r="A384" s="3">
        <v>43157</v>
      </c>
      <c r="B384" s="4">
        <v>249.45</v>
      </c>
      <c r="C384" s="4">
        <f t="shared" si="154"/>
        <v>1.5147214779912889E-2</v>
      </c>
    </row>
    <row r="385" spans="1:3" s="4" customFormat="1" x14ac:dyDescent="0.3">
      <c r="A385" s="3">
        <v>43158</v>
      </c>
      <c r="B385" s="4">
        <v>245.7</v>
      </c>
      <c r="C385" s="4">
        <f t="shared" si="154"/>
        <v>-3.0660652394785406E-2</v>
      </c>
    </row>
    <row r="386" spans="1:3" s="4" customFormat="1" x14ac:dyDescent="0.3">
      <c r="A386" s="3">
        <v>43159</v>
      </c>
      <c r="B386" s="4">
        <v>253.35</v>
      </c>
      <c r="C386" s="4">
        <f t="shared" si="154"/>
        <v>3.1882399645107758E-2</v>
      </c>
    </row>
    <row r="387" spans="1:3" s="4" customFormat="1" x14ac:dyDescent="0.3">
      <c r="A387" s="3">
        <v>43160</v>
      </c>
      <c r="B387" s="4">
        <v>245.4</v>
      </c>
      <c r="C387" s="4">
        <f t="shared" ref="C387:C450" si="155">LN(B387/B388)</f>
        <v>-8.6230034059250171E-2</v>
      </c>
    </row>
    <row r="388" spans="1:3" s="4" customFormat="1" x14ac:dyDescent="0.3">
      <c r="A388" s="3">
        <v>43161</v>
      </c>
      <c r="B388" s="4">
        <v>267.5</v>
      </c>
      <c r="C388" s="4">
        <f t="shared" si="155"/>
        <v>-1.133735775268309E-2</v>
      </c>
    </row>
    <row r="389" spans="1:3" s="4" customFormat="1" x14ac:dyDescent="0.3">
      <c r="A389" s="3">
        <v>43162</v>
      </c>
      <c r="B389" s="4">
        <v>270.55</v>
      </c>
      <c r="C389" s="4">
        <f t="shared" si="155"/>
        <v>-2.7164189601892805E-2</v>
      </c>
    </row>
    <row r="390" spans="1:3" s="4" customFormat="1" x14ac:dyDescent="0.3">
      <c r="A390" s="3">
        <v>43163</v>
      </c>
      <c r="B390" s="4">
        <v>278</v>
      </c>
      <c r="C390" s="4">
        <f t="shared" si="155"/>
        <v>-2.4166065847183723E-2</v>
      </c>
    </row>
    <row r="391" spans="1:3" s="4" customFormat="1" x14ac:dyDescent="0.3">
      <c r="A391" s="3">
        <v>43164</v>
      </c>
      <c r="B391" s="4">
        <v>284.8</v>
      </c>
      <c r="C391" s="4">
        <f t="shared" si="155"/>
        <v>1.7890832345786201E-2</v>
      </c>
    </row>
    <row r="392" spans="1:3" s="4" customFormat="1" x14ac:dyDescent="0.3">
      <c r="A392" s="3">
        <v>43165</v>
      </c>
      <c r="B392" s="4">
        <v>279.75</v>
      </c>
      <c r="C392" s="4">
        <f t="shared" si="155"/>
        <v>4.1045433243115166E-2</v>
      </c>
    </row>
    <row r="393" spans="1:3" s="4" customFormat="1" x14ac:dyDescent="0.3">
      <c r="A393" s="3">
        <v>43166</v>
      </c>
      <c r="B393" s="4">
        <v>268.5</v>
      </c>
      <c r="C393" s="4">
        <f t="shared" si="155"/>
        <v>3.4865221404300657E-2</v>
      </c>
    </row>
    <row r="394" spans="1:3" s="4" customFormat="1" x14ac:dyDescent="0.3">
      <c r="A394" s="3">
        <v>43167</v>
      </c>
      <c r="B394" s="4">
        <v>259.3</v>
      </c>
      <c r="C394" s="4">
        <f t="shared" si="155"/>
        <v>1.1441994314909099E-2</v>
      </c>
    </row>
    <row r="395" spans="1:3" s="4" customFormat="1" x14ac:dyDescent="0.3">
      <c r="A395" s="3">
        <v>43168</v>
      </c>
      <c r="B395" s="4">
        <v>256.35000000000002</v>
      </c>
      <c r="C395" s="4">
        <f t="shared" si="155"/>
        <v>-4.7423910419284794E-2</v>
      </c>
    </row>
    <row r="396" spans="1:3" s="4" customFormat="1" x14ac:dyDescent="0.3">
      <c r="A396" s="3">
        <v>43169</v>
      </c>
      <c r="B396" s="4">
        <v>268.8</v>
      </c>
      <c r="C396" s="4">
        <f t="shared" si="155"/>
        <v>-5.0595506347235364E-2</v>
      </c>
    </row>
    <row r="397" spans="1:3" s="4" customFormat="1" x14ac:dyDescent="0.3">
      <c r="A397" s="3">
        <v>43170</v>
      </c>
      <c r="B397" s="4">
        <v>282.75</v>
      </c>
      <c r="C397" s="4">
        <f t="shared" si="155"/>
        <v>5.1413995004186523E-3</v>
      </c>
    </row>
    <row r="398" spans="1:3" s="4" customFormat="1" x14ac:dyDescent="0.3">
      <c r="A398" s="3">
        <v>43171</v>
      </c>
      <c r="B398" s="4">
        <v>281.3</v>
      </c>
      <c r="C398" s="4">
        <f t="shared" si="155"/>
        <v>-2.7177968032673912E-2</v>
      </c>
    </row>
    <row r="399" spans="1:3" s="4" customFormat="1" x14ac:dyDescent="0.3">
      <c r="A399" s="3">
        <v>43172</v>
      </c>
      <c r="B399" s="4">
        <v>289.05</v>
      </c>
      <c r="C399" s="4">
        <f t="shared" si="155"/>
        <v>1.2707978485749212E-2</v>
      </c>
    </row>
    <row r="400" spans="1:3" s="4" customFormat="1" x14ac:dyDescent="0.3">
      <c r="A400" s="3">
        <v>43173</v>
      </c>
      <c r="B400" s="4">
        <v>285.39999999999998</v>
      </c>
      <c r="C400" s="4">
        <f t="shared" si="155"/>
        <v>-1.1149941297034643E-2</v>
      </c>
    </row>
    <row r="401" spans="1:3" s="4" customFormat="1" x14ac:dyDescent="0.3">
      <c r="A401" s="3">
        <v>43174</v>
      </c>
      <c r="B401" s="4">
        <v>288.60000000000002</v>
      </c>
      <c r="C401" s="4">
        <f t="shared" si="155"/>
        <v>2.6509056891686554E-2</v>
      </c>
    </row>
    <row r="402" spans="1:3" s="4" customFormat="1" x14ac:dyDescent="0.3">
      <c r="A402" s="3">
        <v>43175</v>
      </c>
      <c r="B402" s="4">
        <v>281.05</v>
      </c>
      <c r="C402" s="4">
        <f t="shared" si="155"/>
        <v>3.9925462409183834E-2</v>
      </c>
    </row>
    <row r="403" spans="1:3" s="4" customFormat="1" x14ac:dyDescent="0.3">
      <c r="A403" s="3">
        <v>43176</v>
      </c>
      <c r="B403" s="4">
        <v>270.05</v>
      </c>
      <c r="C403" s="4">
        <f t="shared" si="155"/>
        <v>5.0309555223093966E-2</v>
      </c>
    </row>
    <row r="404" spans="1:3" s="4" customFormat="1" x14ac:dyDescent="0.3">
      <c r="A404" s="3">
        <v>43177</v>
      </c>
      <c r="B404" s="4">
        <v>256.8</v>
      </c>
      <c r="C404" s="4">
        <f t="shared" si="155"/>
        <v>1.2539349252735392E-2</v>
      </c>
    </row>
    <row r="405" spans="1:3" s="4" customFormat="1" x14ac:dyDescent="0.3">
      <c r="A405" s="3">
        <v>43178</v>
      </c>
      <c r="B405" s="4">
        <v>253.6</v>
      </c>
      <c r="C405" s="4">
        <f t="shared" si="155"/>
        <v>-2.1841741915048753E-2</v>
      </c>
    </row>
    <row r="406" spans="1:3" s="4" customFormat="1" x14ac:dyDescent="0.3">
      <c r="A406" s="3">
        <v>43179</v>
      </c>
      <c r="B406" s="4">
        <v>259.2</v>
      </c>
      <c r="C406" s="4">
        <f t="shared" si="155"/>
        <v>2.8977128360713703E-3</v>
      </c>
    </row>
    <row r="407" spans="1:3" s="4" customFormat="1" x14ac:dyDescent="0.3">
      <c r="A407" s="3">
        <v>43180</v>
      </c>
      <c r="B407" s="4">
        <v>258.45</v>
      </c>
      <c r="C407" s="4">
        <f t="shared" si="155"/>
        <v>-1.8401899372036571E-2</v>
      </c>
    </row>
    <row r="408" spans="1:3" s="4" customFormat="1" x14ac:dyDescent="0.3">
      <c r="A408" s="3">
        <v>43181</v>
      </c>
      <c r="B408" s="4">
        <v>263.25</v>
      </c>
      <c r="C408" s="4">
        <f t="shared" si="155"/>
        <v>-2.5502976024815285E-2</v>
      </c>
    </row>
    <row r="409" spans="1:3" s="4" customFormat="1" x14ac:dyDescent="0.3">
      <c r="A409" s="3">
        <v>43182</v>
      </c>
      <c r="B409" s="4">
        <v>270.05</v>
      </c>
      <c r="C409" s="4">
        <f t="shared" si="155"/>
        <v>5.5700106874317411E-3</v>
      </c>
    </row>
    <row r="410" spans="1:3" s="4" customFormat="1" x14ac:dyDescent="0.3">
      <c r="A410" s="3">
        <v>43183</v>
      </c>
      <c r="B410" s="4">
        <v>268.55</v>
      </c>
      <c r="C410" s="4">
        <f t="shared" si="155"/>
        <v>1.5952294741224789E-2</v>
      </c>
    </row>
    <row r="411" spans="1:3" s="4" customFormat="1" x14ac:dyDescent="0.3">
      <c r="A411" s="3">
        <v>43184</v>
      </c>
      <c r="B411" s="4">
        <v>264.3</v>
      </c>
      <c r="C411" s="4">
        <f t="shared" si="155"/>
        <v>-1.184781136701551E-2</v>
      </c>
    </row>
    <row r="412" spans="1:3" s="4" customFormat="1" x14ac:dyDescent="0.3">
      <c r="A412" s="3">
        <v>43185</v>
      </c>
      <c r="B412" s="4">
        <v>267.45</v>
      </c>
      <c r="C412" s="4">
        <f t="shared" si="155"/>
        <v>-1.3555123527360824E-2</v>
      </c>
    </row>
    <row r="413" spans="1:3" s="4" customFormat="1" x14ac:dyDescent="0.3">
      <c r="A413" s="3">
        <v>43186</v>
      </c>
      <c r="B413" s="4">
        <v>271.10000000000002</v>
      </c>
      <c r="C413" s="4">
        <f t="shared" si="155"/>
        <v>-4.049333712745698E-3</v>
      </c>
    </row>
    <row r="414" spans="1:3" s="4" customFormat="1" x14ac:dyDescent="0.3">
      <c r="A414" s="3">
        <v>43187</v>
      </c>
      <c r="B414" s="4">
        <v>272.2</v>
      </c>
      <c r="C414" s="4">
        <f t="shared" si="155"/>
        <v>1.5363559943818959E-2</v>
      </c>
    </row>
    <row r="415" spans="1:3" s="4" customFormat="1" x14ac:dyDescent="0.3">
      <c r="A415" s="3">
        <v>43188</v>
      </c>
      <c r="B415" s="4">
        <v>268.05</v>
      </c>
      <c r="C415" s="4">
        <f t="shared" si="155"/>
        <v>-5.5944057403130786E-4</v>
      </c>
    </row>
    <row r="416" spans="1:3" s="4" customFormat="1" x14ac:dyDescent="0.3">
      <c r="A416" s="3">
        <v>43189</v>
      </c>
      <c r="B416" s="4">
        <v>268.2</v>
      </c>
      <c r="C416" s="4">
        <f t="shared" si="155"/>
        <v>-2.0299645199055288E-2</v>
      </c>
    </row>
    <row r="417" spans="1:3" s="4" customFormat="1" x14ac:dyDescent="0.3">
      <c r="A417" s="3">
        <v>43190</v>
      </c>
      <c r="B417" s="4">
        <v>273.7</v>
      </c>
      <c r="C417" s="4">
        <f t="shared" si="155"/>
        <v>1.1575691957889052E-2</v>
      </c>
    </row>
    <row r="418" spans="1:3" s="4" customFormat="1" x14ac:dyDescent="0.3">
      <c r="A418" s="3">
        <v>43191</v>
      </c>
      <c r="B418" s="4">
        <v>270.55</v>
      </c>
      <c r="C418" s="4">
        <f t="shared" si="155"/>
        <v>1.0403214760886088E-2</v>
      </c>
    </row>
    <row r="419" spans="1:3" s="4" customFormat="1" x14ac:dyDescent="0.3">
      <c r="A419" s="3">
        <v>43192</v>
      </c>
      <c r="B419" s="4">
        <v>267.75</v>
      </c>
      <c r="C419" s="4">
        <f t="shared" si="155"/>
        <v>1.4950479331174624E-3</v>
      </c>
    </row>
    <row r="420" spans="1:3" s="4" customFormat="1" x14ac:dyDescent="0.3">
      <c r="A420" s="3">
        <v>43193</v>
      </c>
      <c r="B420" s="4">
        <v>267.35000000000002</v>
      </c>
      <c r="C420" s="4">
        <f t="shared" si="155"/>
        <v>-2.0546766319552056E-2</v>
      </c>
    </row>
    <row r="421" spans="1:3" s="4" customFormat="1" x14ac:dyDescent="0.3">
      <c r="A421" s="3">
        <v>43194</v>
      </c>
      <c r="B421" s="4">
        <v>272.89999999999998</v>
      </c>
      <c r="C421" s="4">
        <f t="shared" si="155"/>
        <v>7.7248866761727916E-3</v>
      </c>
    </row>
    <row r="422" spans="1:3" s="4" customFormat="1" x14ac:dyDescent="0.3">
      <c r="A422" s="3">
        <v>43195</v>
      </c>
      <c r="B422" s="4">
        <v>270.8</v>
      </c>
      <c r="C422" s="4">
        <f t="shared" si="155"/>
        <v>5.1832770618563733E-3</v>
      </c>
    </row>
    <row r="423" spans="1:3" s="4" customFormat="1" x14ac:dyDescent="0.3">
      <c r="A423" s="3">
        <v>43196</v>
      </c>
      <c r="B423" s="4">
        <v>269.39999999999998</v>
      </c>
      <c r="C423" s="4">
        <f t="shared" si="155"/>
        <v>5.7701416492941787E-3</v>
      </c>
    </row>
    <row r="424" spans="1:3" s="4" customFormat="1" x14ac:dyDescent="0.3">
      <c r="A424" s="3">
        <v>43197</v>
      </c>
      <c r="B424" s="4">
        <v>267.85000000000002</v>
      </c>
      <c r="C424" s="4">
        <f t="shared" si="155"/>
        <v>3.7341299911119069E-4</v>
      </c>
    </row>
    <row r="425" spans="1:3" s="4" customFormat="1" x14ac:dyDescent="0.3">
      <c r="A425" s="3">
        <v>43198</v>
      </c>
      <c r="B425" s="4">
        <v>267.75</v>
      </c>
      <c r="C425" s="4">
        <f t="shared" si="155"/>
        <v>1.8850699570797613E-2</v>
      </c>
    </row>
    <row r="426" spans="1:3" s="4" customFormat="1" x14ac:dyDescent="0.3">
      <c r="A426" s="3">
        <v>43199</v>
      </c>
      <c r="B426" s="4">
        <v>262.75</v>
      </c>
      <c r="C426" s="4">
        <f t="shared" si="155"/>
        <v>1.1868439466732578E-2</v>
      </c>
    </row>
    <row r="427" spans="1:3" s="4" customFormat="1" x14ac:dyDescent="0.3">
      <c r="A427" s="3">
        <v>43200</v>
      </c>
      <c r="B427" s="4">
        <v>259.64999999999998</v>
      </c>
      <c r="C427" s="4">
        <f t="shared" si="155"/>
        <v>-2.114968802137953E-2</v>
      </c>
    </row>
    <row r="428" spans="1:3" s="4" customFormat="1" x14ac:dyDescent="0.3">
      <c r="A428" s="3">
        <v>43201</v>
      </c>
      <c r="B428" s="4">
        <v>265.2</v>
      </c>
      <c r="C428" s="4">
        <f t="shared" si="155"/>
        <v>1.5094342488541186E-3</v>
      </c>
    </row>
    <row r="429" spans="1:3" s="4" customFormat="1" x14ac:dyDescent="0.3">
      <c r="A429" s="3">
        <v>43202</v>
      </c>
      <c r="B429" s="4">
        <v>264.8</v>
      </c>
      <c r="C429" s="4">
        <f t="shared" si="155"/>
        <v>9.2953339301324288E-3</v>
      </c>
    </row>
    <row r="430" spans="1:3" s="4" customFormat="1" x14ac:dyDescent="0.3">
      <c r="A430" s="3">
        <v>43203</v>
      </c>
      <c r="B430" s="4">
        <v>262.35000000000002</v>
      </c>
      <c r="C430" s="4">
        <f t="shared" si="155"/>
        <v>-2.0374219195137308E-2</v>
      </c>
    </row>
    <row r="431" spans="1:3" s="4" customFormat="1" x14ac:dyDescent="0.3">
      <c r="A431" s="3">
        <v>43204</v>
      </c>
      <c r="B431" s="4">
        <v>267.75</v>
      </c>
      <c r="C431" s="4">
        <f t="shared" si="155"/>
        <v>6.5574005461590396E-3</v>
      </c>
    </row>
    <row r="432" spans="1:3" s="4" customFormat="1" x14ac:dyDescent="0.3">
      <c r="A432" s="3">
        <v>43205</v>
      </c>
      <c r="B432" s="4">
        <v>266</v>
      </c>
      <c r="C432" s="4">
        <f t="shared" si="155"/>
        <v>2.2237921045386549E-2</v>
      </c>
    </row>
    <row r="433" spans="1:3" s="4" customFormat="1" x14ac:dyDescent="0.3">
      <c r="A433" s="3">
        <v>43206</v>
      </c>
      <c r="B433" s="4">
        <v>260.14999999999998</v>
      </c>
      <c r="C433" s="4">
        <f t="shared" si="155"/>
        <v>7.9112810117442003E-3</v>
      </c>
    </row>
    <row r="434" spans="1:3" s="4" customFormat="1" x14ac:dyDescent="0.3">
      <c r="A434" s="3">
        <v>43207</v>
      </c>
      <c r="B434" s="4">
        <v>258.10000000000002</v>
      </c>
      <c r="C434" s="4">
        <f t="shared" si="155"/>
        <v>1.1691481576802561E-2</v>
      </c>
    </row>
    <row r="435" spans="1:3" s="4" customFormat="1" x14ac:dyDescent="0.3">
      <c r="A435" s="3">
        <v>43208</v>
      </c>
      <c r="B435" s="4">
        <v>255.1</v>
      </c>
      <c r="C435" s="4">
        <f t="shared" si="155"/>
        <v>1.9619390244595193E-3</v>
      </c>
    </row>
    <row r="436" spans="1:3" s="4" customFormat="1" x14ac:dyDescent="0.3">
      <c r="A436" s="3">
        <v>43209</v>
      </c>
      <c r="B436" s="4">
        <v>254.6</v>
      </c>
      <c r="C436" s="4">
        <f t="shared" si="155"/>
        <v>1.7233267927976057E-2</v>
      </c>
    </row>
    <row r="437" spans="1:3" s="4" customFormat="1" x14ac:dyDescent="0.3">
      <c r="A437" s="3">
        <v>43210</v>
      </c>
      <c r="B437" s="4">
        <v>250.25</v>
      </c>
      <c r="C437" s="4">
        <f t="shared" si="155"/>
        <v>-1.4676979051923948E-2</v>
      </c>
    </row>
    <row r="438" spans="1:3" s="4" customFormat="1" x14ac:dyDescent="0.3">
      <c r="A438" s="3">
        <v>43211</v>
      </c>
      <c r="B438" s="4">
        <v>253.95</v>
      </c>
      <c r="C438" s="4">
        <f t="shared" si="155"/>
        <v>-1.9686977128265741E-4</v>
      </c>
    </row>
    <row r="439" spans="1:3" s="4" customFormat="1" x14ac:dyDescent="0.3">
      <c r="A439" s="3">
        <v>43212</v>
      </c>
      <c r="B439" s="4">
        <v>254</v>
      </c>
      <c r="C439" s="4">
        <f t="shared" si="155"/>
        <v>-2.5652397672208241E-2</v>
      </c>
    </row>
    <row r="440" spans="1:3" s="4" customFormat="1" x14ac:dyDescent="0.3">
      <c r="A440" s="3">
        <v>43213</v>
      </c>
      <c r="B440" s="4">
        <v>260.60000000000002</v>
      </c>
      <c r="C440" s="4">
        <f t="shared" si="155"/>
        <v>1.1578670460546229E-2</v>
      </c>
    </row>
    <row r="441" spans="1:3" s="4" customFormat="1" x14ac:dyDescent="0.3">
      <c r="A441" s="3">
        <v>43214</v>
      </c>
      <c r="B441" s="4">
        <v>257.60000000000002</v>
      </c>
      <c r="C441" s="4">
        <f t="shared" si="155"/>
        <v>1.0340546729033909E-2</v>
      </c>
    </row>
    <row r="442" spans="1:3" s="4" customFormat="1" x14ac:dyDescent="0.3">
      <c r="A442" s="3">
        <v>43215</v>
      </c>
      <c r="B442" s="4">
        <v>254.95</v>
      </c>
      <c r="C442" s="4">
        <f t="shared" si="155"/>
        <v>-1.1116643003922412E-2</v>
      </c>
    </row>
    <row r="443" spans="1:3" s="4" customFormat="1" x14ac:dyDescent="0.3">
      <c r="A443" s="3">
        <v>43216</v>
      </c>
      <c r="B443" s="4">
        <v>257.8</v>
      </c>
      <c r="C443" s="4">
        <f t="shared" si="155"/>
        <v>7.7609627488845108E-4</v>
      </c>
    </row>
    <row r="444" spans="1:3" s="4" customFormat="1" x14ac:dyDescent="0.3">
      <c r="A444" s="3">
        <v>43217</v>
      </c>
      <c r="B444" s="4">
        <v>257.60000000000002</v>
      </c>
      <c r="C444" s="4">
        <f t="shared" si="155"/>
        <v>7.7669906817241991E-4</v>
      </c>
    </row>
    <row r="445" spans="1:3" s="4" customFormat="1" x14ac:dyDescent="0.3">
      <c r="A445" s="3">
        <v>43218</v>
      </c>
      <c r="B445" s="4">
        <v>257.39999999999998</v>
      </c>
      <c r="C445" s="4">
        <f t="shared" si="155"/>
        <v>-3.3804421861608674E-2</v>
      </c>
    </row>
    <row r="446" spans="1:3" s="4" customFormat="1" x14ac:dyDescent="0.3">
      <c r="A446" s="3">
        <v>43219</v>
      </c>
      <c r="B446" s="4">
        <v>266.25</v>
      </c>
      <c r="C446" s="4">
        <f t="shared" si="155"/>
        <v>-4.3904562465707606E-2</v>
      </c>
    </row>
    <row r="447" spans="1:3" s="4" customFormat="1" x14ac:dyDescent="0.3">
      <c r="A447" s="3">
        <v>43220</v>
      </c>
      <c r="B447" s="4">
        <v>278.2</v>
      </c>
      <c r="C447" s="4">
        <f t="shared" si="155"/>
        <v>1.7974296804029255E-4</v>
      </c>
    </row>
    <row r="448" spans="1:3" s="4" customFormat="1" x14ac:dyDescent="0.3">
      <c r="A448" s="3">
        <v>43221</v>
      </c>
      <c r="B448" s="4">
        <v>278.14999999999998</v>
      </c>
      <c r="C448" s="4">
        <f t="shared" si="155"/>
        <v>1.9793078886526099E-3</v>
      </c>
    </row>
    <row r="449" spans="1:3" s="4" customFormat="1" x14ac:dyDescent="0.3">
      <c r="A449" s="3">
        <v>43222</v>
      </c>
      <c r="B449" s="4">
        <v>277.60000000000002</v>
      </c>
      <c r="C449" s="4">
        <f t="shared" si="155"/>
        <v>-1.1283364985903035E-2</v>
      </c>
    </row>
    <row r="450" spans="1:3" s="4" customFormat="1" x14ac:dyDescent="0.3">
      <c r="A450" s="3">
        <v>43223</v>
      </c>
      <c r="B450" s="4">
        <v>280.75</v>
      </c>
      <c r="C450" s="4">
        <f t="shared" si="155"/>
        <v>1.2905717752738957E-2</v>
      </c>
    </row>
    <row r="451" spans="1:3" s="4" customFormat="1" x14ac:dyDescent="0.3">
      <c r="A451" s="3">
        <v>43224</v>
      </c>
      <c r="B451" s="4">
        <v>277.14999999999998</v>
      </c>
      <c r="C451" s="4">
        <f t="shared" ref="C451:C514" si="156">LN(B451/B452)</f>
        <v>-1.8024518218025557E-3</v>
      </c>
    </row>
    <row r="452" spans="1:3" s="4" customFormat="1" x14ac:dyDescent="0.3">
      <c r="A452" s="3">
        <v>43225</v>
      </c>
      <c r="B452" s="4">
        <v>277.64999999999998</v>
      </c>
      <c r="C452" s="4">
        <f t="shared" si="156"/>
        <v>-1.714021608365493E-2</v>
      </c>
    </row>
    <row r="453" spans="1:3" s="4" customFormat="1" x14ac:dyDescent="0.3">
      <c r="A453" s="3">
        <v>43226</v>
      </c>
      <c r="B453" s="4">
        <v>282.45</v>
      </c>
      <c r="C453" s="4">
        <f t="shared" si="156"/>
        <v>-2.7241076806729787E-2</v>
      </c>
    </row>
    <row r="454" spans="1:3" s="4" customFormat="1" x14ac:dyDescent="0.3">
      <c r="A454" s="3">
        <v>43227</v>
      </c>
      <c r="B454" s="4">
        <v>290.25</v>
      </c>
      <c r="C454" s="4">
        <f t="shared" si="156"/>
        <v>-8.06386800802311E-3</v>
      </c>
    </row>
    <row r="455" spans="1:3" s="4" customFormat="1" x14ac:dyDescent="0.3">
      <c r="A455" s="3">
        <v>43228</v>
      </c>
      <c r="B455" s="4">
        <v>292.60000000000002</v>
      </c>
      <c r="C455" s="4">
        <f t="shared" si="156"/>
        <v>1.4284727883125702E-2</v>
      </c>
    </row>
    <row r="456" spans="1:3" s="4" customFormat="1" x14ac:dyDescent="0.3">
      <c r="A456" s="3">
        <v>43229</v>
      </c>
      <c r="B456" s="4">
        <v>288.45</v>
      </c>
      <c r="C456" s="4">
        <f t="shared" si="156"/>
        <v>-4.4967215169626693E-3</v>
      </c>
    </row>
    <row r="457" spans="1:3" s="4" customFormat="1" x14ac:dyDescent="0.3">
      <c r="A457" s="3">
        <v>43230</v>
      </c>
      <c r="B457" s="4">
        <v>289.75</v>
      </c>
      <c r="C457" s="4">
        <f t="shared" si="156"/>
        <v>7.9695501505612117E-3</v>
      </c>
    </row>
    <row r="458" spans="1:3" s="4" customFormat="1" x14ac:dyDescent="0.3">
      <c r="A458" s="3">
        <v>43231</v>
      </c>
      <c r="B458" s="4">
        <v>287.45</v>
      </c>
      <c r="C458" s="4">
        <f t="shared" si="156"/>
        <v>2.2872214511092781E-2</v>
      </c>
    </row>
    <row r="459" spans="1:3" s="4" customFormat="1" x14ac:dyDescent="0.3">
      <c r="A459" s="3">
        <v>43232</v>
      </c>
      <c r="B459" s="4">
        <v>280.95</v>
      </c>
      <c r="C459" s="4">
        <f t="shared" si="156"/>
        <v>2.3954319614649496E-2</v>
      </c>
    </row>
    <row r="460" spans="1:3" s="4" customFormat="1" x14ac:dyDescent="0.3">
      <c r="A460" s="3">
        <v>43233</v>
      </c>
      <c r="B460" s="4">
        <v>274.3</v>
      </c>
      <c r="C460" s="4">
        <f t="shared" si="156"/>
        <v>2.547673327571489E-2</v>
      </c>
    </row>
    <row r="461" spans="1:3" s="4" customFormat="1" x14ac:dyDescent="0.3">
      <c r="A461" s="3">
        <v>43234</v>
      </c>
      <c r="B461" s="4">
        <v>267.39999999999998</v>
      </c>
      <c r="C461" s="4">
        <f t="shared" si="156"/>
        <v>-3.1836344062210996E-2</v>
      </c>
    </row>
    <row r="462" spans="1:3" s="4" customFormat="1" x14ac:dyDescent="0.3">
      <c r="A462" s="3">
        <v>43235</v>
      </c>
      <c r="B462" s="4">
        <v>276.05</v>
      </c>
      <c r="C462" s="4">
        <f t="shared" si="156"/>
        <v>5.2428362875824884E-2</v>
      </c>
    </row>
    <row r="463" spans="1:3" s="4" customFormat="1" x14ac:dyDescent="0.3">
      <c r="A463" s="3">
        <v>43236</v>
      </c>
      <c r="B463" s="4">
        <v>261.95</v>
      </c>
      <c r="C463" s="4">
        <f t="shared" si="156"/>
        <v>3.8248277648064467E-3</v>
      </c>
    </row>
    <row r="464" spans="1:3" s="4" customFormat="1" x14ac:dyDescent="0.3">
      <c r="A464" s="3">
        <v>43237</v>
      </c>
      <c r="B464" s="4">
        <v>260.95</v>
      </c>
      <c r="C464" s="4">
        <f t="shared" si="156"/>
        <v>-1.6909303808684838E-2</v>
      </c>
    </row>
    <row r="465" spans="1:3" s="4" customFormat="1" x14ac:dyDescent="0.3">
      <c r="A465" s="3">
        <v>43238</v>
      </c>
      <c r="B465" s="4">
        <v>265.39999999999998</v>
      </c>
      <c r="C465" s="4">
        <f t="shared" si="156"/>
        <v>-2.4747751033827394E-2</v>
      </c>
    </row>
    <row r="466" spans="1:3" s="4" customFormat="1" x14ac:dyDescent="0.3">
      <c r="A466" s="3">
        <v>43239</v>
      </c>
      <c r="B466" s="4">
        <v>272.05</v>
      </c>
      <c r="C466" s="4">
        <f t="shared" si="156"/>
        <v>-1.8573002933879212E-2</v>
      </c>
    </row>
    <row r="467" spans="1:3" s="4" customFormat="1" x14ac:dyDescent="0.3">
      <c r="A467" s="3">
        <v>43240</v>
      </c>
      <c r="B467" s="4">
        <v>277.14999999999998</v>
      </c>
      <c r="C467" s="4">
        <f t="shared" si="156"/>
        <v>2.7063271727569529E-2</v>
      </c>
    </row>
    <row r="468" spans="1:3" s="4" customFormat="1" x14ac:dyDescent="0.3">
      <c r="A468" s="3">
        <v>43241</v>
      </c>
      <c r="B468" s="4">
        <v>269.75</v>
      </c>
      <c r="C468" s="4">
        <f t="shared" si="156"/>
        <v>0</v>
      </c>
    </row>
    <row r="469" spans="1:3" s="4" customFormat="1" x14ac:dyDescent="0.3">
      <c r="A469" s="3">
        <v>43242</v>
      </c>
      <c r="B469" s="4">
        <v>269.75</v>
      </c>
      <c r="C469" s="4">
        <f t="shared" si="156"/>
        <v>-7.9387475001808944E-3</v>
      </c>
    </row>
    <row r="470" spans="1:3" s="4" customFormat="1" x14ac:dyDescent="0.3">
      <c r="A470" s="3">
        <v>43243</v>
      </c>
      <c r="B470" s="4">
        <v>271.89999999999998</v>
      </c>
      <c r="C470" s="4">
        <f t="shared" si="156"/>
        <v>-2.2042624648738701E-3</v>
      </c>
    </row>
    <row r="471" spans="1:3" s="4" customFormat="1" x14ac:dyDescent="0.3">
      <c r="A471" s="3">
        <v>43244</v>
      </c>
      <c r="B471" s="4">
        <v>272.5</v>
      </c>
      <c r="C471" s="4">
        <f t="shared" si="156"/>
        <v>2.0202707317519469E-2</v>
      </c>
    </row>
    <row r="472" spans="1:3" s="4" customFormat="1" x14ac:dyDescent="0.3">
      <c r="A472" s="3">
        <v>43245</v>
      </c>
      <c r="B472" s="4">
        <v>267.05</v>
      </c>
      <c r="C472" s="4">
        <f t="shared" si="156"/>
        <v>-3.1333193543464997E-2</v>
      </c>
    </row>
    <row r="473" spans="1:3" s="4" customFormat="1" x14ac:dyDescent="0.3">
      <c r="A473" s="3">
        <v>43246</v>
      </c>
      <c r="B473" s="4">
        <v>275.55</v>
      </c>
      <c r="C473" s="4">
        <f t="shared" si="156"/>
        <v>-7.5922273583717542E-3</v>
      </c>
    </row>
    <row r="474" spans="1:3" s="4" customFormat="1" x14ac:dyDescent="0.3">
      <c r="A474" s="3">
        <v>43247</v>
      </c>
      <c r="B474" s="4">
        <v>277.64999999999998</v>
      </c>
      <c r="C474" s="4">
        <f t="shared" si="156"/>
        <v>-2.2084601929119149E-2</v>
      </c>
    </row>
    <row r="475" spans="1:3" s="4" customFormat="1" x14ac:dyDescent="0.3">
      <c r="A475" s="3">
        <v>43248</v>
      </c>
      <c r="B475" s="4">
        <v>283.85000000000002</v>
      </c>
      <c r="C475" s="4">
        <f t="shared" si="156"/>
        <v>-1.8672560667874323E-2</v>
      </c>
    </row>
    <row r="476" spans="1:3" s="4" customFormat="1" x14ac:dyDescent="0.3">
      <c r="A476" s="3">
        <v>43249</v>
      </c>
      <c r="B476" s="4">
        <v>289.2</v>
      </c>
      <c r="C476" s="4">
        <f t="shared" si="156"/>
        <v>5.3740269753071029E-3</v>
      </c>
    </row>
    <row r="477" spans="1:3" s="4" customFormat="1" x14ac:dyDescent="0.3">
      <c r="A477" s="3">
        <v>43250</v>
      </c>
      <c r="B477" s="4">
        <v>287.64999999999998</v>
      </c>
      <c r="C477" s="4">
        <f t="shared" si="156"/>
        <v>-1.4152807857362995E-2</v>
      </c>
    </row>
    <row r="478" spans="1:3" s="4" customFormat="1" x14ac:dyDescent="0.3">
      <c r="A478" s="3">
        <v>43251</v>
      </c>
      <c r="B478" s="4">
        <v>291.75</v>
      </c>
      <c r="C478" s="4">
        <f t="shared" si="156"/>
        <v>-2.2254567089579464E-3</v>
      </c>
    </row>
    <row r="479" spans="1:3" s="4" customFormat="1" x14ac:dyDescent="0.3">
      <c r="A479" s="3">
        <v>43252</v>
      </c>
      <c r="B479" s="4">
        <v>292.39999999999998</v>
      </c>
      <c r="C479" s="4">
        <f t="shared" si="156"/>
        <v>8.2418048951035678E-3</v>
      </c>
    </row>
    <row r="480" spans="1:3" s="4" customFormat="1" x14ac:dyDescent="0.3">
      <c r="A480" s="3">
        <v>43253</v>
      </c>
      <c r="B480" s="4">
        <v>290</v>
      </c>
      <c r="C480" s="4">
        <f t="shared" si="156"/>
        <v>1.2840710876450348E-2</v>
      </c>
    </row>
    <row r="481" spans="1:3" s="4" customFormat="1" x14ac:dyDescent="0.3">
      <c r="A481" s="3">
        <v>43254</v>
      </c>
      <c r="B481" s="4">
        <v>286.3</v>
      </c>
      <c r="C481" s="4">
        <f t="shared" si="156"/>
        <v>0</v>
      </c>
    </row>
    <row r="482" spans="1:3" s="4" customFormat="1" x14ac:dyDescent="0.3">
      <c r="A482" s="3">
        <v>43255</v>
      </c>
      <c r="B482" s="4">
        <v>286.3</v>
      </c>
      <c r="C482" s="4">
        <f t="shared" si="156"/>
        <v>1.9229094291493805E-3</v>
      </c>
    </row>
    <row r="483" spans="1:3" s="4" customFormat="1" x14ac:dyDescent="0.3">
      <c r="A483" s="3">
        <v>43256</v>
      </c>
      <c r="B483" s="4">
        <v>285.75</v>
      </c>
      <c r="C483" s="4">
        <f t="shared" si="156"/>
        <v>1.7296583696478317E-2</v>
      </c>
    </row>
    <row r="484" spans="1:3" s="4" customFormat="1" x14ac:dyDescent="0.3">
      <c r="A484" s="3">
        <v>43257</v>
      </c>
      <c r="B484" s="4">
        <v>280.85000000000002</v>
      </c>
      <c r="C484" s="4">
        <f t="shared" si="156"/>
        <v>2.5057642709409401E-2</v>
      </c>
    </row>
    <row r="485" spans="1:3" s="4" customFormat="1" x14ac:dyDescent="0.3">
      <c r="A485" s="3">
        <v>43258</v>
      </c>
      <c r="B485" s="4">
        <v>273.89999999999998</v>
      </c>
      <c r="C485" s="4">
        <f t="shared" si="156"/>
        <v>6.7772033370980481E-3</v>
      </c>
    </row>
    <row r="486" spans="1:3" s="4" customFormat="1" x14ac:dyDescent="0.3">
      <c r="A486" s="3">
        <v>43259</v>
      </c>
      <c r="B486" s="4">
        <v>272.05</v>
      </c>
      <c r="C486" s="4">
        <f t="shared" si="156"/>
        <v>-9.5116868566949512E-3</v>
      </c>
    </row>
    <row r="487" spans="1:3" s="4" customFormat="1" x14ac:dyDescent="0.3">
      <c r="A487" s="3">
        <v>43260</v>
      </c>
      <c r="B487" s="4">
        <v>274.64999999999998</v>
      </c>
      <c r="C487" s="4">
        <f t="shared" si="156"/>
        <v>4.3787699958476173E-3</v>
      </c>
    </row>
    <row r="488" spans="1:3" s="4" customFormat="1" x14ac:dyDescent="0.3">
      <c r="A488" s="3">
        <v>43261</v>
      </c>
      <c r="B488" s="4">
        <v>273.45</v>
      </c>
      <c r="C488" s="4">
        <f t="shared" si="156"/>
        <v>0</v>
      </c>
    </row>
    <row r="489" spans="1:3" s="4" customFormat="1" x14ac:dyDescent="0.3">
      <c r="A489" s="3">
        <v>43262</v>
      </c>
      <c r="B489" s="4">
        <v>273.45</v>
      </c>
      <c r="C489" s="4">
        <f t="shared" si="156"/>
        <v>0</v>
      </c>
    </row>
    <row r="490" spans="1:3" s="4" customFormat="1" x14ac:dyDescent="0.3">
      <c r="A490" s="3">
        <v>43263</v>
      </c>
      <c r="B490" s="4">
        <v>273.45</v>
      </c>
      <c r="C490" s="4">
        <f t="shared" si="156"/>
        <v>2.3682883007002348E-2</v>
      </c>
    </row>
    <row r="491" spans="1:3" s="4" customFormat="1" x14ac:dyDescent="0.3">
      <c r="A491" s="3">
        <v>43264</v>
      </c>
      <c r="B491" s="4">
        <v>267.05</v>
      </c>
      <c r="C491" s="4">
        <f t="shared" si="156"/>
        <v>-3.1778697647836334E-3</v>
      </c>
    </row>
    <row r="492" spans="1:3" s="4" customFormat="1" x14ac:dyDescent="0.3">
      <c r="A492" s="3">
        <v>43265</v>
      </c>
      <c r="B492" s="4">
        <v>267.89999999999998</v>
      </c>
      <c r="C492" s="4">
        <f t="shared" si="156"/>
        <v>1.6180973922210719E-2</v>
      </c>
    </row>
    <row r="493" spans="1:3" s="4" customFormat="1" x14ac:dyDescent="0.3">
      <c r="A493" s="3">
        <v>43266</v>
      </c>
      <c r="B493" s="4">
        <v>263.60000000000002</v>
      </c>
      <c r="C493" s="4">
        <f t="shared" si="156"/>
        <v>2.6719513622040173E-2</v>
      </c>
    </row>
    <row r="494" spans="1:3" s="4" customFormat="1" x14ac:dyDescent="0.3">
      <c r="A494" s="3">
        <v>43267</v>
      </c>
      <c r="B494" s="4">
        <v>256.64999999999998</v>
      </c>
      <c r="C494" s="4">
        <f t="shared" si="156"/>
        <v>-3.3524832891794913E-2</v>
      </c>
    </row>
    <row r="495" spans="1:3" s="4" customFormat="1" x14ac:dyDescent="0.3">
      <c r="A495" s="3">
        <v>43268</v>
      </c>
      <c r="B495" s="4">
        <v>265.39999999999998</v>
      </c>
      <c r="C495" s="4">
        <f t="shared" si="156"/>
        <v>-1.9218802190637301E-2</v>
      </c>
    </row>
    <row r="496" spans="1:3" s="4" customFormat="1" x14ac:dyDescent="0.3">
      <c r="A496" s="3">
        <v>43269</v>
      </c>
      <c r="B496" s="4">
        <v>270.55</v>
      </c>
      <c r="C496" s="4">
        <f t="shared" si="156"/>
        <v>-1.5404669194986467E-2</v>
      </c>
    </row>
    <row r="497" spans="1:3" s="4" customFormat="1" x14ac:dyDescent="0.3">
      <c r="A497" s="3">
        <v>43270</v>
      </c>
      <c r="B497" s="4">
        <v>274.75</v>
      </c>
      <c r="C497" s="4">
        <f t="shared" si="156"/>
        <v>-1.2658396871923465E-2</v>
      </c>
    </row>
    <row r="498" spans="1:3" s="4" customFormat="1" x14ac:dyDescent="0.3">
      <c r="A498" s="3">
        <v>43271</v>
      </c>
      <c r="B498" s="4">
        <v>278.25</v>
      </c>
      <c r="C498" s="4">
        <f t="shared" si="156"/>
        <v>-1.1967634128233184E-2</v>
      </c>
    </row>
    <row r="499" spans="1:3" s="4" customFormat="1" x14ac:dyDescent="0.3">
      <c r="A499" s="3">
        <v>43272</v>
      </c>
      <c r="B499" s="4">
        <v>281.60000000000002</v>
      </c>
      <c r="C499" s="4">
        <f t="shared" si="156"/>
        <v>-2.0039341701356468E-2</v>
      </c>
    </row>
    <row r="500" spans="1:3" s="4" customFormat="1" x14ac:dyDescent="0.3">
      <c r="A500" s="3">
        <v>43273</v>
      </c>
      <c r="B500" s="4">
        <v>287.3</v>
      </c>
      <c r="C500" s="4">
        <f t="shared" si="156"/>
        <v>1.4726773867389907E-2</v>
      </c>
    </row>
    <row r="501" spans="1:3" s="4" customFormat="1" x14ac:dyDescent="0.3">
      <c r="A501" s="3">
        <v>43274</v>
      </c>
      <c r="B501" s="4">
        <v>283.10000000000002</v>
      </c>
      <c r="C501" s="4">
        <f t="shared" si="156"/>
        <v>5.1350267771311546E-3</v>
      </c>
    </row>
    <row r="502" spans="1:3" s="4" customFormat="1" x14ac:dyDescent="0.3">
      <c r="A502" s="3">
        <v>43275</v>
      </c>
      <c r="B502" s="4">
        <v>281.64999999999998</v>
      </c>
      <c r="C502" s="4">
        <f t="shared" si="156"/>
        <v>3.2005717221702925E-3</v>
      </c>
    </row>
    <row r="503" spans="1:3" s="4" customFormat="1" x14ac:dyDescent="0.3">
      <c r="A503" s="3">
        <v>43276</v>
      </c>
      <c r="B503" s="4">
        <v>280.75</v>
      </c>
      <c r="C503" s="4">
        <f t="shared" si="156"/>
        <v>-2.1494837429327569E-2</v>
      </c>
    </row>
    <row r="504" spans="1:3" s="4" customFormat="1" x14ac:dyDescent="0.3">
      <c r="A504" s="3">
        <v>43277</v>
      </c>
      <c r="B504" s="4">
        <v>286.85000000000002</v>
      </c>
      <c r="C504" s="4">
        <f t="shared" si="156"/>
        <v>5.9440734453322748E-3</v>
      </c>
    </row>
    <row r="505" spans="1:3" s="4" customFormat="1" x14ac:dyDescent="0.3">
      <c r="A505" s="3">
        <v>43278</v>
      </c>
      <c r="B505" s="4">
        <v>285.14999999999998</v>
      </c>
      <c r="C505" s="4">
        <f t="shared" si="156"/>
        <v>-8.555268244343904E-3</v>
      </c>
    </row>
    <row r="506" spans="1:3" s="4" customFormat="1" x14ac:dyDescent="0.3">
      <c r="A506" s="3">
        <v>43279</v>
      </c>
      <c r="B506" s="4">
        <v>287.60000000000002</v>
      </c>
      <c r="C506" s="4">
        <f t="shared" si="156"/>
        <v>-1.0549168300467758E-2</v>
      </c>
    </row>
    <row r="507" spans="1:3" s="4" customFormat="1" x14ac:dyDescent="0.3">
      <c r="A507" s="3">
        <v>43280</v>
      </c>
      <c r="B507" s="4">
        <v>290.64999999999998</v>
      </c>
      <c r="C507" s="4">
        <f t="shared" si="156"/>
        <v>-1.0779469592417464E-2</v>
      </c>
    </row>
    <row r="508" spans="1:3" s="4" customFormat="1" x14ac:dyDescent="0.3">
      <c r="A508" s="3">
        <v>43281</v>
      </c>
      <c r="B508" s="4">
        <v>293.8</v>
      </c>
      <c r="C508" s="4">
        <f t="shared" si="156"/>
        <v>0</v>
      </c>
    </row>
    <row r="509" spans="1:3" s="4" customFormat="1" x14ac:dyDescent="0.3">
      <c r="A509" s="3">
        <v>43282</v>
      </c>
      <c r="B509" s="4">
        <v>293.8</v>
      </c>
      <c r="C509" s="4">
        <f t="shared" si="156"/>
        <v>-1.7016931888250926E-4</v>
      </c>
    </row>
    <row r="510" spans="1:3" s="4" customFormat="1" x14ac:dyDescent="0.3">
      <c r="A510" s="3">
        <v>43283</v>
      </c>
      <c r="B510" s="4">
        <v>293.85000000000002</v>
      </c>
      <c r="C510" s="4">
        <f t="shared" si="156"/>
        <v>-2.9342368295596097E-2</v>
      </c>
    </row>
    <row r="511" spans="1:3" s="4" customFormat="1" x14ac:dyDescent="0.3">
      <c r="A511" s="3">
        <v>43284</v>
      </c>
      <c r="B511" s="4">
        <v>302.60000000000002</v>
      </c>
      <c r="C511" s="4">
        <f t="shared" si="156"/>
        <v>1.9847839793859824E-3</v>
      </c>
    </row>
    <row r="512" spans="1:3" s="4" customFormat="1" x14ac:dyDescent="0.3">
      <c r="A512" s="3">
        <v>43285</v>
      </c>
      <c r="B512" s="4">
        <v>302</v>
      </c>
      <c r="C512" s="4">
        <f t="shared" si="156"/>
        <v>6.9779316199062996E-3</v>
      </c>
    </row>
    <row r="513" spans="1:3" s="4" customFormat="1" x14ac:dyDescent="0.3">
      <c r="A513" s="3">
        <v>43286</v>
      </c>
      <c r="B513" s="4">
        <v>299.89999999999998</v>
      </c>
      <c r="C513" s="4">
        <f t="shared" si="156"/>
        <v>3.5639271557579816E-2</v>
      </c>
    </row>
    <row r="514" spans="1:3" s="4" customFormat="1" x14ac:dyDescent="0.3">
      <c r="A514" s="3">
        <v>43287</v>
      </c>
      <c r="B514" s="4">
        <v>289.39999999999998</v>
      </c>
      <c r="C514" s="4">
        <f t="shared" si="156"/>
        <v>-2.1028213072995076E-2</v>
      </c>
    </row>
    <row r="515" spans="1:3" s="4" customFormat="1" x14ac:dyDescent="0.3">
      <c r="A515" s="3">
        <v>43288</v>
      </c>
      <c r="B515" s="4">
        <v>295.55</v>
      </c>
      <c r="C515" s="4">
        <f t="shared" ref="C515:C578" si="157">LN(B515/B516)</f>
        <v>-2.365665178962399E-3</v>
      </c>
    </row>
    <row r="516" spans="1:3" s="4" customFormat="1" x14ac:dyDescent="0.3">
      <c r="A516" s="3">
        <v>43289</v>
      </c>
      <c r="B516" s="4">
        <v>296.25</v>
      </c>
      <c r="C516" s="4">
        <f t="shared" si="157"/>
        <v>-1.0121458353947402E-3</v>
      </c>
    </row>
    <row r="517" spans="1:3" s="4" customFormat="1" x14ac:dyDescent="0.3">
      <c r="A517" s="3">
        <v>43290</v>
      </c>
      <c r="B517" s="4">
        <v>296.55</v>
      </c>
      <c r="C517" s="4">
        <f t="shared" si="157"/>
        <v>-1.9204063500676754E-2</v>
      </c>
    </row>
    <row r="518" spans="1:3" s="4" customFormat="1" x14ac:dyDescent="0.3">
      <c r="A518" s="3">
        <v>43291</v>
      </c>
      <c r="B518" s="4">
        <v>302.3</v>
      </c>
      <c r="C518" s="4">
        <f t="shared" si="157"/>
        <v>-1.6538493380952358E-4</v>
      </c>
    </row>
    <row r="519" spans="1:3" s="4" customFormat="1" x14ac:dyDescent="0.3">
      <c r="A519" s="3">
        <v>43292</v>
      </c>
      <c r="B519" s="4">
        <v>302.35000000000002</v>
      </c>
      <c r="C519" s="4">
        <f t="shared" si="157"/>
        <v>-1.1018942177566772E-2</v>
      </c>
    </row>
    <row r="520" spans="1:3" s="4" customFormat="1" x14ac:dyDescent="0.3">
      <c r="A520" s="3">
        <v>43293</v>
      </c>
      <c r="B520" s="4">
        <v>305.7</v>
      </c>
      <c r="C520" s="4">
        <f t="shared" si="157"/>
        <v>-3.2658422234170007E-3</v>
      </c>
    </row>
    <row r="521" spans="1:3" s="4" customFormat="1" x14ac:dyDescent="0.3">
      <c r="A521" s="3">
        <v>43294</v>
      </c>
      <c r="B521" s="4">
        <v>306.7</v>
      </c>
      <c r="C521" s="4">
        <f t="shared" si="157"/>
        <v>0</v>
      </c>
    </row>
    <row r="522" spans="1:3" s="4" customFormat="1" x14ac:dyDescent="0.3">
      <c r="A522" s="3">
        <v>43295</v>
      </c>
      <c r="B522" s="4">
        <v>306.7</v>
      </c>
      <c r="C522" s="4">
        <f t="shared" si="157"/>
        <v>-8.1479675329954894E-4</v>
      </c>
    </row>
    <row r="523" spans="1:3" s="4" customFormat="1" x14ac:dyDescent="0.3">
      <c r="A523" s="3">
        <v>43296</v>
      </c>
      <c r="B523" s="4">
        <v>306.95</v>
      </c>
      <c r="C523" s="4">
        <f t="shared" si="157"/>
        <v>7.6654849216551246E-2</v>
      </c>
    </row>
    <row r="524" spans="1:3" s="4" customFormat="1" x14ac:dyDescent="0.3">
      <c r="A524" s="3">
        <v>43297</v>
      </c>
      <c r="B524" s="4">
        <v>284.3</v>
      </c>
      <c r="C524" s="4">
        <f t="shared" si="157"/>
        <v>-5.7869517043710166E-3</v>
      </c>
    </row>
    <row r="525" spans="1:3" s="4" customFormat="1" x14ac:dyDescent="0.3">
      <c r="A525" s="3">
        <v>43298</v>
      </c>
      <c r="B525" s="4">
        <v>285.95</v>
      </c>
      <c r="C525" s="4">
        <f t="shared" si="157"/>
        <v>-4.7099956239188027E-3</v>
      </c>
    </row>
    <row r="526" spans="1:3" s="4" customFormat="1" x14ac:dyDescent="0.3">
      <c r="A526" s="3">
        <v>43299</v>
      </c>
      <c r="B526" s="4">
        <v>287.3</v>
      </c>
      <c r="C526" s="4">
        <f t="shared" si="157"/>
        <v>2.7524673390090154E-2</v>
      </c>
    </row>
    <row r="527" spans="1:3" s="4" customFormat="1" x14ac:dyDescent="0.3">
      <c r="A527" s="3">
        <v>43300</v>
      </c>
      <c r="B527" s="4">
        <v>279.5</v>
      </c>
      <c r="C527" s="4">
        <f t="shared" si="157"/>
        <v>-3.7912578435430389E-2</v>
      </c>
    </row>
    <row r="528" spans="1:3" s="4" customFormat="1" x14ac:dyDescent="0.3">
      <c r="A528" s="3">
        <v>43301</v>
      </c>
      <c r="B528" s="4">
        <v>290.3</v>
      </c>
      <c r="C528" s="4">
        <f t="shared" si="157"/>
        <v>-1.7208746287800422E-3</v>
      </c>
    </row>
    <row r="529" spans="1:3" s="4" customFormat="1" x14ac:dyDescent="0.3">
      <c r="A529" s="3">
        <v>43302</v>
      </c>
      <c r="B529" s="4">
        <v>290.8</v>
      </c>
      <c r="C529" s="4">
        <f t="shared" si="157"/>
        <v>-7.7074972630739435E-3</v>
      </c>
    </row>
    <row r="530" spans="1:3" s="4" customFormat="1" x14ac:dyDescent="0.3">
      <c r="A530" s="3">
        <v>43303</v>
      </c>
      <c r="B530" s="4">
        <v>293.05</v>
      </c>
      <c r="C530" s="4">
        <f t="shared" si="157"/>
        <v>-2.4438732066846373E-2</v>
      </c>
    </row>
    <row r="531" spans="1:3" s="4" customFormat="1" x14ac:dyDescent="0.3">
      <c r="A531" s="3">
        <v>43304</v>
      </c>
      <c r="B531" s="4">
        <v>300.3</v>
      </c>
      <c r="C531" s="4">
        <f t="shared" si="157"/>
        <v>-2.3693112257287874E-2</v>
      </c>
    </row>
    <row r="532" spans="1:3" s="4" customFormat="1" x14ac:dyDescent="0.3">
      <c r="A532" s="3">
        <v>43305</v>
      </c>
      <c r="B532" s="4">
        <v>307.5</v>
      </c>
      <c r="C532" s="4">
        <f t="shared" si="157"/>
        <v>-4.7043642604159778E-3</v>
      </c>
    </row>
    <row r="533" spans="1:3" s="4" customFormat="1" x14ac:dyDescent="0.3">
      <c r="A533" s="3">
        <v>43306</v>
      </c>
      <c r="B533" s="4">
        <v>308.95</v>
      </c>
      <c r="C533" s="4">
        <f t="shared" si="157"/>
        <v>-5.6780719390264835E-2</v>
      </c>
    </row>
    <row r="534" spans="1:3" s="4" customFormat="1" x14ac:dyDescent="0.3">
      <c r="A534" s="3">
        <v>43307</v>
      </c>
      <c r="B534" s="4">
        <v>327</v>
      </c>
      <c r="C534" s="4">
        <f t="shared" si="157"/>
        <v>-2.2975617655470234E-2</v>
      </c>
    </row>
    <row r="535" spans="1:3" s="4" customFormat="1" x14ac:dyDescent="0.3">
      <c r="A535" s="3">
        <v>43308</v>
      </c>
      <c r="B535" s="4">
        <v>334.6</v>
      </c>
      <c r="C535" s="4">
        <f t="shared" si="157"/>
        <v>1.3691630417943889E-2</v>
      </c>
    </row>
    <row r="536" spans="1:3" s="4" customFormat="1" x14ac:dyDescent="0.3">
      <c r="A536" s="3">
        <v>43309</v>
      </c>
      <c r="B536" s="4">
        <v>330.05</v>
      </c>
      <c r="C536" s="4">
        <f t="shared" si="157"/>
        <v>7.9087864707172596E-3</v>
      </c>
    </row>
    <row r="537" spans="1:3" s="4" customFormat="1" x14ac:dyDescent="0.3">
      <c r="A537" s="3">
        <v>43310</v>
      </c>
      <c r="B537" s="4">
        <v>327.45</v>
      </c>
      <c r="C537" s="4">
        <f t="shared" si="157"/>
        <v>0</v>
      </c>
    </row>
    <row r="538" spans="1:3" s="4" customFormat="1" x14ac:dyDescent="0.3">
      <c r="A538" s="3">
        <v>43311</v>
      </c>
      <c r="B538" s="4">
        <v>327.45</v>
      </c>
      <c r="C538" s="4">
        <f t="shared" si="157"/>
        <v>8.5876927095668628E-3</v>
      </c>
    </row>
    <row r="539" spans="1:3" s="4" customFormat="1" x14ac:dyDescent="0.3">
      <c r="A539" s="3">
        <v>43312</v>
      </c>
      <c r="B539" s="4">
        <v>324.64999999999998</v>
      </c>
      <c r="C539" s="4">
        <f t="shared" si="157"/>
        <v>-4.7630112324178091E-3</v>
      </c>
    </row>
    <row r="540" spans="1:3" s="4" customFormat="1" x14ac:dyDescent="0.3">
      <c r="A540" s="3">
        <v>43313</v>
      </c>
      <c r="B540" s="4">
        <v>326.2</v>
      </c>
      <c r="C540" s="4">
        <f t="shared" si="157"/>
        <v>2.498772050811247E-2</v>
      </c>
    </row>
    <row r="541" spans="1:3" s="4" customFormat="1" x14ac:dyDescent="0.3">
      <c r="A541" s="3">
        <v>43314</v>
      </c>
      <c r="B541" s="4">
        <v>318.14999999999998</v>
      </c>
      <c r="C541" s="4">
        <f t="shared" si="157"/>
        <v>1.5840660707379307E-2</v>
      </c>
    </row>
    <row r="542" spans="1:3" s="4" customFormat="1" x14ac:dyDescent="0.3">
      <c r="A542" s="3">
        <v>43315</v>
      </c>
      <c r="B542" s="4">
        <v>313.14999999999998</v>
      </c>
      <c r="C542" s="4">
        <f t="shared" si="157"/>
        <v>-7.3178818453966173E-3</v>
      </c>
    </row>
    <row r="543" spans="1:3" s="4" customFormat="1" x14ac:dyDescent="0.3">
      <c r="A543" s="3">
        <v>43316</v>
      </c>
      <c r="B543" s="4">
        <v>315.45</v>
      </c>
      <c r="C543" s="4">
        <f t="shared" si="157"/>
        <v>-1.5257865798294027E-2</v>
      </c>
    </row>
    <row r="544" spans="1:3" s="4" customFormat="1" x14ac:dyDescent="0.3">
      <c r="A544" s="3">
        <v>43317</v>
      </c>
      <c r="B544" s="4">
        <v>320.3</v>
      </c>
      <c r="C544" s="4">
        <f t="shared" si="157"/>
        <v>4.993037062344912E-2</v>
      </c>
    </row>
    <row r="545" spans="1:3" s="4" customFormat="1" x14ac:dyDescent="0.3">
      <c r="A545" s="3">
        <v>43318</v>
      </c>
      <c r="B545" s="4">
        <v>304.7</v>
      </c>
      <c r="C545" s="4">
        <f t="shared" si="157"/>
        <v>-1.3119057309607532E-3</v>
      </c>
    </row>
    <row r="546" spans="1:3" s="4" customFormat="1" x14ac:dyDescent="0.3">
      <c r="A546" s="3">
        <v>43319</v>
      </c>
      <c r="B546" s="4">
        <v>305.10000000000002</v>
      </c>
      <c r="C546" s="4">
        <f t="shared" si="157"/>
        <v>-6.5338357241527039E-3</v>
      </c>
    </row>
    <row r="547" spans="1:3" s="4" customFormat="1" x14ac:dyDescent="0.3">
      <c r="A547" s="3">
        <v>43320</v>
      </c>
      <c r="B547" s="4">
        <v>307.10000000000002</v>
      </c>
      <c r="C547" s="4">
        <f t="shared" si="157"/>
        <v>1.278077367856012E-2</v>
      </c>
    </row>
    <row r="548" spans="1:3" s="4" customFormat="1" x14ac:dyDescent="0.3">
      <c r="A548" s="3">
        <v>43321</v>
      </c>
      <c r="B548" s="4">
        <v>303.2</v>
      </c>
      <c r="C548" s="4">
        <f t="shared" si="157"/>
        <v>-5.4271985856086009E-3</v>
      </c>
    </row>
    <row r="549" spans="1:3" s="4" customFormat="1" x14ac:dyDescent="0.3">
      <c r="A549" s="3">
        <v>43322</v>
      </c>
      <c r="B549" s="4">
        <v>304.85000000000002</v>
      </c>
      <c r="C549" s="4">
        <f t="shared" si="157"/>
        <v>1.5537502655973196E-2</v>
      </c>
    </row>
    <row r="550" spans="1:3" s="4" customFormat="1" x14ac:dyDescent="0.3">
      <c r="A550" s="3">
        <v>43323</v>
      </c>
      <c r="B550" s="4">
        <v>300.14999999999998</v>
      </c>
      <c r="C550" s="4">
        <f t="shared" si="157"/>
        <v>8.3326394288872152E-4</v>
      </c>
    </row>
    <row r="551" spans="1:3" s="4" customFormat="1" x14ac:dyDescent="0.3">
      <c r="A551" s="3">
        <v>43324</v>
      </c>
      <c r="B551" s="4">
        <v>299.89999999999998</v>
      </c>
      <c r="C551" s="4">
        <f t="shared" si="157"/>
        <v>-4.195506359205723E-2</v>
      </c>
    </row>
    <row r="552" spans="1:3" s="4" customFormat="1" x14ac:dyDescent="0.3">
      <c r="A552" s="3">
        <v>43325</v>
      </c>
      <c r="B552" s="4">
        <v>312.75</v>
      </c>
      <c r="C552" s="4">
        <f t="shared" si="157"/>
        <v>-7.9618254980083902E-3</v>
      </c>
    </row>
    <row r="553" spans="1:3" s="4" customFormat="1" x14ac:dyDescent="0.3">
      <c r="A553" s="3">
        <v>43326</v>
      </c>
      <c r="B553" s="4">
        <v>315.25</v>
      </c>
      <c r="C553" s="4">
        <f t="shared" si="157"/>
        <v>3.9729889367755991E-3</v>
      </c>
    </row>
    <row r="554" spans="1:3" s="4" customFormat="1" x14ac:dyDescent="0.3">
      <c r="A554" s="3">
        <v>43327</v>
      </c>
      <c r="B554" s="4">
        <v>314</v>
      </c>
      <c r="C554" s="4">
        <f t="shared" si="157"/>
        <v>6.87068293612173E-3</v>
      </c>
    </row>
    <row r="555" spans="1:3" s="4" customFormat="1" x14ac:dyDescent="0.3">
      <c r="A555" s="3">
        <v>43328</v>
      </c>
      <c r="B555" s="4">
        <v>311.85000000000002</v>
      </c>
      <c r="C555" s="4">
        <f t="shared" si="157"/>
        <v>6.7567824628799074E-3</v>
      </c>
    </row>
    <row r="556" spans="1:3" s="4" customFormat="1" x14ac:dyDescent="0.3">
      <c r="A556" s="3">
        <v>43329</v>
      </c>
      <c r="B556" s="4">
        <v>309.75</v>
      </c>
      <c r="C556" s="4">
        <f t="shared" si="157"/>
        <v>7.1278448548745673E-3</v>
      </c>
    </row>
    <row r="557" spans="1:3" s="4" customFormat="1" x14ac:dyDescent="0.3">
      <c r="A557" s="3">
        <v>43330</v>
      </c>
      <c r="B557" s="4">
        <v>307.55</v>
      </c>
      <c r="C557" s="4">
        <f t="shared" si="157"/>
        <v>-3.2509753212190356E-4</v>
      </c>
    </row>
    <row r="558" spans="1:3" s="4" customFormat="1" x14ac:dyDescent="0.3">
      <c r="A558" s="3">
        <v>43331</v>
      </c>
      <c r="B558" s="4">
        <v>307.64999999999998</v>
      </c>
      <c r="C558" s="4">
        <f t="shared" si="157"/>
        <v>6.194998619217607E-3</v>
      </c>
    </row>
    <row r="559" spans="1:3" s="4" customFormat="1" x14ac:dyDescent="0.3">
      <c r="A559" s="3">
        <v>43332</v>
      </c>
      <c r="B559" s="4">
        <v>305.75</v>
      </c>
      <c r="C559" s="4">
        <f t="shared" si="157"/>
        <v>0</v>
      </c>
    </row>
    <row r="560" spans="1:3" s="4" customFormat="1" x14ac:dyDescent="0.3">
      <c r="A560" s="3">
        <v>43333</v>
      </c>
      <c r="B560" s="4">
        <v>305.75</v>
      </c>
      <c r="C560" s="4">
        <f t="shared" si="157"/>
        <v>-4.7312267062352906E-3</v>
      </c>
    </row>
    <row r="561" spans="1:3" s="4" customFormat="1" x14ac:dyDescent="0.3">
      <c r="A561" s="3">
        <v>43334</v>
      </c>
      <c r="B561" s="4">
        <v>307.2</v>
      </c>
      <c r="C561" s="4">
        <f t="shared" si="157"/>
        <v>-1.6262810544790309E-3</v>
      </c>
    </row>
    <row r="562" spans="1:3" s="4" customFormat="1" x14ac:dyDescent="0.3">
      <c r="A562" s="3">
        <v>43335</v>
      </c>
      <c r="B562" s="4">
        <v>307.7</v>
      </c>
      <c r="C562" s="4">
        <f t="shared" si="157"/>
        <v>1.1604281561281937E-2</v>
      </c>
    </row>
    <row r="563" spans="1:3" s="4" customFormat="1" x14ac:dyDescent="0.3">
      <c r="A563" s="3">
        <v>43336</v>
      </c>
      <c r="B563" s="4">
        <v>304.14999999999998</v>
      </c>
      <c r="C563" s="4">
        <f t="shared" si="157"/>
        <v>-9.6524266800625206E-3</v>
      </c>
    </row>
    <row r="564" spans="1:3" s="4" customFormat="1" x14ac:dyDescent="0.3">
      <c r="A564" s="3">
        <v>43337</v>
      </c>
      <c r="B564" s="4">
        <v>307.10000000000002</v>
      </c>
      <c r="C564" s="4">
        <f t="shared" si="157"/>
        <v>1.7574567469135882E-2</v>
      </c>
    </row>
    <row r="565" spans="1:3" s="4" customFormat="1" x14ac:dyDescent="0.3">
      <c r="A565" s="3">
        <v>43338</v>
      </c>
      <c r="B565" s="4">
        <v>301.75</v>
      </c>
      <c r="C565" s="4">
        <f t="shared" si="157"/>
        <v>2.0591670903594071E-2</v>
      </c>
    </row>
    <row r="566" spans="1:3" s="4" customFormat="1" x14ac:dyDescent="0.3">
      <c r="A566" s="3">
        <v>43339</v>
      </c>
      <c r="B566" s="4">
        <v>295.60000000000002</v>
      </c>
      <c r="C566" s="4">
        <f t="shared" si="157"/>
        <v>-4.9337729931265215E-2</v>
      </c>
    </row>
    <row r="567" spans="1:3" s="4" customFormat="1" x14ac:dyDescent="0.3">
      <c r="A567" s="3">
        <v>43340</v>
      </c>
      <c r="B567" s="4">
        <v>310.55</v>
      </c>
      <c r="C567" s="4">
        <f t="shared" si="157"/>
        <v>-2.5727623131490151E-3</v>
      </c>
    </row>
    <row r="568" spans="1:3" s="4" customFormat="1" x14ac:dyDescent="0.3">
      <c r="A568" s="3">
        <v>43341</v>
      </c>
      <c r="B568" s="4">
        <v>311.35000000000002</v>
      </c>
      <c r="C568" s="4">
        <f t="shared" si="157"/>
        <v>-8.634527581928798E-3</v>
      </c>
    </row>
    <row r="569" spans="1:3" s="4" customFormat="1" x14ac:dyDescent="0.3">
      <c r="A569" s="3">
        <v>43342</v>
      </c>
      <c r="B569" s="4">
        <v>314.05</v>
      </c>
      <c r="C569" s="4">
        <f t="shared" si="157"/>
        <v>-6.031764319074426E-3</v>
      </c>
    </row>
    <row r="570" spans="1:3" s="4" customFormat="1" x14ac:dyDescent="0.3">
      <c r="A570" s="3">
        <v>43343</v>
      </c>
      <c r="B570" s="4">
        <v>315.95</v>
      </c>
      <c r="C570" s="4">
        <f t="shared" si="157"/>
        <v>3.0203099010767322E-2</v>
      </c>
    </row>
    <row r="571" spans="1:3" s="4" customFormat="1" x14ac:dyDescent="0.3">
      <c r="A571" s="3">
        <v>43344</v>
      </c>
      <c r="B571" s="4">
        <v>306.55</v>
      </c>
      <c r="C571" s="4">
        <f t="shared" si="157"/>
        <v>-2.0502776466139374E-2</v>
      </c>
    </row>
    <row r="572" spans="1:3" s="4" customFormat="1" x14ac:dyDescent="0.3">
      <c r="A572" s="3">
        <v>43345</v>
      </c>
      <c r="B572" s="4">
        <v>312.89999999999998</v>
      </c>
      <c r="C572" s="4">
        <f t="shared" si="157"/>
        <v>-1.4751635574147519E-2</v>
      </c>
    </row>
    <row r="573" spans="1:3" s="4" customFormat="1" x14ac:dyDescent="0.3">
      <c r="A573" s="3">
        <v>43346</v>
      </c>
      <c r="B573" s="4">
        <v>317.55</v>
      </c>
      <c r="C573" s="4">
        <f t="shared" si="157"/>
        <v>-8.6227703661286483E-3</v>
      </c>
    </row>
    <row r="574" spans="1:3" s="4" customFormat="1" x14ac:dyDescent="0.3">
      <c r="A574" s="3">
        <v>43347</v>
      </c>
      <c r="B574" s="4">
        <v>320.3</v>
      </c>
      <c r="C574" s="4">
        <f t="shared" si="157"/>
        <v>7.3639189016956692E-3</v>
      </c>
    </row>
    <row r="575" spans="1:3" s="4" customFormat="1" x14ac:dyDescent="0.3">
      <c r="A575" s="3">
        <v>43348</v>
      </c>
      <c r="B575" s="4">
        <v>317.95</v>
      </c>
      <c r="C575" s="4">
        <f t="shared" si="157"/>
        <v>-2.3560837098739592E-3</v>
      </c>
    </row>
    <row r="576" spans="1:3" s="4" customFormat="1" x14ac:dyDescent="0.3">
      <c r="A576" s="3">
        <v>43349</v>
      </c>
      <c r="B576" s="4">
        <v>318.7</v>
      </c>
      <c r="C576" s="4">
        <f t="shared" si="157"/>
        <v>-2.8199924688289261E-3</v>
      </c>
    </row>
    <row r="577" spans="1:3" s="4" customFormat="1" x14ac:dyDescent="0.3">
      <c r="A577" s="3">
        <v>43350</v>
      </c>
      <c r="B577" s="4">
        <v>319.60000000000002</v>
      </c>
      <c r="C577" s="4">
        <f t="shared" si="157"/>
        <v>-5.6162394112925229E-3</v>
      </c>
    </row>
    <row r="578" spans="1:3" s="4" customFormat="1" x14ac:dyDescent="0.3">
      <c r="A578" s="3">
        <v>43351</v>
      </c>
      <c r="B578" s="4">
        <v>321.39999999999998</v>
      </c>
      <c r="C578" s="4">
        <f t="shared" si="157"/>
        <v>4.959166761483829E-2</v>
      </c>
    </row>
    <row r="579" spans="1:3" s="4" customFormat="1" x14ac:dyDescent="0.3">
      <c r="A579" s="3">
        <v>43352</v>
      </c>
      <c r="B579" s="4">
        <v>305.85000000000002</v>
      </c>
      <c r="C579" s="4">
        <f t="shared" ref="C579:C642" si="158">LN(B579/B580)</f>
        <v>-1.3069761703628157E-3</v>
      </c>
    </row>
    <row r="580" spans="1:3" s="4" customFormat="1" x14ac:dyDescent="0.3">
      <c r="A580" s="3">
        <v>43353</v>
      </c>
      <c r="B580" s="4">
        <v>306.25</v>
      </c>
      <c r="C580" s="4">
        <f t="shared" si="158"/>
        <v>5.8948918043536325E-3</v>
      </c>
    </row>
    <row r="581" spans="1:3" s="4" customFormat="1" x14ac:dyDescent="0.3">
      <c r="A581" s="3">
        <v>43354</v>
      </c>
      <c r="B581" s="4">
        <v>304.45</v>
      </c>
      <c r="C581" s="4">
        <f t="shared" si="158"/>
        <v>-1.4348852087325205E-2</v>
      </c>
    </row>
    <row r="582" spans="1:3" s="4" customFormat="1" x14ac:dyDescent="0.3">
      <c r="A582" s="3">
        <v>43355</v>
      </c>
      <c r="B582" s="4">
        <v>308.85000000000002</v>
      </c>
      <c r="C582" s="4">
        <f t="shared" si="158"/>
        <v>1.0905943530258262E-2</v>
      </c>
    </row>
    <row r="583" spans="1:3" s="4" customFormat="1" x14ac:dyDescent="0.3">
      <c r="A583" s="3">
        <v>43356</v>
      </c>
      <c r="B583" s="4">
        <v>305.5</v>
      </c>
      <c r="C583" s="4">
        <f t="shared" si="158"/>
        <v>2.7880996143087949E-2</v>
      </c>
    </row>
    <row r="584" spans="1:3" s="4" customFormat="1" x14ac:dyDescent="0.3">
      <c r="A584" s="3">
        <v>43357</v>
      </c>
      <c r="B584" s="4">
        <v>297.10000000000002</v>
      </c>
      <c r="C584" s="4">
        <f t="shared" si="158"/>
        <v>2.0573708750817578E-2</v>
      </c>
    </row>
    <row r="585" spans="1:3" s="4" customFormat="1" x14ac:dyDescent="0.3">
      <c r="A585" s="3">
        <v>43358</v>
      </c>
      <c r="B585" s="4">
        <v>291.05</v>
      </c>
      <c r="C585" s="4">
        <f t="shared" si="158"/>
        <v>-1.2038565881659843E-2</v>
      </c>
    </row>
    <row r="586" spans="1:3" s="4" customFormat="1" x14ac:dyDescent="0.3">
      <c r="A586" s="3">
        <v>43359</v>
      </c>
      <c r="B586" s="4">
        <v>294.57499999999999</v>
      </c>
      <c r="C586" s="4">
        <f t="shared" si="158"/>
        <v>1.7498114498933112E-3</v>
      </c>
    </row>
    <row r="587" spans="1:3" s="4" customFormat="1" x14ac:dyDescent="0.3">
      <c r="A587" s="3">
        <v>43360</v>
      </c>
      <c r="B587" s="4">
        <v>294.06</v>
      </c>
      <c r="C587" s="4">
        <f t="shared" si="158"/>
        <v>5.3342952719130497E-2</v>
      </c>
    </row>
    <row r="588" spans="1:3" s="4" customFormat="1" x14ac:dyDescent="0.3">
      <c r="A588" s="3">
        <v>43361</v>
      </c>
      <c r="B588" s="4">
        <v>278.78500000000003</v>
      </c>
      <c r="C588" s="4">
        <f t="shared" si="158"/>
        <v>2.4896195196510606E-2</v>
      </c>
    </row>
    <row r="589" spans="1:3" s="4" customFormat="1" x14ac:dyDescent="0.3">
      <c r="A589" s="3">
        <v>43362</v>
      </c>
      <c r="B589" s="4">
        <v>271.93</v>
      </c>
      <c r="C589" s="4">
        <f t="shared" si="158"/>
        <v>-9.7890212372176658E-3</v>
      </c>
    </row>
    <row r="590" spans="1:3" s="4" customFormat="1" x14ac:dyDescent="0.3">
      <c r="A590" s="3">
        <v>43363</v>
      </c>
      <c r="B590" s="4">
        <v>274.60500000000002</v>
      </c>
      <c r="C590" s="4">
        <f t="shared" si="158"/>
        <v>2.0778660144449663E-3</v>
      </c>
    </row>
    <row r="591" spans="1:3" s="4" customFormat="1" x14ac:dyDescent="0.3">
      <c r="A591" s="3">
        <v>43364</v>
      </c>
      <c r="B591" s="4">
        <v>274.03500000000003</v>
      </c>
      <c r="C591" s="4">
        <f t="shared" si="158"/>
        <v>3.1022747221813639E-4</v>
      </c>
    </row>
    <row r="592" spans="1:3" s="4" customFormat="1" x14ac:dyDescent="0.3">
      <c r="A592" s="3">
        <v>43365</v>
      </c>
      <c r="B592" s="4">
        <v>273.95</v>
      </c>
      <c r="C592" s="4">
        <f t="shared" si="158"/>
        <v>-1.0944911709148992E-3</v>
      </c>
    </row>
    <row r="593" spans="1:3" s="4" customFormat="1" x14ac:dyDescent="0.3">
      <c r="A593" s="3">
        <v>43366</v>
      </c>
      <c r="B593" s="4">
        <v>274.25</v>
      </c>
      <c r="C593" s="4">
        <f t="shared" si="158"/>
        <v>-1.4264234324904704E-2</v>
      </c>
    </row>
    <row r="594" spans="1:3" s="4" customFormat="1" x14ac:dyDescent="0.3">
      <c r="A594" s="3">
        <v>43367</v>
      </c>
      <c r="B594" s="4">
        <v>278.19</v>
      </c>
      <c r="C594" s="4">
        <f t="shared" si="158"/>
        <v>0</v>
      </c>
    </row>
    <row r="595" spans="1:3" s="4" customFormat="1" x14ac:dyDescent="0.3">
      <c r="A595" s="3">
        <v>43368</v>
      </c>
      <c r="B595" s="4">
        <v>278.19</v>
      </c>
      <c r="C595" s="4">
        <f t="shared" si="158"/>
        <v>2.1234688548660261E-2</v>
      </c>
    </row>
    <row r="596" spans="1:3" s="4" customFormat="1" x14ac:dyDescent="0.3">
      <c r="A596" s="3">
        <v>43369</v>
      </c>
      <c r="B596" s="4">
        <v>272.34500000000003</v>
      </c>
      <c r="C596" s="4">
        <f t="shared" si="158"/>
        <v>0</v>
      </c>
    </row>
    <row r="597" spans="1:3" s="4" customFormat="1" x14ac:dyDescent="0.3">
      <c r="A597" s="3">
        <v>43370</v>
      </c>
      <c r="B597" s="4">
        <v>272.34500000000003</v>
      </c>
      <c r="C597" s="4">
        <f t="shared" si="158"/>
        <v>7.6111862476103097E-3</v>
      </c>
    </row>
    <row r="598" spans="1:3" s="4" customFormat="1" x14ac:dyDescent="0.3">
      <c r="A598" s="3">
        <v>43371</v>
      </c>
      <c r="B598" s="4">
        <v>270.27999999999997</v>
      </c>
      <c r="C598" s="4">
        <f t="shared" si="158"/>
        <v>-2.2783178366857797</v>
      </c>
    </row>
    <row r="599" spans="1:3" s="4" customFormat="1" x14ac:dyDescent="0.3">
      <c r="A599" s="3">
        <v>43372</v>
      </c>
      <c r="B599" s="4">
        <v>2637.9998999999998</v>
      </c>
      <c r="C599" s="4">
        <f t="shared" si="158"/>
        <v>-2.1773474248346718E-3</v>
      </c>
    </row>
    <row r="600" spans="1:3" s="4" customFormat="1" x14ac:dyDescent="0.3">
      <c r="A600" s="3">
        <v>43373</v>
      </c>
      <c r="B600" s="4">
        <v>2643.75</v>
      </c>
      <c r="C600" s="4">
        <f t="shared" si="158"/>
        <v>-4.9051698182419863E-3</v>
      </c>
    </row>
    <row r="601" spans="1:3" s="4" customFormat="1" x14ac:dyDescent="0.3">
      <c r="A601" s="3">
        <v>43374</v>
      </c>
      <c r="B601" s="4">
        <v>2656.7498999999998</v>
      </c>
      <c r="C601" s="4">
        <f t="shared" si="158"/>
        <v>2.243860063964645E-2</v>
      </c>
    </row>
    <row r="602" spans="1:3" s="4" customFormat="1" x14ac:dyDescent="0.3">
      <c r="A602" s="3">
        <v>43375</v>
      </c>
      <c r="B602" s="4">
        <v>2597.8000000000002</v>
      </c>
      <c r="C602" s="4">
        <f t="shared" si="158"/>
        <v>7.4376687698228423E-3</v>
      </c>
    </row>
    <row r="603" spans="1:3" s="4" customFormat="1" x14ac:dyDescent="0.3">
      <c r="A603" s="3">
        <v>43376</v>
      </c>
      <c r="B603" s="4">
        <v>2578.5500999999999</v>
      </c>
      <c r="C603" s="4">
        <f t="shared" si="158"/>
        <v>0</v>
      </c>
    </row>
    <row r="604" spans="1:3" s="4" customFormat="1" x14ac:dyDescent="0.3">
      <c r="A604" s="3">
        <v>43377</v>
      </c>
      <c r="B604" s="4">
        <v>2578.5500999999999</v>
      </c>
      <c r="C604" s="4">
        <f t="shared" si="158"/>
        <v>1.2806862707403876E-3</v>
      </c>
    </row>
    <row r="605" spans="1:3" s="4" customFormat="1" x14ac:dyDescent="0.3">
      <c r="A605" s="3">
        <v>43378</v>
      </c>
      <c r="B605" s="4">
        <v>2575.2498999999998</v>
      </c>
      <c r="C605" s="4">
        <f t="shared" si="158"/>
        <v>-3.450094518109756E-3</v>
      </c>
    </row>
    <row r="606" spans="1:3" s="4" customFormat="1" x14ac:dyDescent="0.3">
      <c r="A606" s="3">
        <v>43379</v>
      </c>
      <c r="B606" s="4">
        <v>2584.1500999999998</v>
      </c>
      <c r="C606" s="4">
        <f t="shared" si="158"/>
        <v>5.704765327665012E-3</v>
      </c>
    </row>
    <row r="607" spans="1:3" s="4" customFormat="1" x14ac:dyDescent="0.3">
      <c r="A607" s="3">
        <v>43380</v>
      </c>
      <c r="B607" s="4">
        <v>2569.4501</v>
      </c>
      <c r="C607" s="4">
        <f t="shared" si="158"/>
        <v>1.8679321454903721E-2</v>
      </c>
    </row>
    <row r="608" spans="1:3" s="4" customFormat="1" x14ac:dyDescent="0.3">
      <c r="A608" s="3">
        <v>43381</v>
      </c>
      <c r="B608" s="4">
        <v>2521.9</v>
      </c>
      <c r="C608" s="4">
        <f t="shared" si="158"/>
        <v>2.2252988096220967E-2</v>
      </c>
    </row>
    <row r="609" spans="1:3" s="4" customFormat="1" x14ac:dyDescent="0.3">
      <c r="A609" s="3">
        <v>43382</v>
      </c>
      <c r="B609" s="4">
        <v>2466.4</v>
      </c>
      <c r="C609" s="4">
        <f t="shared" si="158"/>
        <v>-2.2907042762829798E-2</v>
      </c>
    </row>
    <row r="610" spans="1:3" s="4" customFormat="1" x14ac:dyDescent="0.3">
      <c r="A610" s="3">
        <v>43383</v>
      </c>
      <c r="B610" s="4">
        <v>2523.5500000000002</v>
      </c>
      <c r="C610" s="4">
        <f t="shared" si="158"/>
        <v>0</v>
      </c>
    </row>
    <row r="611" spans="1:3" s="4" customFormat="1" x14ac:dyDescent="0.3">
      <c r="A611" s="3">
        <v>43384</v>
      </c>
      <c r="B611" s="4">
        <v>2523.5500000000002</v>
      </c>
      <c r="C611" s="4">
        <f t="shared" si="158"/>
        <v>1.5212910679111281E-2</v>
      </c>
    </row>
    <row r="612" spans="1:3" s="4" customFormat="1" x14ac:dyDescent="0.3">
      <c r="A612" s="3">
        <v>43385</v>
      </c>
      <c r="B612" s="4">
        <v>2485.4499999999998</v>
      </c>
      <c r="C612" s="4">
        <f t="shared" si="158"/>
        <v>1.3876029109387121E-2</v>
      </c>
    </row>
    <row r="613" spans="1:3" s="4" customFormat="1" x14ac:dyDescent="0.3">
      <c r="A613" s="3">
        <v>43386</v>
      </c>
      <c r="B613" s="4">
        <v>2451.1999999999998</v>
      </c>
      <c r="C613" s="4">
        <f t="shared" si="158"/>
        <v>-1.1499391535517016E-2</v>
      </c>
    </row>
    <row r="614" spans="1:3" s="4" customFormat="1" x14ac:dyDescent="0.3">
      <c r="A614" s="3">
        <v>43387</v>
      </c>
      <c r="B614" s="4">
        <v>2479.5500000000002</v>
      </c>
      <c r="C614" s="4">
        <f t="shared" si="158"/>
        <v>2.7931806861850365E-2</v>
      </c>
    </row>
    <row r="615" spans="1:3" s="4" customFormat="1" x14ac:dyDescent="0.3">
      <c r="A615" s="3">
        <v>43388</v>
      </c>
      <c r="B615" s="4">
        <v>2411.25</v>
      </c>
      <c r="C615" s="4">
        <f t="shared" si="158"/>
        <v>1.8775472263403533E-2</v>
      </c>
    </row>
    <row r="616" spans="1:3" s="4" customFormat="1" x14ac:dyDescent="0.3">
      <c r="A616" s="3">
        <v>43389</v>
      </c>
      <c r="B616" s="4">
        <v>2366.4</v>
      </c>
      <c r="C616" s="4">
        <f t="shared" si="158"/>
        <v>-2.3781108723551655E-2</v>
      </c>
    </row>
    <row r="617" spans="1:3" s="4" customFormat="1" x14ac:dyDescent="0.3">
      <c r="A617" s="3">
        <v>43390</v>
      </c>
      <c r="B617" s="4">
        <v>2423.3501000000001</v>
      </c>
      <c r="C617" s="4">
        <f t="shared" si="158"/>
        <v>0</v>
      </c>
    </row>
    <row r="618" spans="1:3" s="4" customFormat="1" x14ac:dyDescent="0.3">
      <c r="A618" s="3">
        <v>43391</v>
      </c>
      <c r="B618" s="4">
        <v>2423.3501000000001</v>
      </c>
      <c r="C618" s="4">
        <f t="shared" si="158"/>
        <v>0</v>
      </c>
    </row>
    <row r="619" spans="1:3" s="4" customFormat="1" x14ac:dyDescent="0.3">
      <c r="A619" s="3">
        <v>43392</v>
      </c>
      <c r="B619" s="4">
        <v>2423.3501000000001</v>
      </c>
      <c r="C619" s="4">
        <f t="shared" si="158"/>
        <v>0</v>
      </c>
    </row>
    <row r="620" spans="1:3" s="4" customFormat="1" x14ac:dyDescent="0.3">
      <c r="A620" s="3">
        <v>43393</v>
      </c>
      <c r="B620" s="4">
        <v>2423.3501000000001</v>
      </c>
      <c r="C620" s="4">
        <f t="shared" si="158"/>
        <v>-9.1804997098665301E-3</v>
      </c>
    </row>
    <row r="621" spans="1:3" s="4" customFormat="1" x14ac:dyDescent="0.3">
      <c r="A621" s="3">
        <v>43394</v>
      </c>
      <c r="B621" s="4">
        <v>2445.7001</v>
      </c>
      <c r="C621" s="4">
        <f t="shared" si="158"/>
        <v>-1.6341466717389305E-3</v>
      </c>
    </row>
    <row r="622" spans="1:3" s="4" customFormat="1" x14ac:dyDescent="0.3">
      <c r="A622" s="3">
        <v>43395</v>
      </c>
      <c r="B622" s="4">
        <v>2449.6999999999998</v>
      </c>
      <c r="C622" s="4">
        <f t="shared" si="158"/>
        <v>1.8182417867049282E-3</v>
      </c>
    </row>
    <row r="623" spans="1:3" s="4" customFormat="1" x14ac:dyDescent="0.3">
      <c r="A623" s="3">
        <v>43396</v>
      </c>
      <c r="B623" s="4">
        <v>2445.2498999999998</v>
      </c>
      <c r="C623" s="4">
        <f t="shared" si="158"/>
        <v>2.8013692416630789E-2</v>
      </c>
    </row>
    <row r="624" spans="1:3" s="4" customFormat="1" x14ac:dyDescent="0.3">
      <c r="A624" s="3">
        <v>43397</v>
      </c>
      <c r="B624" s="4">
        <v>2377.6999999999998</v>
      </c>
      <c r="C624" s="4">
        <f t="shared" si="158"/>
        <v>-4.4682097498065912E-2</v>
      </c>
    </row>
    <row r="625" spans="1:3" s="4" customFormat="1" x14ac:dyDescent="0.3">
      <c r="A625" s="3">
        <v>43398</v>
      </c>
      <c r="B625" s="4">
        <v>2486.3499000000002</v>
      </c>
      <c r="C625" s="4">
        <f t="shared" si="158"/>
        <v>-2.7706049341191367E-2</v>
      </c>
    </row>
    <row r="626" spans="1:3" s="4" customFormat="1" x14ac:dyDescent="0.3">
      <c r="A626" s="3">
        <v>43399</v>
      </c>
      <c r="B626" s="4">
        <v>2556.1999999999998</v>
      </c>
      <c r="C626" s="4">
        <f t="shared" si="158"/>
        <v>-1.7585640529001949E-2</v>
      </c>
    </row>
    <row r="627" spans="1:3" s="4" customFormat="1" x14ac:dyDescent="0.3">
      <c r="A627" s="3">
        <v>43400</v>
      </c>
      <c r="B627" s="4">
        <v>2601.5500000000002</v>
      </c>
      <c r="C627" s="4">
        <f t="shared" si="158"/>
        <v>1.2980074357574957E-2</v>
      </c>
    </row>
    <row r="628" spans="1:3" s="4" customFormat="1" x14ac:dyDescent="0.3">
      <c r="A628" s="3">
        <v>43401</v>
      </c>
      <c r="B628" s="4">
        <v>2567.9998999999998</v>
      </c>
      <c r="C628" s="4">
        <f t="shared" si="158"/>
        <v>-2.0199669150792188E-2</v>
      </c>
    </row>
    <row r="629" spans="1:3" s="4" customFormat="1" x14ac:dyDescent="0.3">
      <c r="A629" s="3">
        <v>43402</v>
      </c>
      <c r="B629" s="4">
        <v>2620.4000999999998</v>
      </c>
      <c r="C629" s="4">
        <f t="shared" si="158"/>
        <v>2.2402248898543579E-2</v>
      </c>
    </row>
    <row r="630" spans="1:3" s="4" customFormat="1" x14ac:dyDescent="0.3">
      <c r="A630" s="3">
        <v>43403</v>
      </c>
      <c r="B630" s="4">
        <v>2562.3499000000002</v>
      </c>
      <c r="C630" s="4">
        <f t="shared" si="158"/>
        <v>-2.9269625886108795E-4</v>
      </c>
    </row>
    <row r="631" spans="1:3" s="4" customFormat="1" x14ac:dyDescent="0.3">
      <c r="A631" s="3">
        <v>43404</v>
      </c>
      <c r="B631" s="4">
        <v>2563.1</v>
      </c>
      <c r="C631" s="4">
        <f t="shared" si="158"/>
        <v>-2.3196581778521023E-2</v>
      </c>
    </row>
    <row r="632" spans="1:3" s="4" customFormat="1" x14ac:dyDescent="0.3">
      <c r="A632" s="3">
        <v>43405</v>
      </c>
      <c r="B632" s="4">
        <v>2623.2501000000002</v>
      </c>
      <c r="C632" s="4">
        <f t="shared" si="158"/>
        <v>-2.7219187202199954E-3</v>
      </c>
    </row>
    <row r="633" spans="1:3" s="4" customFormat="1" x14ac:dyDescent="0.3">
      <c r="A633" s="3">
        <v>43406</v>
      </c>
      <c r="B633" s="4">
        <v>2630.4000999999998</v>
      </c>
      <c r="C633" s="4">
        <f t="shared" si="158"/>
        <v>1.043292141133805E-2</v>
      </c>
    </row>
    <row r="634" spans="1:3" s="4" customFormat="1" x14ac:dyDescent="0.3">
      <c r="A634" s="3">
        <v>43407</v>
      </c>
      <c r="B634" s="4">
        <v>2603.1</v>
      </c>
      <c r="C634" s="4">
        <f t="shared" si="158"/>
        <v>2.0629291350455426E-2</v>
      </c>
    </row>
    <row r="635" spans="1:3" s="4" customFormat="1" x14ac:dyDescent="0.3">
      <c r="A635" s="3">
        <v>43408</v>
      </c>
      <c r="B635" s="4">
        <v>2549.9499999999998</v>
      </c>
      <c r="C635" s="4">
        <f t="shared" si="158"/>
        <v>-6.8004484382112726E-3</v>
      </c>
    </row>
    <row r="636" spans="1:3" s="4" customFormat="1" x14ac:dyDescent="0.3">
      <c r="A636" s="3">
        <v>43409</v>
      </c>
      <c r="B636" s="4">
        <v>2567.3499000000002</v>
      </c>
      <c r="C636" s="4">
        <f t="shared" si="158"/>
        <v>5.6490530046384747E-4</v>
      </c>
    </row>
    <row r="637" spans="1:3" s="4" customFormat="1" x14ac:dyDescent="0.3">
      <c r="A637" s="3">
        <v>43410</v>
      </c>
      <c r="B637" s="4">
        <v>2565.9</v>
      </c>
      <c r="C637" s="4">
        <f t="shared" si="158"/>
        <v>1.9738324441403044E-2</v>
      </c>
    </row>
    <row r="638" spans="1:3" s="4" customFormat="1" x14ac:dyDescent="0.3">
      <c r="A638" s="3">
        <v>43411</v>
      </c>
      <c r="B638" s="4">
        <v>2515.75</v>
      </c>
      <c r="C638" s="4">
        <f t="shared" si="158"/>
        <v>1.1835600448013579E-2</v>
      </c>
    </row>
    <row r="639" spans="1:3" s="4" customFormat="1" x14ac:dyDescent="0.3">
      <c r="A639" s="3">
        <v>43412</v>
      </c>
      <c r="B639" s="4">
        <v>2486.1500999999998</v>
      </c>
      <c r="C639" s="4">
        <f t="shared" si="158"/>
        <v>-7.5533651535361788E-3</v>
      </c>
    </row>
    <row r="640" spans="1:3" s="4" customFormat="1" x14ac:dyDescent="0.3">
      <c r="A640" s="3">
        <v>43413</v>
      </c>
      <c r="B640" s="4">
        <v>2505</v>
      </c>
      <c r="C640" s="4">
        <f t="shared" si="158"/>
        <v>-6.7635030058996702E-3</v>
      </c>
    </row>
    <row r="641" spans="1:3" s="4" customFormat="1" x14ac:dyDescent="0.3">
      <c r="A641" s="3">
        <v>43414</v>
      </c>
      <c r="B641" s="4">
        <v>2522</v>
      </c>
      <c r="C641" s="4">
        <f t="shared" si="158"/>
        <v>7.0230177148532238E-3</v>
      </c>
    </row>
    <row r="642" spans="1:3" s="4" customFormat="1" x14ac:dyDescent="0.3">
      <c r="A642" s="3">
        <v>43415</v>
      </c>
      <c r="B642" s="4">
        <v>2504.35</v>
      </c>
      <c r="C642" s="4">
        <f t="shared" si="158"/>
        <v>1.7583316876715455E-2</v>
      </c>
    </row>
    <row r="643" spans="1:3" s="4" customFormat="1" x14ac:dyDescent="0.3">
      <c r="A643" s="3">
        <v>43416</v>
      </c>
      <c r="B643" s="4">
        <v>2460.7001</v>
      </c>
      <c r="C643" s="4">
        <f t="shared" ref="C643:C706" si="159">LN(B643/B644)</f>
        <v>0</v>
      </c>
    </row>
    <row r="644" spans="1:3" s="4" customFormat="1" x14ac:dyDescent="0.3">
      <c r="A644" s="3">
        <v>43417</v>
      </c>
      <c r="B644" s="4">
        <v>2460.7001</v>
      </c>
      <c r="C644" s="4">
        <f t="shared" si="159"/>
        <v>-1.7842831585668916E-2</v>
      </c>
    </row>
    <row r="645" spans="1:3" s="4" customFormat="1" x14ac:dyDescent="0.3">
      <c r="A645" s="3">
        <v>43418</v>
      </c>
      <c r="B645" s="4">
        <v>2505</v>
      </c>
      <c r="C645" s="4">
        <f t="shared" si="159"/>
        <v>3.5992439655449979E-3</v>
      </c>
    </row>
    <row r="646" spans="1:3" s="4" customFormat="1" x14ac:dyDescent="0.3">
      <c r="A646" s="3">
        <v>43419</v>
      </c>
      <c r="B646" s="4">
        <v>2496.0001000000002</v>
      </c>
      <c r="C646" s="4">
        <f t="shared" si="159"/>
        <v>-4.0582603578871203E-3</v>
      </c>
    </row>
    <row r="647" spans="1:3" s="4" customFormat="1" x14ac:dyDescent="0.3">
      <c r="A647" s="3">
        <v>43420</v>
      </c>
      <c r="B647" s="4">
        <v>2506.1500999999998</v>
      </c>
      <c r="C647" s="4">
        <f t="shared" si="159"/>
        <v>-7.3744928582740888E-3</v>
      </c>
    </row>
    <row r="648" spans="1:3" s="4" customFormat="1" x14ac:dyDescent="0.3">
      <c r="A648" s="3">
        <v>43421</v>
      </c>
      <c r="B648" s="4">
        <v>2524.6999999999998</v>
      </c>
      <c r="C648" s="4">
        <f t="shared" si="159"/>
        <v>2.2896488242726307E-2</v>
      </c>
    </row>
    <row r="649" spans="1:3" s="4" customFormat="1" x14ac:dyDescent="0.3">
      <c r="A649" s="3">
        <v>43422</v>
      </c>
      <c r="B649" s="4">
        <v>2467.5500000000002</v>
      </c>
      <c r="C649" s="4">
        <f t="shared" si="159"/>
        <v>2.1629952055295977E-2</v>
      </c>
    </row>
    <row r="650" spans="1:3" s="4" customFormat="1" x14ac:dyDescent="0.3">
      <c r="A650" s="3">
        <v>43423</v>
      </c>
      <c r="B650" s="4">
        <v>2414.7501000000002</v>
      </c>
      <c r="C650" s="4">
        <f t="shared" si="159"/>
        <v>-1.1323983007341255E-2</v>
      </c>
    </row>
    <row r="651" spans="1:3" s="4" customFormat="1" x14ac:dyDescent="0.3">
      <c r="A651" s="3">
        <v>43424</v>
      </c>
      <c r="B651" s="4">
        <v>2442.2501000000002</v>
      </c>
      <c r="C651" s="4">
        <f t="shared" si="159"/>
        <v>8.6565014613681299E-3</v>
      </c>
    </row>
    <row r="652" spans="1:3" s="4" customFormat="1" x14ac:dyDescent="0.3">
      <c r="A652" s="3">
        <v>43425</v>
      </c>
      <c r="B652" s="4">
        <v>2421.1999999999998</v>
      </c>
      <c r="C652" s="4">
        <f t="shared" si="159"/>
        <v>2.4542904649634181E-2</v>
      </c>
    </row>
    <row r="653" spans="1:3" s="4" customFormat="1" x14ac:dyDescent="0.3">
      <c r="A653" s="3">
        <v>43426</v>
      </c>
      <c r="B653" s="4">
        <v>2362.5</v>
      </c>
      <c r="C653" s="4">
        <f t="shared" si="159"/>
        <v>0</v>
      </c>
    </row>
    <row r="654" spans="1:3" s="4" customFormat="1" x14ac:dyDescent="0.3">
      <c r="A654" s="3">
        <v>43427</v>
      </c>
      <c r="B654" s="4">
        <v>2362.5</v>
      </c>
      <c r="C654" s="4">
        <f t="shared" si="159"/>
        <v>-2.7264386162754064E-3</v>
      </c>
    </row>
    <row r="655" spans="1:3" s="4" customFormat="1" x14ac:dyDescent="0.3">
      <c r="A655" s="3">
        <v>43428</v>
      </c>
      <c r="B655" s="4">
        <v>2368.9499999999998</v>
      </c>
      <c r="C655" s="4">
        <f t="shared" si="159"/>
        <v>-2.5094541752798717E-2</v>
      </c>
    </row>
    <row r="656" spans="1:3" s="4" customFormat="1" x14ac:dyDescent="0.3">
      <c r="A656" s="3">
        <v>43429</v>
      </c>
      <c r="B656" s="4">
        <v>2429.1498999999999</v>
      </c>
      <c r="C656" s="4">
        <f t="shared" si="159"/>
        <v>6.0698014416581533E-3</v>
      </c>
    </row>
    <row r="657" spans="1:3" s="4" customFormat="1" x14ac:dyDescent="0.3">
      <c r="A657" s="3">
        <v>43430</v>
      </c>
      <c r="B657" s="4">
        <v>2414.4501</v>
      </c>
      <c r="C657" s="4">
        <f t="shared" si="159"/>
        <v>-1.4485144191415413E-3</v>
      </c>
    </row>
    <row r="658" spans="1:3" s="4" customFormat="1" x14ac:dyDescent="0.3">
      <c r="A658" s="3">
        <v>43431</v>
      </c>
      <c r="B658" s="4">
        <v>2417.9499999999998</v>
      </c>
      <c r="C658" s="4">
        <f t="shared" si="159"/>
        <v>-7.4783261758869018E-3</v>
      </c>
    </row>
    <row r="659" spans="1:3" s="4" customFormat="1" x14ac:dyDescent="0.3">
      <c r="A659" s="3">
        <v>43432</v>
      </c>
      <c r="B659" s="4">
        <v>2436.1</v>
      </c>
      <c r="C659" s="4">
        <f t="shared" si="159"/>
        <v>4.0515444071222949E-3</v>
      </c>
    </row>
    <row r="660" spans="1:3" s="4" customFormat="1" x14ac:dyDescent="0.3">
      <c r="A660" s="3">
        <v>43433</v>
      </c>
      <c r="B660" s="4">
        <v>2426.25</v>
      </c>
      <c r="C660" s="4">
        <f t="shared" si="159"/>
        <v>-1.9448997280420592E-2</v>
      </c>
    </row>
    <row r="661" spans="1:3" s="4" customFormat="1" x14ac:dyDescent="0.3">
      <c r="A661" s="3">
        <v>43434</v>
      </c>
      <c r="B661" s="4">
        <v>2473.9</v>
      </c>
      <c r="C661" s="4">
        <f t="shared" si="159"/>
        <v>5.0655590254042636E-3</v>
      </c>
    </row>
    <row r="662" spans="1:3" s="4" customFormat="1" x14ac:dyDescent="0.3">
      <c r="A662" s="3">
        <v>43435</v>
      </c>
      <c r="B662" s="4">
        <v>2461.4</v>
      </c>
      <c r="C662" s="4">
        <f t="shared" si="159"/>
        <v>9.880454363897161E-3</v>
      </c>
    </row>
    <row r="663" spans="1:3" s="4" customFormat="1" x14ac:dyDescent="0.3">
      <c r="A663" s="3">
        <v>43436</v>
      </c>
      <c r="B663" s="4">
        <v>2437.1999999999998</v>
      </c>
      <c r="C663" s="4">
        <f t="shared" si="159"/>
        <v>-8.4077561372018468E-4</v>
      </c>
    </row>
    <row r="664" spans="1:3" s="4" customFormat="1" x14ac:dyDescent="0.3">
      <c r="A664" s="3">
        <v>43437</v>
      </c>
      <c r="B664" s="4">
        <v>2439.25</v>
      </c>
      <c r="C664" s="4">
        <f t="shared" si="159"/>
        <v>-1.2325085992620118E-2</v>
      </c>
    </row>
    <row r="665" spans="1:3" s="4" customFormat="1" x14ac:dyDescent="0.3">
      <c r="A665" s="3">
        <v>43438</v>
      </c>
      <c r="B665" s="4">
        <v>2469.5</v>
      </c>
      <c r="C665" s="4">
        <f t="shared" si="159"/>
        <v>-8.1264373492790642E-3</v>
      </c>
    </row>
    <row r="666" spans="1:3" s="4" customFormat="1" x14ac:dyDescent="0.3">
      <c r="A666" s="3">
        <v>43439</v>
      </c>
      <c r="B666" s="4">
        <v>2489.65</v>
      </c>
      <c r="C666" s="4">
        <f t="shared" si="159"/>
        <v>0</v>
      </c>
    </row>
    <row r="667" spans="1:3" s="4" customFormat="1" x14ac:dyDescent="0.3">
      <c r="A667" s="3">
        <v>43440</v>
      </c>
      <c r="B667" s="4">
        <v>2489.65</v>
      </c>
      <c r="C667" s="4">
        <f t="shared" si="159"/>
        <v>-4.3685293386794858E-3</v>
      </c>
    </row>
    <row r="668" spans="1:3" s="4" customFormat="1" x14ac:dyDescent="0.3">
      <c r="A668" s="3">
        <v>43441</v>
      </c>
      <c r="B668" s="4">
        <v>2500.5499</v>
      </c>
      <c r="C668" s="4">
        <f t="shared" si="159"/>
        <v>-2.2363175294711993E-2</v>
      </c>
    </row>
    <row r="669" spans="1:3" s="4" customFormat="1" x14ac:dyDescent="0.3">
      <c r="A669" s="3">
        <v>43442</v>
      </c>
      <c r="B669" s="4">
        <v>2557.1001000000001</v>
      </c>
      <c r="C669" s="4">
        <f t="shared" si="159"/>
        <v>6.5719761680743359E-3</v>
      </c>
    </row>
    <row r="670" spans="1:3" s="4" customFormat="1" x14ac:dyDescent="0.3">
      <c r="A670" s="3">
        <v>43443</v>
      </c>
      <c r="B670" s="4">
        <v>2540.35</v>
      </c>
      <c r="C670" s="4">
        <f t="shared" si="159"/>
        <v>6.3776859707456958E-3</v>
      </c>
    </row>
    <row r="671" spans="1:3" s="4" customFormat="1" x14ac:dyDescent="0.3">
      <c r="A671" s="3">
        <v>43444</v>
      </c>
      <c r="B671" s="4">
        <v>2524.1999999999998</v>
      </c>
      <c r="C671" s="4">
        <f t="shared" si="159"/>
        <v>3.9620398354389192E-4</v>
      </c>
    </row>
    <row r="672" spans="1:3" s="4" customFormat="1" x14ac:dyDescent="0.3">
      <c r="A672" s="3">
        <v>43445</v>
      </c>
      <c r="B672" s="4">
        <v>2523.2001</v>
      </c>
      <c r="C672" s="4">
        <f t="shared" si="159"/>
        <v>-1.5455367605677409E-2</v>
      </c>
    </row>
    <row r="673" spans="1:3" s="4" customFormat="1" x14ac:dyDescent="0.3">
      <c r="A673" s="3">
        <v>43446</v>
      </c>
      <c r="B673" s="4">
        <v>2562.5</v>
      </c>
      <c r="C673" s="4">
        <f t="shared" si="159"/>
        <v>-1.5393149377196696E-2</v>
      </c>
    </row>
    <row r="674" spans="1:3" s="4" customFormat="1" x14ac:dyDescent="0.3">
      <c r="A674" s="3">
        <v>43447</v>
      </c>
      <c r="B674" s="4">
        <v>2602.2501000000002</v>
      </c>
      <c r="C674" s="4">
        <f t="shared" si="159"/>
        <v>1.1090186269484558E-2</v>
      </c>
    </row>
    <row r="675" spans="1:3" s="4" customFormat="1" x14ac:dyDescent="0.3">
      <c r="A675" s="3">
        <v>43448</v>
      </c>
      <c r="B675" s="4">
        <v>2573.5500999999999</v>
      </c>
      <c r="C675" s="4">
        <f t="shared" si="159"/>
        <v>2.1980280524547924E-2</v>
      </c>
    </row>
    <row r="676" spans="1:3" s="4" customFormat="1" x14ac:dyDescent="0.3">
      <c r="A676" s="3">
        <v>43449</v>
      </c>
      <c r="B676" s="4">
        <v>2517.5999000000002</v>
      </c>
      <c r="C676" s="4">
        <f t="shared" si="159"/>
        <v>4.3243689780821618E-2</v>
      </c>
    </row>
    <row r="677" spans="1:3" s="4" customFormat="1" x14ac:dyDescent="0.3">
      <c r="A677" s="3">
        <v>43450</v>
      </c>
      <c r="B677" s="4">
        <v>2411.0500000000002</v>
      </c>
      <c r="C677" s="4">
        <f t="shared" si="159"/>
        <v>-5.8722333595232594E-3</v>
      </c>
    </row>
    <row r="678" spans="1:3" s="4" customFormat="1" x14ac:dyDescent="0.3">
      <c r="A678" s="3">
        <v>43451</v>
      </c>
      <c r="B678" s="4">
        <v>2425.2498999999998</v>
      </c>
      <c r="C678" s="4">
        <f t="shared" si="159"/>
        <v>-4.8471129954859409E-2</v>
      </c>
    </row>
    <row r="679" spans="1:3" s="4" customFormat="1" x14ac:dyDescent="0.3">
      <c r="A679" s="3">
        <v>43452</v>
      </c>
      <c r="B679" s="4">
        <v>2545.7001</v>
      </c>
      <c r="C679" s="4">
        <f t="shared" si="159"/>
        <v>-1.4255450049270649E-2</v>
      </c>
    </row>
    <row r="680" spans="1:3" s="4" customFormat="1" x14ac:dyDescent="0.3">
      <c r="A680" s="3">
        <v>43453</v>
      </c>
      <c r="B680" s="4">
        <v>2582.2501000000002</v>
      </c>
      <c r="C680" s="4">
        <f t="shared" si="159"/>
        <v>2.7339884599971911E-3</v>
      </c>
    </row>
    <row r="681" spans="1:3" s="4" customFormat="1" x14ac:dyDescent="0.3">
      <c r="A681" s="3">
        <v>43454</v>
      </c>
      <c r="B681" s="4">
        <v>2575.1999000000001</v>
      </c>
      <c r="C681" s="4">
        <f t="shared" si="159"/>
        <v>-4.1641827704259803E-2</v>
      </c>
    </row>
    <row r="682" spans="1:3" s="4" customFormat="1" x14ac:dyDescent="0.3">
      <c r="A682" s="3">
        <v>43455</v>
      </c>
      <c r="B682" s="4">
        <v>2684.7</v>
      </c>
      <c r="C682" s="4">
        <f t="shared" si="159"/>
        <v>-4.9788317161241161E-3</v>
      </c>
    </row>
    <row r="683" spans="1:3" s="4" customFormat="1" x14ac:dyDescent="0.3">
      <c r="A683" s="3">
        <v>43456</v>
      </c>
      <c r="B683" s="4">
        <v>2698.1</v>
      </c>
      <c r="C683" s="4">
        <f t="shared" si="159"/>
        <v>7.0444731608259876E-4</v>
      </c>
    </row>
    <row r="684" spans="1:3" s="4" customFormat="1" x14ac:dyDescent="0.3">
      <c r="A684" s="3">
        <v>43457</v>
      </c>
      <c r="B684" s="4">
        <v>2696.2</v>
      </c>
      <c r="C684" s="4">
        <f t="shared" si="159"/>
        <v>-2.2414220455466614E-3</v>
      </c>
    </row>
    <row r="685" spans="1:3" s="4" customFormat="1" x14ac:dyDescent="0.3">
      <c r="A685" s="3">
        <v>43458</v>
      </c>
      <c r="B685" s="4">
        <v>2702.2501000000002</v>
      </c>
      <c r="C685" s="4">
        <f t="shared" si="159"/>
        <v>8.1934150270314542E-3</v>
      </c>
    </row>
    <row r="686" spans="1:3" s="4" customFormat="1" x14ac:dyDescent="0.3">
      <c r="A686" s="3">
        <v>43459</v>
      </c>
      <c r="B686" s="4">
        <v>2680.1999000000001</v>
      </c>
      <c r="C686" s="4">
        <f t="shared" si="159"/>
        <v>-2.2547876812413809E-3</v>
      </c>
    </row>
    <row r="687" spans="1:3" s="4" customFormat="1" x14ac:dyDescent="0.3">
      <c r="A687" s="3">
        <v>43460</v>
      </c>
      <c r="B687" s="4">
        <v>2686.25</v>
      </c>
      <c r="C687" s="4">
        <f t="shared" si="159"/>
        <v>1.77650960974154E-2</v>
      </c>
    </row>
    <row r="688" spans="1:3" s="4" customFormat="1" x14ac:dyDescent="0.3">
      <c r="A688" s="3">
        <v>43461</v>
      </c>
      <c r="B688" s="4">
        <v>2638.9499000000001</v>
      </c>
      <c r="C688" s="4">
        <f t="shared" si="159"/>
        <v>-5.14036859254782E-3</v>
      </c>
    </row>
    <row r="689" spans="1:3" s="4" customFormat="1" x14ac:dyDescent="0.3">
      <c r="A689" s="3">
        <v>43462</v>
      </c>
      <c r="B689" s="4">
        <v>2652.55</v>
      </c>
      <c r="C689" s="4">
        <f t="shared" si="159"/>
        <v>-1.4725822520269055E-2</v>
      </c>
    </row>
    <row r="690" spans="1:3" s="4" customFormat="1" x14ac:dyDescent="0.3">
      <c r="A690" s="3">
        <v>43463</v>
      </c>
      <c r="B690" s="4">
        <v>2691.9</v>
      </c>
      <c r="C690" s="4">
        <f t="shared" si="159"/>
        <v>1.071881916249383E-2</v>
      </c>
    </row>
    <row r="691" spans="1:3" s="4" customFormat="1" x14ac:dyDescent="0.3">
      <c r="A691" s="3">
        <v>43464</v>
      </c>
      <c r="B691" s="4">
        <v>2663.2001</v>
      </c>
      <c r="C691" s="4">
        <f t="shared" si="159"/>
        <v>2.3940118140140531E-2</v>
      </c>
    </row>
    <row r="692" spans="1:3" s="4" customFormat="1" x14ac:dyDescent="0.3">
      <c r="A692" s="3">
        <v>43465</v>
      </c>
      <c r="B692" s="4">
        <v>2600.1999000000001</v>
      </c>
      <c r="C692" s="4">
        <f t="shared" si="159"/>
        <v>6.59809865017961E-3</v>
      </c>
    </row>
    <row r="693" spans="1:3" s="4" customFormat="1" x14ac:dyDescent="0.3">
      <c r="A693" s="3">
        <v>43466</v>
      </c>
      <c r="B693" s="4">
        <v>2583.1</v>
      </c>
      <c r="C693" s="4">
        <f t="shared" si="159"/>
        <v>-8.6152153522822128E-3</v>
      </c>
    </row>
    <row r="694" spans="1:3" s="4" customFormat="1" x14ac:dyDescent="0.3">
      <c r="A694" s="3">
        <v>43467</v>
      </c>
      <c r="B694" s="4">
        <v>2605.4501</v>
      </c>
      <c r="C694" s="4">
        <f t="shared" si="159"/>
        <v>-1.3760422692666979E-2</v>
      </c>
    </row>
    <row r="695" spans="1:3" s="4" customFormat="1" x14ac:dyDescent="0.3">
      <c r="A695" s="3">
        <v>43468</v>
      </c>
      <c r="B695" s="4">
        <v>2641.55</v>
      </c>
      <c r="C695" s="4">
        <f t="shared" si="159"/>
        <v>-4.4382445241624071E-3</v>
      </c>
    </row>
    <row r="696" spans="1:3" s="4" customFormat="1" x14ac:dyDescent="0.3">
      <c r="A696" s="3">
        <v>43469</v>
      </c>
      <c r="B696" s="4">
        <v>2653.2999</v>
      </c>
      <c r="C696" s="4">
        <f t="shared" si="159"/>
        <v>2.7762805419304759E-2</v>
      </c>
    </row>
    <row r="697" spans="1:3" s="4" customFormat="1" x14ac:dyDescent="0.3">
      <c r="A697" s="3">
        <v>43470</v>
      </c>
      <c r="B697" s="4">
        <v>2580.65</v>
      </c>
      <c r="C697" s="4">
        <f t="shared" si="159"/>
        <v>-1.0504032929041413E-2</v>
      </c>
    </row>
    <row r="698" spans="1:3" s="4" customFormat="1" x14ac:dyDescent="0.3">
      <c r="A698" s="3">
        <v>43471</v>
      </c>
      <c r="B698" s="4">
        <v>2607.9000999999998</v>
      </c>
      <c r="C698" s="4">
        <f t="shared" si="159"/>
        <v>-3.5187800500730324E-2</v>
      </c>
    </row>
    <row r="699" spans="1:3" s="4" customFormat="1" x14ac:dyDescent="0.3">
      <c r="A699" s="3">
        <v>43472</v>
      </c>
      <c r="B699" s="4">
        <v>2701.3</v>
      </c>
      <c r="C699" s="4">
        <f t="shared" si="159"/>
        <v>1.4633661297090551E-3</v>
      </c>
    </row>
    <row r="700" spans="1:3" s="4" customFormat="1" x14ac:dyDescent="0.3">
      <c r="A700" s="3">
        <v>43473</v>
      </c>
      <c r="B700" s="4">
        <v>2697.3499000000002</v>
      </c>
      <c r="C700" s="4">
        <f t="shared" si="159"/>
        <v>1.1765609811451697E-2</v>
      </c>
    </row>
    <row r="701" spans="1:3" s="4" customFormat="1" x14ac:dyDescent="0.3">
      <c r="A701" s="3">
        <v>43474</v>
      </c>
      <c r="B701" s="4">
        <v>2665.7999</v>
      </c>
      <c r="C701" s="4">
        <f t="shared" si="159"/>
        <v>-1.5650799407486125E-2</v>
      </c>
    </row>
    <row r="702" spans="1:3" s="4" customFormat="1" x14ac:dyDescent="0.3">
      <c r="A702" s="3">
        <v>43475</v>
      </c>
      <c r="B702" s="4">
        <v>2707.85</v>
      </c>
      <c r="C702" s="4">
        <f t="shared" si="159"/>
        <v>-1.1729999451091266E-2</v>
      </c>
    </row>
    <row r="703" spans="1:3" s="4" customFormat="1" x14ac:dyDescent="0.3">
      <c r="A703" s="3">
        <v>43476</v>
      </c>
      <c r="B703" s="4">
        <v>2739.8000999999999</v>
      </c>
      <c r="C703" s="4">
        <f t="shared" si="159"/>
        <v>1.5411231861858259E-2</v>
      </c>
    </row>
    <row r="704" spans="1:3" s="4" customFormat="1" x14ac:dyDescent="0.3">
      <c r="A704" s="3">
        <v>43477</v>
      </c>
      <c r="B704" s="4">
        <v>2697.9000999999998</v>
      </c>
      <c r="C704" s="4">
        <f t="shared" si="159"/>
        <v>5.6685804494182226E-3</v>
      </c>
    </row>
    <row r="705" spans="1:3" s="4" customFormat="1" x14ac:dyDescent="0.3">
      <c r="A705" s="3">
        <v>43478</v>
      </c>
      <c r="B705" s="4">
        <v>2682.6500999999998</v>
      </c>
      <c r="C705" s="4">
        <f t="shared" si="159"/>
        <v>1.4058510208844717E-2</v>
      </c>
    </row>
    <row r="706" spans="1:3" s="4" customFormat="1" x14ac:dyDescent="0.3">
      <c r="A706" s="3">
        <v>43479</v>
      </c>
      <c r="B706" s="4">
        <v>2645.1999000000001</v>
      </c>
      <c r="C706" s="4">
        <f t="shared" si="159"/>
        <v>1.8900168658694973E-4</v>
      </c>
    </row>
    <row r="707" spans="1:3" s="4" customFormat="1" x14ac:dyDescent="0.3">
      <c r="A707" s="3">
        <v>43480</v>
      </c>
      <c r="B707" s="4">
        <v>2644.7</v>
      </c>
      <c r="C707" s="4">
        <f t="shared" ref="C707:C770" si="160">LN(B707/B708)</f>
        <v>3.9508082303114062E-2</v>
      </c>
    </row>
    <row r="708" spans="1:3" s="4" customFormat="1" x14ac:dyDescent="0.3">
      <c r="A708" s="3">
        <v>43481</v>
      </c>
      <c r="B708" s="4">
        <v>2542.2501000000002</v>
      </c>
      <c r="C708" s="4">
        <f t="shared" si="160"/>
        <v>-2.3019388418122327E-2</v>
      </c>
    </row>
    <row r="709" spans="1:3" s="4" customFormat="1" x14ac:dyDescent="0.3">
      <c r="A709" s="3">
        <v>43482</v>
      </c>
      <c r="B709" s="4">
        <v>2601.4499000000001</v>
      </c>
      <c r="C709" s="4">
        <f t="shared" si="160"/>
        <v>-3.3578649975830716E-3</v>
      </c>
    </row>
    <row r="710" spans="1:3" s="4" customFormat="1" x14ac:dyDescent="0.3">
      <c r="A710" s="3">
        <v>43483</v>
      </c>
      <c r="B710" s="4">
        <v>2610.1999000000001</v>
      </c>
      <c r="C710" s="4">
        <f t="shared" si="160"/>
        <v>-7.3098589144793003E-3</v>
      </c>
    </row>
    <row r="711" spans="1:3" s="4" customFormat="1" x14ac:dyDescent="0.3">
      <c r="A711" s="3">
        <v>43484</v>
      </c>
      <c r="B711" s="4">
        <v>2629.35</v>
      </c>
      <c r="C711" s="4">
        <f t="shared" si="160"/>
        <v>-2.7218561876104021E-2</v>
      </c>
    </row>
    <row r="712" spans="1:3" s="4" customFormat="1" x14ac:dyDescent="0.3">
      <c r="A712" s="3">
        <v>43485</v>
      </c>
      <c r="B712" s="4">
        <v>2701.9</v>
      </c>
      <c r="C712" s="4">
        <f t="shared" si="160"/>
        <v>-1.8917636807180404E-2</v>
      </c>
    </row>
    <row r="713" spans="1:3" s="4" customFormat="1" x14ac:dyDescent="0.3">
      <c r="A713" s="3">
        <v>43486</v>
      </c>
      <c r="B713" s="4">
        <v>2753.5001000000002</v>
      </c>
      <c r="C713" s="4">
        <f t="shared" si="160"/>
        <v>9.1932998164011806E-2</v>
      </c>
    </row>
    <row r="714" spans="1:3" s="4" customFormat="1" x14ac:dyDescent="0.3">
      <c r="A714" s="3">
        <v>43487</v>
      </c>
      <c r="B714" s="4">
        <v>2511.6498999999999</v>
      </c>
      <c r="C714" s="4">
        <f t="shared" si="160"/>
        <v>2.1063151929878482E-2</v>
      </c>
    </row>
    <row r="715" spans="1:3" s="4" customFormat="1" x14ac:dyDescent="0.3">
      <c r="A715" s="3">
        <v>43488</v>
      </c>
      <c r="B715" s="4">
        <v>2459.2999</v>
      </c>
      <c r="C715" s="4">
        <f t="shared" si="160"/>
        <v>-2.7017559136325493E-2</v>
      </c>
    </row>
    <row r="716" spans="1:3" s="4" customFormat="1" x14ac:dyDescent="0.3">
      <c r="A716" s="3">
        <v>43489</v>
      </c>
      <c r="B716" s="4">
        <v>2526.6498999999999</v>
      </c>
      <c r="C716" s="4">
        <f t="shared" si="160"/>
        <v>-1.6272050799261899E-2</v>
      </c>
    </row>
    <row r="717" spans="1:3" s="4" customFormat="1" x14ac:dyDescent="0.3">
      <c r="A717" s="3">
        <v>43490</v>
      </c>
      <c r="B717" s="4">
        <v>2568.1</v>
      </c>
      <c r="C717" s="4">
        <f t="shared" si="160"/>
        <v>6.0556480374243514E-2</v>
      </c>
    </row>
    <row r="718" spans="1:3" s="4" customFormat="1" x14ac:dyDescent="0.3">
      <c r="A718" s="3">
        <v>43491</v>
      </c>
      <c r="B718" s="4">
        <v>2417.1999999999998</v>
      </c>
      <c r="C718" s="4">
        <f t="shared" si="160"/>
        <v>5.876340402239133E-2</v>
      </c>
    </row>
    <row r="719" spans="1:3" s="4" customFormat="1" x14ac:dyDescent="0.3">
      <c r="A719" s="3">
        <v>43492</v>
      </c>
      <c r="B719" s="4">
        <v>2279.25</v>
      </c>
      <c r="C719" s="4">
        <f t="shared" si="160"/>
        <v>-1.4467975692211354E-3</v>
      </c>
    </row>
    <row r="720" spans="1:3" s="4" customFormat="1" x14ac:dyDescent="0.3">
      <c r="A720" s="3">
        <v>43493</v>
      </c>
      <c r="B720" s="4">
        <v>2282.5500000000002</v>
      </c>
      <c r="C720" s="4">
        <f t="shared" si="160"/>
        <v>2.8297870220944489E-3</v>
      </c>
    </row>
    <row r="721" spans="1:3" s="4" customFormat="1" x14ac:dyDescent="0.3">
      <c r="A721" s="3">
        <v>43494</v>
      </c>
      <c r="B721" s="4">
        <v>2276.1</v>
      </c>
      <c r="C721" s="4">
        <f t="shared" si="160"/>
        <v>1.4782954879895603E-2</v>
      </c>
    </row>
    <row r="722" spans="1:3" s="4" customFormat="1" x14ac:dyDescent="0.3">
      <c r="A722" s="3">
        <v>43495</v>
      </c>
      <c r="B722" s="4">
        <v>2242.6999999999998</v>
      </c>
      <c r="C722" s="4">
        <f t="shared" si="160"/>
        <v>3.1456754173069618E-2</v>
      </c>
    </row>
    <row r="723" spans="1:3" s="4" customFormat="1" x14ac:dyDescent="0.3">
      <c r="A723" s="3">
        <v>43496</v>
      </c>
      <c r="B723" s="4">
        <v>2173.25</v>
      </c>
      <c r="C723" s="4">
        <f t="shared" si="160"/>
        <v>3.8222706783465697E-2</v>
      </c>
    </row>
    <row r="724" spans="1:3" s="4" customFormat="1" x14ac:dyDescent="0.3">
      <c r="A724" s="3">
        <v>43497</v>
      </c>
      <c r="B724" s="4">
        <v>2091.75</v>
      </c>
      <c r="C724" s="4">
        <f t="shared" si="160"/>
        <v>7.6544146445192748E-3</v>
      </c>
    </row>
    <row r="725" spans="1:3" s="4" customFormat="1" x14ac:dyDescent="0.3">
      <c r="A725" s="3">
        <v>43498</v>
      </c>
      <c r="B725" s="4">
        <v>2075.8000000000002</v>
      </c>
      <c r="C725" s="4">
        <f t="shared" si="160"/>
        <v>1.1434233103080093E-2</v>
      </c>
    </row>
    <row r="726" spans="1:3" s="4" customFormat="1" x14ac:dyDescent="0.3">
      <c r="A726" s="3">
        <v>43499</v>
      </c>
      <c r="B726" s="4">
        <v>2052.1999999999998</v>
      </c>
      <c r="C726" s="4">
        <f t="shared" si="160"/>
        <v>3.7346720652734686E-3</v>
      </c>
    </row>
    <row r="727" spans="1:3" s="4" customFormat="1" x14ac:dyDescent="0.3">
      <c r="A727" s="3">
        <v>43500</v>
      </c>
      <c r="B727" s="4">
        <v>2044.55</v>
      </c>
      <c r="C727" s="4">
        <f t="shared" si="160"/>
        <v>-1.7836911018580134E-3</v>
      </c>
    </row>
    <row r="728" spans="1:3" s="4" customFormat="1" x14ac:dyDescent="0.3">
      <c r="A728" s="3">
        <v>43501</v>
      </c>
      <c r="B728" s="4">
        <v>2048.2001</v>
      </c>
      <c r="C728" s="4">
        <f t="shared" si="160"/>
        <v>-1.4733182689628123E-2</v>
      </c>
    </row>
    <row r="729" spans="1:3" s="4" customFormat="1" x14ac:dyDescent="0.3">
      <c r="A729" s="3">
        <v>43502</v>
      </c>
      <c r="B729" s="4">
        <v>2078.6</v>
      </c>
      <c r="C729" s="4">
        <f t="shared" si="160"/>
        <v>0</v>
      </c>
    </row>
    <row r="730" spans="1:3" s="4" customFormat="1" x14ac:dyDescent="0.3">
      <c r="A730" s="3">
        <v>43503</v>
      </c>
      <c r="B730" s="4">
        <v>2078.6</v>
      </c>
      <c r="C730" s="4">
        <f t="shared" si="160"/>
        <v>6.1770295817881668E-3</v>
      </c>
    </row>
    <row r="731" spans="1:3" s="4" customFormat="1" x14ac:dyDescent="0.3">
      <c r="A731" s="3">
        <v>43504</v>
      </c>
      <c r="B731" s="4">
        <v>2065.8000000000002</v>
      </c>
      <c r="C731" s="4">
        <f t="shared" si="160"/>
        <v>-1.9367815373963537E-2</v>
      </c>
    </row>
    <row r="732" spans="1:3" s="4" customFormat="1" x14ac:dyDescent="0.3">
      <c r="A732" s="3">
        <v>43505</v>
      </c>
      <c r="B732" s="4">
        <v>2106.1999999999998</v>
      </c>
      <c r="C732" s="4">
        <f t="shared" si="160"/>
        <v>9.9966717806572701E-3</v>
      </c>
    </row>
    <row r="733" spans="1:3" s="4" customFormat="1" x14ac:dyDescent="0.3">
      <c r="A733" s="3">
        <v>43506</v>
      </c>
      <c r="B733" s="4">
        <v>2085.2498999999998</v>
      </c>
      <c r="C733" s="4">
        <f t="shared" si="160"/>
        <v>9.6616301603454063E-3</v>
      </c>
    </row>
    <row r="734" spans="1:3" s="4" customFormat="1" x14ac:dyDescent="0.3">
      <c r="A734" s="3">
        <v>43507</v>
      </c>
      <c r="B734" s="4">
        <v>2065.1999999999998</v>
      </c>
      <c r="C734" s="4">
        <f t="shared" si="160"/>
        <v>0</v>
      </c>
    </row>
    <row r="735" spans="1:3" s="4" customFormat="1" x14ac:dyDescent="0.3">
      <c r="A735" s="3">
        <v>43508</v>
      </c>
      <c r="B735" s="4">
        <v>2065.1999999999998</v>
      </c>
      <c r="C735" s="4">
        <f t="shared" si="160"/>
        <v>8.0948482129506987E-3</v>
      </c>
    </row>
    <row r="736" spans="1:3" s="4" customFormat="1" x14ac:dyDescent="0.3">
      <c r="A736" s="3">
        <v>43509</v>
      </c>
      <c r="B736" s="4">
        <v>2048.5500000000002</v>
      </c>
      <c r="C736" s="4">
        <f t="shared" si="160"/>
        <v>-1.1430408230711616E-2</v>
      </c>
    </row>
    <row r="737" spans="1:3" s="4" customFormat="1" x14ac:dyDescent="0.3">
      <c r="A737" s="3">
        <v>43510</v>
      </c>
      <c r="B737" s="4">
        <v>2072.1001000000001</v>
      </c>
      <c r="C737" s="4">
        <f t="shared" si="160"/>
        <v>2.6802650382949874E-2</v>
      </c>
    </row>
    <row r="738" spans="1:3" s="4" customFormat="1" x14ac:dyDescent="0.3">
      <c r="A738" s="3">
        <v>43511</v>
      </c>
      <c r="B738" s="4">
        <v>2017.3</v>
      </c>
      <c r="C738" s="4">
        <f t="shared" si="160"/>
        <v>0</v>
      </c>
    </row>
    <row r="739" spans="1:3" s="4" customFormat="1" x14ac:dyDescent="0.3">
      <c r="A739" s="3">
        <v>43512</v>
      </c>
      <c r="B739" s="4">
        <v>2017.3</v>
      </c>
      <c r="C739" s="4">
        <f t="shared" si="160"/>
        <v>2.9121679729763046E-2</v>
      </c>
    </row>
    <row r="740" spans="1:3" s="4" customFormat="1" x14ac:dyDescent="0.3">
      <c r="A740" s="3">
        <v>43513</v>
      </c>
      <c r="B740" s="4">
        <v>1959.4</v>
      </c>
      <c r="C740" s="4">
        <f t="shared" si="160"/>
        <v>-2.37036392828601E-3</v>
      </c>
    </row>
    <row r="741" spans="1:3" s="4" customFormat="1" x14ac:dyDescent="0.3">
      <c r="A741" s="3">
        <v>43514</v>
      </c>
      <c r="B741" s="4">
        <v>1964.05</v>
      </c>
      <c r="C741" s="4">
        <f t="shared" si="160"/>
        <v>-1.5209176383997082E-2</v>
      </c>
    </row>
    <row r="742" spans="1:3" s="4" customFormat="1" x14ac:dyDescent="0.3">
      <c r="A742" s="3">
        <v>43515</v>
      </c>
      <c r="B742" s="4">
        <v>1994.1498999999999</v>
      </c>
      <c r="C742" s="4">
        <f t="shared" si="160"/>
        <v>0</v>
      </c>
    </row>
    <row r="743" spans="1:3" s="4" customFormat="1" x14ac:dyDescent="0.3">
      <c r="A743" s="3">
        <v>43516</v>
      </c>
      <c r="B743" s="4">
        <v>1994.1498999999999</v>
      </c>
      <c r="C743" s="4">
        <f t="shared" si="160"/>
        <v>-1.6856846708220286E-2</v>
      </c>
    </row>
    <row r="744" spans="1:3" s="4" customFormat="1" x14ac:dyDescent="0.3">
      <c r="A744" s="3">
        <v>43517</v>
      </c>
      <c r="B744" s="4">
        <v>2028.0499</v>
      </c>
      <c r="C744" s="4">
        <f t="shared" si="160"/>
        <v>2.145577680975444E-2</v>
      </c>
    </row>
    <row r="745" spans="1:3" s="4" customFormat="1" x14ac:dyDescent="0.3">
      <c r="A745" s="3">
        <v>43518</v>
      </c>
      <c r="B745" s="4">
        <v>1985</v>
      </c>
      <c r="C745" s="4">
        <f t="shared" si="160"/>
        <v>3.2044456680722422E-2</v>
      </c>
    </row>
    <row r="746" spans="1:3" s="4" customFormat="1" x14ac:dyDescent="0.3">
      <c r="A746" s="3">
        <v>43519</v>
      </c>
      <c r="B746" s="4">
        <v>1922.4001000000001</v>
      </c>
      <c r="C746" s="4">
        <f t="shared" si="160"/>
        <v>0</v>
      </c>
    </row>
    <row r="747" spans="1:3" s="4" customFormat="1" x14ac:dyDescent="0.3">
      <c r="A747" s="3">
        <v>43520</v>
      </c>
      <c r="B747" s="4">
        <v>1922.4001000000001</v>
      </c>
      <c r="C747" s="4">
        <f t="shared" si="160"/>
        <v>1.0247971882441939E-2</v>
      </c>
    </row>
    <row r="748" spans="1:3" s="4" customFormat="1" x14ac:dyDescent="0.3">
      <c r="A748" s="3">
        <v>43521</v>
      </c>
      <c r="B748" s="4">
        <v>1902.8</v>
      </c>
      <c r="C748" s="4">
        <f t="shared" si="160"/>
        <v>3.4746020742675581E-3</v>
      </c>
    </row>
    <row r="749" spans="1:3" s="4" customFormat="1" x14ac:dyDescent="0.3">
      <c r="A749" s="3">
        <v>43522</v>
      </c>
      <c r="B749" s="4">
        <v>1896.2</v>
      </c>
      <c r="C749" s="4">
        <f t="shared" si="160"/>
        <v>-2.0203813740280463E-2</v>
      </c>
    </row>
    <row r="750" spans="1:3" s="4" customFormat="1" x14ac:dyDescent="0.3">
      <c r="A750" s="3">
        <v>43523</v>
      </c>
      <c r="B750" s="4">
        <v>1934.9001000000001</v>
      </c>
      <c r="C750" s="4">
        <f t="shared" si="160"/>
        <v>2.1549460833168266E-2</v>
      </c>
    </row>
    <row r="751" spans="1:3" s="4" customFormat="1" x14ac:dyDescent="0.3">
      <c r="A751" s="3">
        <v>43524</v>
      </c>
      <c r="B751" s="4">
        <v>1893.6501000000001</v>
      </c>
      <c r="C751" s="4">
        <f t="shared" si="160"/>
        <v>-1.2620314888498874E-2</v>
      </c>
    </row>
    <row r="752" spans="1:3" s="4" customFormat="1" x14ac:dyDescent="0.3">
      <c r="A752" s="3">
        <v>43525</v>
      </c>
      <c r="B752" s="4">
        <v>1917.7</v>
      </c>
      <c r="C752" s="4">
        <f t="shared" si="160"/>
        <v>8.2468230598274819E-3</v>
      </c>
    </row>
    <row r="753" spans="1:3" s="4" customFormat="1" x14ac:dyDescent="0.3">
      <c r="A753" s="3">
        <v>43526</v>
      </c>
      <c r="B753" s="4">
        <v>1901.9501</v>
      </c>
      <c r="C753" s="4">
        <f t="shared" si="160"/>
        <v>3.4745922004516872E-2</v>
      </c>
    </row>
    <row r="754" spans="1:3" s="4" customFormat="1" x14ac:dyDescent="0.3">
      <c r="A754" s="3">
        <v>43527</v>
      </c>
      <c r="B754" s="4">
        <v>1837</v>
      </c>
      <c r="C754" s="4">
        <f t="shared" si="160"/>
        <v>3.8567687444397834E-2</v>
      </c>
    </row>
    <row r="755" spans="1:3" s="4" customFormat="1" x14ac:dyDescent="0.3">
      <c r="A755" s="3">
        <v>43528</v>
      </c>
      <c r="B755" s="4">
        <v>1767.5</v>
      </c>
      <c r="C755" s="4">
        <f t="shared" si="160"/>
        <v>1.3728889193252033E-2</v>
      </c>
    </row>
    <row r="756" spans="1:3" s="4" customFormat="1" x14ac:dyDescent="0.3">
      <c r="A756" s="3">
        <v>43529</v>
      </c>
      <c r="B756" s="4">
        <v>1743.4</v>
      </c>
      <c r="C756" s="4">
        <f t="shared" si="160"/>
        <v>1.0262413502529103E-2</v>
      </c>
    </row>
    <row r="757" spans="1:3" s="4" customFormat="1" x14ac:dyDescent="0.3">
      <c r="A757" s="3">
        <v>43530</v>
      </c>
      <c r="B757" s="4">
        <v>1725.6</v>
      </c>
      <c r="C757" s="4">
        <f t="shared" si="160"/>
        <v>1.3682658215118514E-2</v>
      </c>
    </row>
    <row r="758" spans="1:3" s="4" customFormat="1" x14ac:dyDescent="0.3">
      <c r="A758" s="3">
        <v>43531</v>
      </c>
      <c r="B758" s="4">
        <v>1702.15</v>
      </c>
      <c r="C758" s="4">
        <f t="shared" si="160"/>
        <v>1.4319347654457986E-2</v>
      </c>
    </row>
    <row r="759" spans="1:3" s="4" customFormat="1" x14ac:dyDescent="0.3">
      <c r="A759" s="3">
        <v>43532</v>
      </c>
      <c r="B759" s="4">
        <v>1677.95</v>
      </c>
      <c r="C759" s="4">
        <f t="shared" si="160"/>
        <v>-1.824776091316813E-2</v>
      </c>
    </row>
    <row r="760" spans="1:3" s="4" customFormat="1" x14ac:dyDescent="0.3">
      <c r="A760" s="3">
        <v>43533</v>
      </c>
      <c r="B760" s="4">
        <v>1708.8498999999999</v>
      </c>
      <c r="C760" s="4">
        <f t="shared" si="160"/>
        <v>4.427906430446292E-3</v>
      </c>
    </row>
    <row r="761" spans="1:3" s="4" customFormat="1" x14ac:dyDescent="0.3">
      <c r="A761" s="3">
        <v>43534</v>
      </c>
      <c r="B761" s="4">
        <v>1701.3</v>
      </c>
      <c r="C761" s="4">
        <f t="shared" si="160"/>
        <v>2.8105443432276903E-2</v>
      </c>
    </row>
    <row r="762" spans="1:3" s="4" customFormat="1" x14ac:dyDescent="0.3">
      <c r="A762" s="3">
        <v>43535</v>
      </c>
      <c r="B762" s="4">
        <v>1654.1498999999999</v>
      </c>
      <c r="C762" s="4">
        <f t="shared" si="160"/>
        <v>0</v>
      </c>
    </row>
    <row r="763" spans="1:3" s="4" customFormat="1" x14ac:dyDescent="0.3">
      <c r="A763" s="3">
        <v>43536</v>
      </c>
      <c r="B763" s="4">
        <v>1654.1498999999999</v>
      </c>
      <c r="C763" s="4">
        <f t="shared" si="160"/>
        <v>1.2399547902477591E-3</v>
      </c>
    </row>
    <row r="764" spans="1:3" s="4" customFormat="1" x14ac:dyDescent="0.3">
      <c r="A764" s="3">
        <v>43537</v>
      </c>
      <c r="B764" s="4">
        <v>1652.1001000000001</v>
      </c>
      <c r="C764" s="4">
        <f t="shared" si="160"/>
        <v>4.24615462677285E-3</v>
      </c>
    </row>
    <row r="765" spans="1:3" s="4" customFormat="1" x14ac:dyDescent="0.3">
      <c r="A765" s="3">
        <v>43538</v>
      </c>
      <c r="B765" s="4">
        <v>1645.0998999999999</v>
      </c>
      <c r="C765" s="4">
        <f t="shared" si="160"/>
        <v>-1.789264330619374E-2</v>
      </c>
    </row>
    <row r="766" spans="1:3" s="4" customFormat="1" x14ac:dyDescent="0.3">
      <c r="A766" s="3">
        <v>43539</v>
      </c>
      <c r="B766" s="4">
        <v>1674.8</v>
      </c>
      <c r="C766" s="4">
        <f t="shared" si="160"/>
        <v>-1.0306154574050805E-2</v>
      </c>
    </row>
    <row r="767" spans="1:3" s="4" customFormat="1" x14ac:dyDescent="0.3">
      <c r="A767" s="3">
        <v>43540</v>
      </c>
      <c r="B767" s="4">
        <v>1692.15</v>
      </c>
      <c r="C767" s="4">
        <f t="shared" si="160"/>
        <v>2.543676553742031E-2</v>
      </c>
    </row>
    <row r="768" spans="1:3" s="4" customFormat="1" x14ac:dyDescent="0.3">
      <c r="A768" s="3">
        <v>43541</v>
      </c>
      <c r="B768" s="4">
        <v>1649.65</v>
      </c>
      <c r="C768" s="4">
        <f t="shared" si="160"/>
        <v>4.4785158822269307E-2</v>
      </c>
    </row>
    <row r="769" spans="1:3" s="4" customFormat="1" x14ac:dyDescent="0.3">
      <c r="A769" s="3">
        <v>43542</v>
      </c>
      <c r="B769" s="4">
        <v>1577.4001000000001</v>
      </c>
      <c r="C769" s="4">
        <f t="shared" si="160"/>
        <v>5.0735573354174495E-4</v>
      </c>
    </row>
    <row r="770" spans="1:3" s="4" customFormat="1" x14ac:dyDescent="0.3">
      <c r="A770" s="3">
        <v>43543</v>
      </c>
      <c r="B770" s="4">
        <v>1576.6</v>
      </c>
      <c r="C770" s="4">
        <f t="shared" si="160"/>
        <v>1.6789917751342278E-2</v>
      </c>
    </row>
    <row r="771" spans="1:3" s="4" customFormat="1" x14ac:dyDescent="0.3">
      <c r="A771" s="3">
        <v>43544</v>
      </c>
      <c r="B771" s="4">
        <v>1550.35</v>
      </c>
      <c r="C771" s="4">
        <f t="shared" ref="C771:C834" si="161">LN(B771/B772)</f>
        <v>2.0856427099389004E-2</v>
      </c>
    </row>
    <row r="772" spans="1:3" s="4" customFormat="1" x14ac:dyDescent="0.3">
      <c r="A772" s="3">
        <v>43545</v>
      </c>
      <c r="B772" s="4">
        <v>1518.3501000000001</v>
      </c>
      <c r="C772" s="4">
        <f t="shared" si="161"/>
        <v>-9.7653807310166627E-3</v>
      </c>
    </row>
    <row r="773" spans="1:3" s="4" customFormat="1" x14ac:dyDescent="0.3">
      <c r="A773" s="3">
        <v>43546</v>
      </c>
      <c r="B773" s="4">
        <v>1533.25</v>
      </c>
      <c r="C773" s="4">
        <f t="shared" si="161"/>
        <v>8.4162731631668986E-3</v>
      </c>
    </row>
    <row r="774" spans="1:3" s="4" customFormat="1" x14ac:dyDescent="0.3">
      <c r="A774" s="3">
        <v>43547</v>
      </c>
      <c r="B774" s="4">
        <v>1520.3998999999999</v>
      </c>
      <c r="C774" s="4">
        <f t="shared" si="161"/>
        <v>0</v>
      </c>
    </row>
    <row r="775" spans="1:3" s="4" customFormat="1" x14ac:dyDescent="0.3">
      <c r="A775" s="3">
        <v>43548</v>
      </c>
      <c r="B775" s="4">
        <v>1520.3998999999999</v>
      </c>
      <c r="C775" s="4">
        <f t="shared" si="161"/>
        <v>9.5161965820272226E-3</v>
      </c>
    </row>
    <row r="776" spans="1:3" s="4" customFormat="1" x14ac:dyDescent="0.3">
      <c r="A776" s="3">
        <v>43549</v>
      </c>
      <c r="B776" s="4">
        <v>1506.0001</v>
      </c>
      <c r="C776" s="4">
        <f t="shared" si="161"/>
        <v>-2.9835260658275719E-3</v>
      </c>
    </row>
    <row r="777" spans="1:3" s="4" customFormat="1" x14ac:dyDescent="0.3">
      <c r="A777" s="3">
        <v>43550</v>
      </c>
      <c r="B777" s="4">
        <v>1510.5</v>
      </c>
      <c r="C777" s="4">
        <f t="shared" si="161"/>
        <v>5.5765262492561661E-3</v>
      </c>
    </row>
    <row r="778" spans="1:3" s="4" customFormat="1" x14ac:dyDescent="0.3">
      <c r="A778" s="3">
        <v>43551</v>
      </c>
      <c r="B778" s="4">
        <v>1502.1001000000001</v>
      </c>
      <c r="C778" s="4">
        <f t="shared" si="161"/>
        <v>1.4416784568472632E-2</v>
      </c>
    </row>
    <row r="779" spans="1:3" s="4" customFormat="1" x14ac:dyDescent="0.3">
      <c r="A779" s="3">
        <v>43552</v>
      </c>
      <c r="B779" s="4">
        <v>1480.6</v>
      </c>
      <c r="C779" s="4">
        <f t="shared" si="161"/>
        <v>-1.836994819711172E-2</v>
      </c>
    </row>
    <row r="780" spans="1:3" s="4" customFormat="1" x14ac:dyDescent="0.3">
      <c r="A780" s="3">
        <v>43553</v>
      </c>
      <c r="B780" s="4">
        <v>1508.0499</v>
      </c>
      <c r="C780" s="4">
        <f t="shared" si="161"/>
        <v>4.7191182533916614E-3</v>
      </c>
    </row>
    <row r="781" spans="1:3" s="4" customFormat="1" x14ac:dyDescent="0.3">
      <c r="A781" s="3">
        <v>43554</v>
      </c>
      <c r="B781" s="4">
        <v>1500.95</v>
      </c>
      <c r="C781" s="4">
        <f t="shared" si="161"/>
        <v>1.8389854451675701E-2</v>
      </c>
    </row>
    <row r="782" spans="1:3" s="4" customFormat="1" x14ac:dyDescent="0.3">
      <c r="A782" s="3">
        <v>43555</v>
      </c>
      <c r="B782" s="4">
        <v>1473.6</v>
      </c>
      <c r="C782" s="4">
        <f t="shared" si="161"/>
        <v>-1.0173297929446123E-3</v>
      </c>
    </row>
    <row r="783" spans="1:3" s="4" customFormat="1" x14ac:dyDescent="0.3">
      <c r="A783" s="3">
        <v>43556</v>
      </c>
      <c r="B783" s="4">
        <v>1475.0998999999999</v>
      </c>
      <c r="C783" s="4">
        <f t="shared" si="161"/>
        <v>-1.7105924614953104E-2</v>
      </c>
    </row>
    <row r="784" spans="1:3" s="4" customFormat="1" x14ac:dyDescent="0.3">
      <c r="A784" s="3">
        <v>43557</v>
      </c>
      <c r="B784" s="4">
        <v>1500.5499</v>
      </c>
      <c r="C784" s="4">
        <f t="shared" si="161"/>
        <v>-2.1068747901426467E-2</v>
      </c>
    </row>
    <row r="785" spans="1:3" s="4" customFormat="1" x14ac:dyDescent="0.3">
      <c r="A785" s="3">
        <v>43558</v>
      </c>
      <c r="B785" s="4">
        <v>1532.5</v>
      </c>
      <c r="C785" s="4">
        <f t="shared" si="161"/>
        <v>8.3874418708069255E-3</v>
      </c>
    </row>
    <row r="786" spans="1:3" s="4" customFormat="1" x14ac:dyDescent="0.3">
      <c r="A786" s="3">
        <v>43559</v>
      </c>
      <c r="B786" s="4">
        <v>1519.7</v>
      </c>
      <c r="C786" s="4">
        <f t="shared" si="161"/>
        <v>3.691743925233222E-3</v>
      </c>
    </row>
    <row r="787" spans="1:3" s="4" customFormat="1" x14ac:dyDescent="0.3">
      <c r="A787" s="3">
        <v>43560</v>
      </c>
      <c r="B787" s="4">
        <v>1514.1</v>
      </c>
      <c r="C787" s="4">
        <f t="shared" si="161"/>
        <v>-8.8766078748697391E-3</v>
      </c>
    </row>
    <row r="788" spans="1:3" s="4" customFormat="1" x14ac:dyDescent="0.3">
      <c r="A788" s="3">
        <v>43561</v>
      </c>
      <c r="B788" s="4">
        <v>1527.5998999999999</v>
      </c>
      <c r="C788" s="4">
        <f t="shared" si="161"/>
        <v>1.5004585447469016E-2</v>
      </c>
    </row>
    <row r="789" spans="1:3" s="4" customFormat="1" x14ac:dyDescent="0.3">
      <c r="A789" s="3">
        <v>43562</v>
      </c>
      <c r="B789" s="4">
        <v>1504.85</v>
      </c>
      <c r="C789" s="4">
        <f t="shared" si="161"/>
        <v>-1.113490548434188E-2</v>
      </c>
    </row>
    <row r="790" spans="1:3" s="4" customFormat="1" x14ac:dyDescent="0.3">
      <c r="A790" s="3">
        <v>43563</v>
      </c>
      <c r="B790" s="4">
        <v>1521.7</v>
      </c>
      <c r="C790" s="4">
        <f t="shared" si="161"/>
        <v>4.1487664179759758E-3</v>
      </c>
    </row>
    <row r="791" spans="1:3" s="4" customFormat="1" x14ac:dyDescent="0.3">
      <c r="A791" s="3">
        <v>43564</v>
      </c>
      <c r="B791" s="4">
        <v>1515.3998999999999</v>
      </c>
      <c r="C791" s="4">
        <f t="shared" si="161"/>
        <v>1.8011173531520881E-2</v>
      </c>
    </row>
    <row r="792" spans="1:3" s="4" customFormat="1" x14ac:dyDescent="0.3">
      <c r="A792" s="3">
        <v>43565</v>
      </c>
      <c r="B792" s="4">
        <v>1488.3501000000001</v>
      </c>
      <c r="C792" s="4">
        <f t="shared" si="161"/>
        <v>-2.3571770605832456E-2</v>
      </c>
    </row>
    <row r="793" spans="1:3" s="4" customFormat="1" x14ac:dyDescent="0.3">
      <c r="A793" s="3">
        <v>43566</v>
      </c>
      <c r="B793" s="4">
        <v>1523.8498999999999</v>
      </c>
      <c r="C793" s="4">
        <f t="shared" si="161"/>
        <v>4.7689743155694643E-3</v>
      </c>
    </row>
    <row r="794" spans="1:3" s="4" customFormat="1" x14ac:dyDescent="0.3">
      <c r="A794" s="3">
        <v>43567</v>
      </c>
      <c r="B794" s="4">
        <v>1516.6</v>
      </c>
      <c r="C794" s="4">
        <f t="shared" si="161"/>
        <v>-3.6926838125299066E-2</v>
      </c>
    </row>
    <row r="795" spans="1:3" s="4" customFormat="1" x14ac:dyDescent="0.3">
      <c r="A795" s="3">
        <v>43568</v>
      </c>
      <c r="B795" s="4">
        <v>1573.6501000000001</v>
      </c>
      <c r="C795" s="4">
        <f t="shared" si="161"/>
        <v>-1.42906258782991E-2</v>
      </c>
    </row>
    <row r="796" spans="1:3" s="4" customFormat="1" x14ac:dyDescent="0.3">
      <c r="A796" s="3">
        <v>43569</v>
      </c>
      <c r="B796" s="4">
        <v>1596.3</v>
      </c>
      <c r="C796" s="4">
        <f t="shared" si="161"/>
        <v>1.1282438203208975E-3</v>
      </c>
    </row>
    <row r="797" spans="1:3" s="4" customFormat="1" x14ac:dyDescent="0.3">
      <c r="A797" s="3">
        <v>43570</v>
      </c>
      <c r="B797" s="4">
        <v>1594.5</v>
      </c>
      <c r="C797" s="4">
        <f t="shared" si="161"/>
        <v>-1.660640830404125E-2</v>
      </c>
    </row>
    <row r="798" spans="1:3" s="4" customFormat="1" x14ac:dyDescent="0.3">
      <c r="A798" s="3">
        <v>43571</v>
      </c>
      <c r="B798" s="4">
        <v>1621.2</v>
      </c>
      <c r="C798" s="4">
        <f t="shared" si="161"/>
        <v>-2.2626365465899502E-2</v>
      </c>
    </row>
    <row r="799" spans="1:3" s="4" customFormat="1" x14ac:dyDescent="0.3">
      <c r="A799" s="3">
        <v>43572</v>
      </c>
      <c r="B799" s="4">
        <v>1658.3</v>
      </c>
      <c r="C799" s="4">
        <f t="shared" si="161"/>
        <v>6.9286088712020221E-3</v>
      </c>
    </row>
    <row r="800" spans="1:3" s="4" customFormat="1" x14ac:dyDescent="0.3">
      <c r="A800" s="3">
        <v>43573</v>
      </c>
      <c r="B800" s="4">
        <v>1646.85</v>
      </c>
      <c r="C800" s="4">
        <f t="shared" si="161"/>
        <v>-7.6519798111783031E-3</v>
      </c>
    </row>
    <row r="801" spans="1:3" s="4" customFormat="1" x14ac:dyDescent="0.3">
      <c r="A801" s="3">
        <v>43574</v>
      </c>
      <c r="B801" s="4">
        <v>1659.5</v>
      </c>
      <c r="C801" s="4">
        <f t="shared" si="161"/>
        <v>1.069269733024902E-2</v>
      </c>
    </row>
    <row r="802" spans="1:3" s="4" customFormat="1" x14ac:dyDescent="0.3">
      <c r="A802" s="3">
        <v>43575</v>
      </c>
      <c r="B802" s="4">
        <v>1641.85</v>
      </c>
      <c r="C802" s="4">
        <f t="shared" si="161"/>
        <v>1.244117291180968E-2</v>
      </c>
    </row>
    <row r="803" spans="1:3" s="4" customFormat="1" x14ac:dyDescent="0.3">
      <c r="A803" s="3">
        <v>43576</v>
      </c>
      <c r="B803" s="4">
        <v>1621.55</v>
      </c>
      <c r="C803" s="4">
        <f t="shared" si="161"/>
        <v>-8.9939981616271938E-3</v>
      </c>
    </row>
    <row r="804" spans="1:3" s="4" customFormat="1" x14ac:dyDescent="0.3">
      <c r="A804" s="3">
        <v>43577</v>
      </c>
      <c r="B804" s="4">
        <v>1636.2</v>
      </c>
      <c r="C804" s="4">
        <f t="shared" si="161"/>
        <v>-2.746560890831719E-3</v>
      </c>
    </row>
    <row r="805" spans="1:3" s="4" customFormat="1" x14ac:dyDescent="0.3">
      <c r="A805" s="3">
        <v>43578</v>
      </c>
      <c r="B805" s="4">
        <v>1640.7001</v>
      </c>
      <c r="C805" s="4">
        <f t="shared" si="161"/>
        <v>8.0779458877052145E-3</v>
      </c>
    </row>
    <row r="806" spans="1:3" s="4" customFormat="1" x14ac:dyDescent="0.3">
      <c r="A806" s="3">
        <v>43579</v>
      </c>
      <c r="B806" s="4">
        <v>1627.5</v>
      </c>
      <c r="C806" s="4">
        <f t="shared" si="161"/>
        <v>-8.4130515342815994E-3</v>
      </c>
    </row>
    <row r="807" spans="1:3" s="4" customFormat="1" x14ac:dyDescent="0.3">
      <c r="A807" s="3">
        <v>43580</v>
      </c>
      <c r="B807" s="4">
        <v>1641.25</v>
      </c>
      <c r="C807" s="4">
        <f t="shared" si="161"/>
        <v>2.0373696646647441E-2</v>
      </c>
    </row>
    <row r="808" spans="1:3" s="4" customFormat="1" x14ac:dyDescent="0.3">
      <c r="A808" s="3">
        <v>43581</v>
      </c>
      <c r="B808" s="4">
        <v>1608.15</v>
      </c>
      <c r="C808" s="4">
        <f t="shared" si="161"/>
        <v>-1.9489833191718747E-2</v>
      </c>
    </row>
    <row r="809" spans="1:3" s="4" customFormat="1" x14ac:dyDescent="0.3">
      <c r="A809" s="3">
        <v>43582</v>
      </c>
      <c r="B809" s="4">
        <v>1639.8</v>
      </c>
      <c r="C809" s="4">
        <f t="shared" si="161"/>
        <v>-1.0524976212603589E-2</v>
      </c>
    </row>
    <row r="810" spans="1:3" s="4" customFormat="1" x14ac:dyDescent="0.3">
      <c r="A810" s="3">
        <v>43583</v>
      </c>
      <c r="B810" s="4">
        <v>1657.15</v>
      </c>
      <c r="C810" s="4">
        <f t="shared" si="161"/>
        <v>-2.5613610302903443E-3</v>
      </c>
    </row>
    <row r="811" spans="1:3" s="4" customFormat="1" x14ac:dyDescent="0.3">
      <c r="A811" s="3">
        <v>43584</v>
      </c>
      <c r="B811" s="4">
        <v>1661.4</v>
      </c>
      <c r="C811" s="4">
        <f t="shared" si="161"/>
        <v>-1.5972634362129604E-2</v>
      </c>
    </row>
    <row r="812" spans="1:3" s="4" customFormat="1" x14ac:dyDescent="0.3">
      <c r="A812" s="3">
        <v>43585</v>
      </c>
      <c r="B812" s="4">
        <v>1688.15</v>
      </c>
      <c r="C812" s="4">
        <f t="shared" si="161"/>
        <v>-1.8487526961737083E-2</v>
      </c>
    </row>
    <row r="813" spans="1:3" s="4" customFormat="1" x14ac:dyDescent="0.3">
      <c r="A813" s="3">
        <v>43586</v>
      </c>
      <c r="B813" s="4">
        <v>1719.65</v>
      </c>
      <c r="C813" s="4">
        <f t="shared" si="161"/>
        <v>-1.325741168283103E-2</v>
      </c>
    </row>
    <row r="814" spans="1:3" s="4" customFormat="1" x14ac:dyDescent="0.3">
      <c r="A814" s="3">
        <v>43587</v>
      </c>
      <c r="B814" s="4">
        <v>1742.5998999999999</v>
      </c>
      <c r="C814" s="4">
        <f t="shared" si="161"/>
        <v>-1.2800825166378682E-2</v>
      </c>
    </row>
    <row r="815" spans="1:3" s="4" customFormat="1" x14ac:dyDescent="0.3">
      <c r="A815" s="3">
        <v>43588</v>
      </c>
      <c r="B815" s="4">
        <v>1765.05</v>
      </c>
      <c r="C815" s="4">
        <f t="shared" si="161"/>
        <v>-8.2111261203662096E-4</v>
      </c>
    </row>
    <row r="816" spans="1:3" s="4" customFormat="1" x14ac:dyDescent="0.3">
      <c r="A816" s="3">
        <v>43589</v>
      </c>
      <c r="B816" s="4">
        <v>1766.4999</v>
      </c>
      <c r="C816" s="4">
        <f t="shared" si="161"/>
        <v>1.076038732014535E-3</v>
      </c>
    </row>
    <row r="817" spans="1:3" s="4" customFormat="1" x14ac:dyDescent="0.3">
      <c r="A817" s="3">
        <v>43590</v>
      </c>
      <c r="B817" s="4">
        <v>1764.6001000000001</v>
      </c>
      <c r="C817" s="4">
        <f t="shared" si="161"/>
        <v>-3.1118931950560769E-3</v>
      </c>
    </row>
    <row r="818" spans="1:3" s="4" customFormat="1" x14ac:dyDescent="0.3">
      <c r="A818" s="3">
        <v>43591</v>
      </c>
      <c r="B818" s="4">
        <v>1770.0998999999999</v>
      </c>
      <c r="C818" s="4">
        <f t="shared" si="161"/>
        <v>9.4507098792079476E-3</v>
      </c>
    </row>
    <row r="819" spans="1:3" s="4" customFormat="1" x14ac:dyDescent="0.3">
      <c r="A819" s="3">
        <v>43592</v>
      </c>
      <c r="B819" s="4">
        <v>1753.45</v>
      </c>
      <c r="C819" s="4">
        <f t="shared" si="161"/>
        <v>-3.3023060727405459E-3</v>
      </c>
    </row>
    <row r="820" spans="1:3" s="4" customFormat="1" x14ac:dyDescent="0.3">
      <c r="A820" s="3">
        <v>43593</v>
      </c>
      <c r="B820" s="4">
        <v>1759.25</v>
      </c>
      <c r="C820" s="4">
        <f t="shared" si="161"/>
        <v>0</v>
      </c>
    </row>
    <row r="821" spans="1:3" s="4" customFormat="1" x14ac:dyDescent="0.3">
      <c r="A821" s="3">
        <v>43594</v>
      </c>
      <c r="B821" s="4">
        <v>1759.25</v>
      </c>
      <c r="C821" s="4">
        <f t="shared" si="161"/>
        <v>4.5484266071121068E-4</v>
      </c>
    </row>
    <row r="822" spans="1:3" s="4" customFormat="1" x14ac:dyDescent="0.3">
      <c r="A822" s="3">
        <v>43595</v>
      </c>
      <c r="B822" s="4">
        <v>1758.45</v>
      </c>
      <c r="C822" s="4">
        <f t="shared" si="161"/>
        <v>4.1314719772937956E-3</v>
      </c>
    </row>
    <row r="823" spans="1:3" s="4" customFormat="1" x14ac:dyDescent="0.3">
      <c r="A823" s="3">
        <v>43596</v>
      </c>
      <c r="B823" s="4">
        <v>1751.2</v>
      </c>
      <c r="C823" s="4">
        <f t="shared" si="161"/>
        <v>1.1573106412058016E-2</v>
      </c>
    </row>
    <row r="824" spans="1:3" s="4" customFormat="1" x14ac:dyDescent="0.3">
      <c r="A824" s="3">
        <v>43597</v>
      </c>
      <c r="B824" s="4">
        <v>1731.05</v>
      </c>
      <c r="C824" s="4">
        <f t="shared" si="161"/>
        <v>-1.8515602856331578E-2</v>
      </c>
    </row>
    <row r="825" spans="1:3" s="4" customFormat="1" x14ac:dyDescent="0.3">
      <c r="A825" s="3">
        <v>43598</v>
      </c>
      <c r="B825" s="4">
        <v>1763.4</v>
      </c>
      <c r="C825" s="4">
        <f t="shared" si="161"/>
        <v>2.5908333700227326E-2</v>
      </c>
    </row>
    <row r="826" spans="1:3" s="4" customFormat="1" x14ac:dyDescent="0.3">
      <c r="A826" s="3">
        <v>43599</v>
      </c>
      <c r="B826" s="4">
        <v>1718.3</v>
      </c>
      <c r="C826" s="4">
        <f t="shared" si="161"/>
        <v>-7.9991729569206162E-3</v>
      </c>
    </row>
    <row r="827" spans="1:3" s="4" customFormat="1" x14ac:dyDescent="0.3">
      <c r="A827" s="3">
        <v>43600</v>
      </c>
      <c r="B827" s="4">
        <v>1732.1001000000001</v>
      </c>
      <c r="C827" s="4">
        <f t="shared" si="161"/>
        <v>-6.6173384546174673E-3</v>
      </c>
    </row>
    <row r="828" spans="1:3" s="4" customFormat="1" x14ac:dyDescent="0.3">
      <c r="A828" s="3">
        <v>43601</v>
      </c>
      <c r="B828" s="4">
        <v>1743.6</v>
      </c>
      <c r="C828" s="4">
        <f t="shared" si="161"/>
        <v>-1.8974607790413826E-2</v>
      </c>
    </row>
    <row r="829" spans="1:3" s="4" customFormat="1" x14ac:dyDescent="0.3">
      <c r="A829" s="3">
        <v>43602</v>
      </c>
      <c r="B829" s="4">
        <v>1777</v>
      </c>
      <c r="C829" s="4">
        <f t="shared" si="161"/>
        <v>-1.0941609906974103E-2</v>
      </c>
    </row>
    <row r="830" spans="1:3" s="4" customFormat="1" x14ac:dyDescent="0.3">
      <c r="A830" s="3">
        <v>43603</v>
      </c>
      <c r="B830" s="4">
        <v>1796.55</v>
      </c>
      <c r="C830" s="4">
        <f t="shared" si="161"/>
        <v>-2.5689284440502447E-2</v>
      </c>
    </row>
    <row r="831" spans="1:3" s="4" customFormat="1" x14ac:dyDescent="0.3">
      <c r="A831" s="3">
        <v>43604</v>
      </c>
      <c r="B831" s="4">
        <v>1843.3</v>
      </c>
      <c r="C831" s="4">
        <f t="shared" si="161"/>
        <v>-2.5469072786886204E-2</v>
      </c>
    </row>
    <row r="832" spans="1:3" s="4" customFormat="1" x14ac:dyDescent="0.3">
      <c r="A832" s="3">
        <v>43605</v>
      </c>
      <c r="B832" s="4">
        <v>1890.8501000000001</v>
      </c>
      <c r="C832" s="4">
        <f t="shared" si="161"/>
        <v>1.6691993336748544E-2</v>
      </c>
    </row>
    <row r="833" spans="1:3" s="4" customFormat="1" x14ac:dyDescent="0.3">
      <c r="A833" s="3">
        <v>43606</v>
      </c>
      <c r="B833" s="4">
        <v>1859.55</v>
      </c>
      <c r="C833" s="4">
        <f t="shared" si="161"/>
        <v>1.9378286241710431E-3</v>
      </c>
    </row>
    <row r="834" spans="1:3" s="4" customFormat="1" x14ac:dyDescent="0.3">
      <c r="A834" s="3">
        <v>43607</v>
      </c>
      <c r="B834" s="4">
        <v>1855.95</v>
      </c>
      <c r="C834" s="4">
        <f t="shared" si="161"/>
        <v>2.1017298275392123E-2</v>
      </c>
    </row>
    <row r="835" spans="1:3" s="4" customFormat="1" x14ac:dyDescent="0.3">
      <c r="A835" s="3">
        <v>43608</v>
      </c>
      <c r="B835" s="4">
        <v>1817.35</v>
      </c>
      <c r="C835" s="4">
        <f t="shared" ref="C835:C898" si="162">LN(B835/B836)</f>
        <v>2.1206611877560861E-3</v>
      </c>
    </row>
    <row r="836" spans="1:3" s="4" customFormat="1" x14ac:dyDescent="0.3">
      <c r="A836" s="3">
        <v>43609</v>
      </c>
      <c r="B836" s="4">
        <v>1813.5001</v>
      </c>
      <c r="C836" s="4">
        <f t="shared" si="162"/>
        <v>-4.7583876793293317E-3</v>
      </c>
    </row>
    <row r="837" spans="1:3" s="4" customFormat="1" x14ac:dyDescent="0.3">
      <c r="A837" s="3">
        <v>43610</v>
      </c>
      <c r="B837" s="4">
        <v>1822.15</v>
      </c>
      <c r="C837" s="4">
        <f t="shared" si="162"/>
        <v>1.4828099849266121E-3</v>
      </c>
    </row>
    <row r="838" spans="1:3" s="4" customFormat="1" x14ac:dyDescent="0.3">
      <c r="A838" s="3">
        <v>43611</v>
      </c>
      <c r="B838" s="4">
        <v>1819.4501</v>
      </c>
      <c r="C838" s="4">
        <f t="shared" si="162"/>
        <v>3.1177138075566251E-2</v>
      </c>
    </row>
    <row r="839" spans="1:3" s="4" customFormat="1" x14ac:dyDescent="0.3">
      <c r="A839" s="3">
        <v>43612</v>
      </c>
      <c r="B839" s="4">
        <v>1763.6</v>
      </c>
      <c r="C839" s="4">
        <f t="shared" si="162"/>
        <v>-5.6700592536415132E-5</v>
      </c>
    </row>
    <row r="840" spans="1:3" s="4" customFormat="1" x14ac:dyDescent="0.3">
      <c r="A840" s="3">
        <v>43613</v>
      </c>
      <c r="B840" s="4">
        <v>1763.7</v>
      </c>
      <c r="C840" s="4">
        <f t="shared" si="162"/>
        <v>-1.2144530338335079E-2</v>
      </c>
    </row>
    <row r="841" spans="1:3" s="4" customFormat="1" x14ac:dyDescent="0.3">
      <c r="A841" s="3">
        <v>43614</v>
      </c>
      <c r="B841" s="4">
        <v>1785.2499</v>
      </c>
      <c r="C841" s="4">
        <f t="shared" si="162"/>
        <v>-1.1915840865060074E-2</v>
      </c>
    </row>
    <row r="842" spans="1:3" s="4" customFormat="1" x14ac:dyDescent="0.3">
      <c r="A842" s="3">
        <v>43615</v>
      </c>
      <c r="B842" s="4">
        <v>1806.6498999999999</v>
      </c>
      <c r="C842" s="4">
        <f t="shared" si="162"/>
        <v>3.8767988567858527E-2</v>
      </c>
    </row>
    <row r="843" spans="1:3" s="4" customFormat="1" x14ac:dyDescent="0.3">
      <c r="A843" s="3">
        <v>43616</v>
      </c>
      <c r="B843" s="4">
        <v>1737.95</v>
      </c>
      <c r="C843" s="4">
        <f t="shared" si="162"/>
        <v>-1.4282284535117193E-2</v>
      </c>
    </row>
    <row r="844" spans="1:3" s="4" customFormat="1" x14ac:dyDescent="0.3">
      <c r="A844" s="3">
        <v>43617</v>
      </c>
      <c r="B844" s="4">
        <v>1762.95</v>
      </c>
      <c r="C844" s="4">
        <f t="shared" si="162"/>
        <v>-1.8406431489467225E-2</v>
      </c>
    </row>
    <row r="845" spans="1:3" s="4" customFormat="1" x14ac:dyDescent="0.3">
      <c r="A845" s="3">
        <v>43618</v>
      </c>
      <c r="B845" s="4">
        <v>1795.7001</v>
      </c>
      <c r="C845" s="4">
        <f t="shared" si="162"/>
        <v>-1.5307916414362377E-2</v>
      </c>
    </row>
    <row r="846" spans="1:3" s="4" customFormat="1" x14ac:dyDescent="0.3">
      <c r="A846" s="3">
        <v>43619</v>
      </c>
      <c r="B846" s="4">
        <v>1823.4</v>
      </c>
      <c r="C846" s="4">
        <f t="shared" si="162"/>
        <v>3.1080252468104662E-2</v>
      </c>
    </row>
    <row r="847" spans="1:3" s="4" customFormat="1" x14ac:dyDescent="0.3">
      <c r="A847" s="3">
        <v>43620</v>
      </c>
      <c r="B847" s="4">
        <v>1767.5998999999999</v>
      </c>
      <c r="C847" s="4">
        <f t="shared" si="162"/>
        <v>2.5497643533644029E-2</v>
      </c>
    </row>
    <row r="848" spans="1:3" s="4" customFormat="1" x14ac:dyDescent="0.3">
      <c r="A848" s="3">
        <v>43621</v>
      </c>
      <c r="B848" s="4">
        <v>1723.1</v>
      </c>
      <c r="C848" s="4">
        <f t="shared" si="162"/>
        <v>0</v>
      </c>
    </row>
    <row r="849" spans="1:3" s="4" customFormat="1" x14ac:dyDescent="0.3">
      <c r="A849" s="3">
        <v>43622</v>
      </c>
      <c r="B849" s="4">
        <v>1723.1</v>
      </c>
      <c r="C849" s="4">
        <f t="shared" si="162"/>
        <v>1.5233544589299748E-2</v>
      </c>
    </row>
    <row r="850" spans="1:3" s="4" customFormat="1" x14ac:dyDescent="0.3">
      <c r="A850" s="3">
        <v>43623</v>
      </c>
      <c r="B850" s="4">
        <v>1697.05</v>
      </c>
      <c r="C850" s="4">
        <f t="shared" si="162"/>
        <v>1.4302914451098426E-2</v>
      </c>
    </row>
    <row r="851" spans="1:3" s="4" customFormat="1" x14ac:dyDescent="0.3">
      <c r="A851" s="3">
        <v>43624</v>
      </c>
      <c r="B851" s="4">
        <v>1672.95</v>
      </c>
      <c r="C851" s="4">
        <f t="shared" si="162"/>
        <v>-1.8595271250139135E-2</v>
      </c>
    </row>
    <row r="852" spans="1:3" s="4" customFormat="1" x14ac:dyDescent="0.3">
      <c r="A852" s="3">
        <v>43625</v>
      </c>
      <c r="B852" s="4">
        <v>1704.35</v>
      </c>
      <c r="C852" s="4">
        <f t="shared" si="162"/>
        <v>-2.3169465335704843E-2</v>
      </c>
    </row>
    <row r="853" spans="1:3" s="4" customFormat="1" x14ac:dyDescent="0.3">
      <c r="A853" s="3">
        <v>43626</v>
      </c>
      <c r="B853" s="4">
        <v>1744.2999</v>
      </c>
      <c r="C853" s="4">
        <f t="shared" si="162"/>
        <v>-4.7470708691637791E-3</v>
      </c>
    </row>
    <row r="854" spans="1:3" s="4" customFormat="1" x14ac:dyDescent="0.3">
      <c r="A854" s="3">
        <v>43627</v>
      </c>
      <c r="B854" s="4">
        <v>1752.5998999999999</v>
      </c>
      <c r="C854" s="4">
        <f t="shared" si="162"/>
        <v>-3.1977853000904062E-2</v>
      </c>
    </row>
    <row r="855" spans="1:3" s="4" customFormat="1" x14ac:dyDescent="0.3">
      <c r="A855" s="3">
        <v>43628</v>
      </c>
      <c r="B855" s="4">
        <v>1809.55</v>
      </c>
      <c r="C855" s="4">
        <f t="shared" si="162"/>
        <v>-3.6037002194393895E-2</v>
      </c>
    </row>
    <row r="856" spans="1:3" s="4" customFormat="1" x14ac:dyDescent="0.3">
      <c r="A856" s="3">
        <v>43629</v>
      </c>
      <c r="B856" s="4">
        <v>1875.95</v>
      </c>
      <c r="C856" s="4">
        <f t="shared" si="162"/>
        <v>-1.6244694347046789E-3</v>
      </c>
    </row>
    <row r="857" spans="1:3" s="4" customFormat="1" x14ac:dyDescent="0.3">
      <c r="A857" s="3">
        <v>43630</v>
      </c>
      <c r="B857" s="4">
        <v>1878.9999</v>
      </c>
      <c r="C857" s="4">
        <f t="shared" si="162"/>
        <v>0</v>
      </c>
    </row>
    <row r="858" spans="1:3" s="4" customFormat="1" x14ac:dyDescent="0.3">
      <c r="A858" s="3">
        <v>43631</v>
      </c>
      <c r="B858" s="4">
        <v>1878.9999</v>
      </c>
      <c r="C858" s="4">
        <f t="shared" si="162"/>
        <v>4.4760189845114061E-2</v>
      </c>
    </row>
    <row r="859" spans="1:3" s="4" customFormat="1" x14ac:dyDescent="0.3">
      <c r="A859" s="3">
        <v>43632</v>
      </c>
      <c r="B859" s="4">
        <v>1796.75</v>
      </c>
      <c r="C859" s="4">
        <f t="shared" si="162"/>
        <v>4.3044907682804522E-2</v>
      </c>
    </row>
    <row r="860" spans="1:3" s="4" customFormat="1" x14ac:dyDescent="0.3">
      <c r="A860" s="3">
        <v>43633</v>
      </c>
      <c r="B860" s="4">
        <v>1721.05</v>
      </c>
      <c r="C860" s="4">
        <f t="shared" si="162"/>
        <v>-1.1209130795916657E-2</v>
      </c>
    </row>
    <row r="861" spans="1:3" s="4" customFormat="1" x14ac:dyDescent="0.3">
      <c r="A861" s="3">
        <v>43634</v>
      </c>
      <c r="B861" s="4">
        <v>1740.45</v>
      </c>
      <c r="C861" s="4">
        <f t="shared" si="162"/>
        <v>3.8091817429195832E-2</v>
      </c>
    </row>
    <row r="862" spans="1:3" s="4" customFormat="1" x14ac:dyDescent="0.3">
      <c r="A862" s="3">
        <v>43635</v>
      </c>
      <c r="B862" s="4">
        <v>1675.3998999999999</v>
      </c>
      <c r="C862" s="4">
        <f t="shared" si="162"/>
        <v>-2.6824580880793331E-2</v>
      </c>
    </row>
    <row r="863" spans="1:3" s="4" customFormat="1" x14ac:dyDescent="0.3">
      <c r="A863" s="3">
        <v>43636</v>
      </c>
      <c r="B863" s="4">
        <v>1720.95</v>
      </c>
      <c r="C863" s="4">
        <f t="shared" si="162"/>
        <v>1.5410339605623708E-3</v>
      </c>
    </row>
    <row r="864" spans="1:3" s="4" customFormat="1" x14ac:dyDescent="0.3">
      <c r="A864" s="3">
        <v>43637</v>
      </c>
      <c r="B864" s="4">
        <v>1718.3</v>
      </c>
      <c r="C864" s="4">
        <f t="shared" si="162"/>
        <v>1.0189674375405933E-3</v>
      </c>
    </row>
    <row r="865" spans="1:3" s="4" customFormat="1" x14ac:dyDescent="0.3">
      <c r="A865" s="3">
        <v>43638</v>
      </c>
      <c r="B865" s="4">
        <v>1716.55</v>
      </c>
      <c r="C865" s="4">
        <f t="shared" si="162"/>
        <v>2.4354114354463875E-2</v>
      </c>
    </row>
    <row r="866" spans="1:3" s="4" customFormat="1" x14ac:dyDescent="0.3">
      <c r="A866" s="3">
        <v>43639</v>
      </c>
      <c r="B866" s="4">
        <v>1675.2499</v>
      </c>
      <c r="C866" s="4">
        <f t="shared" si="162"/>
        <v>2.2110084963638615E-3</v>
      </c>
    </row>
    <row r="867" spans="1:3" s="4" customFormat="1" x14ac:dyDescent="0.3">
      <c r="A867" s="3">
        <v>43640</v>
      </c>
      <c r="B867" s="4">
        <v>1671.55</v>
      </c>
      <c r="C867" s="4">
        <f t="shared" si="162"/>
        <v>4.1664252778458805E-3</v>
      </c>
    </row>
    <row r="868" spans="1:3" s="4" customFormat="1" x14ac:dyDescent="0.3">
      <c r="A868" s="3">
        <v>43641</v>
      </c>
      <c r="B868" s="4">
        <v>1664.6001000000001</v>
      </c>
      <c r="C868" s="4">
        <f t="shared" si="162"/>
        <v>2.6356617830462028E-2</v>
      </c>
    </row>
    <row r="869" spans="1:3" s="4" customFormat="1" x14ac:dyDescent="0.3">
      <c r="A869" s="3">
        <v>43642</v>
      </c>
      <c r="B869" s="4">
        <v>1621.3</v>
      </c>
      <c r="C869" s="4">
        <f t="shared" si="162"/>
        <v>-9.2475577626869145E-4</v>
      </c>
    </row>
    <row r="870" spans="1:3" s="4" customFormat="1" x14ac:dyDescent="0.3">
      <c r="A870" s="3">
        <v>43643</v>
      </c>
      <c r="B870" s="4">
        <v>1622.8</v>
      </c>
      <c r="C870" s="4">
        <f t="shared" si="162"/>
        <v>0</v>
      </c>
    </row>
    <row r="871" spans="1:3" s="4" customFormat="1" x14ac:dyDescent="0.3">
      <c r="A871" s="3">
        <v>43644</v>
      </c>
      <c r="B871" s="4">
        <v>1622.8</v>
      </c>
      <c r="C871" s="4">
        <f t="shared" si="162"/>
        <v>-2.0976378870954628E-2</v>
      </c>
    </row>
    <row r="872" spans="1:3" s="4" customFormat="1" x14ac:dyDescent="0.3">
      <c r="A872" s="3">
        <v>43645</v>
      </c>
      <c r="B872" s="4">
        <v>1657.2</v>
      </c>
      <c r="C872" s="4">
        <f t="shared" si="162"/>
        <v>2.6586118378725977E-3</v>
      </c>
    </row>
    <row r="873" spans="1:3" s="4" customFormat="1" x14ac:dyDescent="0.3">
      <c r="A873" s="3">
        <v>43646</v>
      </c>
      <c r="B873" s="4">
        <v>1652.8</v>
      </c>
      <c r="C873" s="4">
        <f t="shared" si="162"/>
        <v>1.2082624357234648E-2</v>
      </c>
    </row>
    <row r="874" spans="1:3" s="4" customFormat="1" x14ac:dyDescent="0.3">
      <c r="A874" s="3">
        <v>43647</v>
      </c>
      <c r="B874" s="4">
        <v>1632.95</v>
      </c>
      <c r="C874" s="4">
        <f t="shared" si="162"/>
        <v>1.477538916616207E-2</v>
      </c>
    </row>
    <row r="875" spans="1:3" s="4" customFormat="1" x14ac:dyDescent="0.3">
      <c r="A875" s="3">
        <v>43648</v>
      </c>
      <c r="B875" s="4">
        <v>1608.9999</v>
      </c>
      <c r="C875" s="4">
        <f t="shared" si="162"/>
        <v>9.0152501486154507E-4</v>
      </c>
    </row>
    <row r="876" spans="1:3" s="4" customFormat="1" x14ac:dyDescent="0.3">
      <c r="A876" s="3">
        <v>43649</v>
      </c>
      <c r="B876" s="4">
        <v>1607.55</v>
      </c>
      <c r="C876" s="4">
        <f t="shared" si="162"/>
        <v>-1.5738089933068907E-2</v>
      </c>
    </row>
    <row r="877" spans="1:3" s="4" customFormat="1" x14ac:dyDescent="0.3">
      <c r="A877" s="3">
        <v>43650</v>
      </c>
      <c r="B877" s="4">
        <v>1633.0499</v>
      </c>
      <c r="C877" s="4">
        <f t="shared" si="162"/>
        <v>-1.0719778954630268E-2</v>
      </c>
    </row>
    <row r="878" spans="1:3" s="4" customFormat="1" x14ac:dyDescent="0.3">
      <c r="A878" s="3">
        <v>43651</v>
      </c>
      <c r="B878" s="4">
        <v>1650.65</v>
      </c>
      <c r="C878" s="4">
        <f t="shared" si="162"/>
        <v>-5.7689273061203436E-3</v>
      </c>
    </row>
    <row r="879" spans="1:3" s="4" customFormat="1" x14ac:dyDescent="0.3">
      <c r="A879" s="3">
        <v>43652</v>
      </c>
      <c r="B879" s="4">
        <v>1660.2</v>
      </c>
      <c r="C879" s="4">
        <f t="shared" si="162"/>
        <v>1.0201174864601098E-2</v>
      </c>
    </row>
    <row r="880" spans="1:3" s="4" customFormat="1" x14ac:dyDescent="0.3">
      <c r="A880" s="3">
        <v>43653</v>
      </c>
      <c r="B880" s="4">
        <v>1643.3501000000001</v>
      </c>
      <c r="C880" s="4">
        <f t="shared" si="162"/>
        <v>0</v>
      </c>
    </row>
    <row r="881" spans="1:3" s="4" customFormat="1" x14ac:dyDescent="0.3">
      <c r="A881" s="3">
        <v>43654</v>
      </c>
      <c r="B881" s="4">
        <v>1643.3501000000001</v>
      </c>
      <c r="C881" s="4">
        <f t="shared" si="162"/>
        <v>1.7463804997975788E-2</v>
      </c>
    </row>
    <row r="882" spans="1:3" s="4" customFormat="1" x14ac:dyDescent="0.3">
      <c r="A882" s="3">
        <v>43655</v>
      </c>
      <c r="B882" s="4">
        <v>1614.9001000000001</v>
      </c>
      <c r="C882" s="4">
        <f t="shared" si="162"/>
        <v>-1.5849943812071294E-2</v>
      </c>
    </row>
    <row r="883" spans="1:3" s="4" customFormat="1" x14ac:dyDescent="0.3">
      <c r="A883" s="3">
        <v>43656</v>
      </c>
      <c r="B883" s="4">
        <v>1640.7001</v>
      </c>
      <c r="C883" s="4">
        <f t="shared" si="162"/>
        <v>-2.1346625162783139E-2</v>
      </c>
    </row>
    <row r="884" spans="1:3" s="4" customFormat="1" x14ac:dyDescent="0.3">
      <c r="A884" s="3">
        <v>43657</v>
      </c>
      <c r="B884" s="4">
        <v>1676.1</v>
      </c>
      <c r="C884" s="4">
        <f t="shared" si="162"/>
        <v>-9.8256820186062889E-3</v>
      </c>
    </row>
    <row r="885" spans="1:3" s="4" customFormat="1" x14ac:dyDescent="0.3">
      <c r="A885" s="3">
        <v>43658</v>
      </c>
      <c r="B885" s="4">
        <v>1692.65</v>
      </c>
      <c r="C885" s="4">
        <f t="shared" si="162"/>
        <v>2.8585359551066326E-2</v>
      </c>
    </row>
    <row r="886" spans="1:3" s="4" customFormat="1" x14ac:dyDescent="0.3">
      <c r="A886" s="3">
        <v>43659</v>
      </c>
      <c r="B886" s="4">
        <v>1644.95</v>
      </c>
      <c r="C886" s="4">
        <f t="shared" si="162"/>
        <v>-5.8795174827477653E-3</v>
      </c>
    </row>
    <row r="887" spans="1:3" s="4" customFormat="1" x14ac:dyDescent="0.3">
      <c r="A887" s="3">
        <v>43660</v>
      </c>
      <c r="B887" s="4">
        <v>1654.65</v>
      </c>
      <c r="C887" s="4">
        <f t="shared" si="162"/>
        <v>-5.4625300918431166E-2</v>
      </c>
    </row>
    <row r="888" spans="1:3" s="4" customFormat="1" x14ac:dyDescent="0.3">
      <c r="A888" s="3">
        <v>43661</v>
      </c>
      <c r="B888" s="4">
        <v>1747.55</v>
      </c>
      <c r="C888" s="4">
        <f t="shared" si="162"/>
        <v>-3.3868115735744622E-2</v>
      </c>
    </row>
    <row r="889" spans="1:3" s="4" customFormat="1" x14ac:dyDescent="0.3">
      <c r="A889" s="3">
        <v>43662</v>
      </c>
      <c r="B889" s="4">
        <v>1807.7499</v>
      </c>
      <c r="C889" s="4">
        <f t="shared" si="162"/>
        <v>7.7075992846678459E-2</v>
      </c>
    </row>
    <row r="890" spans="1:3" s="4" customFormat="1" x14ac:dyDescent="0.3">
      <c r="A890" s="3">
        <v>43663</v>
      </c>
      <c r="B890" s="4">
        <v>1673.6501000000001</v>
      </c>
      <c r="C890" s="4">
        <f t="shared" si="162"/>
        <v>2.4190093488572435E-2</v>
      </c>
    </row>
    <row r="891" spans="1:3" s="4" customFormat="1" x14ac:dyDescent="0.3">
      <c r="A891" s="3">
        <v>43664</v>
      </c>
      <c r="B891" s="4">
        <v>1633.6501000000001</v>
      </c>
      <c r="C891" s="4">
        <f t="shared" si="162"/>
        <v>-7.7438191852025173E-3</v>
      </c>
    </row>
    <row r="892" spans="1:3" s="4" customFormat="1" x14ac:dyDescent="0.3">
      <c r="A892" s="3">
        <v>43665</v>
      </c>
      <c r="B892" s="4">
        <v>1646.3498999999999</v>
      </c>
      <c r="C892" s="4">
        <f t="shared" si="162"/>
        <v>-8.9193779094033018E-3</v>
      </c>
    </row>
    <row r="893" spans="1:3" s="4" customFormat="1" x14ac:dyDescent="0.3">
      <c r="A893" s="3">
        <v>43666</v>
      </c>
      <c r="B893" s="4">
        <v>1661.1</v>
      </c>
      <c r="C893" s="4">
        <f t="shared" si="162"/>
        <v>1.6267513754612375E-3</v>
      </c>
    </row>
    <row r="894" spans="1:3" s="4" customFormat="1" x14ac:dyDescent="0.3">
      <c r="A894" s="3">
        <v>43667</v>
      </c>
      <c r="B894" s="4">
        <v>1658.4</v>
      </c>
      <c r="C894" s="4">
        <f t="shared" si="162"/>
        <v>-1.8904832156714658E-2</v>
      </c>
    </row>
    <row r="895" spans="1:3" s="4" customFormat="1" x14ac:dyDescent="0.3">
      <c r="A895" s="3">
        <v>43668</v>
      </c>
      <c r="B895" s="4">
        <v>1690.05</v>
      </c>
      <c r="C895" s="4">
        <f t="shared" si="162"/>
        <v>3.4033101018918668E-2</v>
      </c>
    </row>
    <row r="896" spans="1:3" s="4" customFormat="1" x14ac:dyDescent="0.3">
      <c r="A896" s="3">
        <v>43669</v>
      </c>
      <c r="B896" s="4">
        <v>1633.5001</v>
      </c>
      <c r="C896" s="4">
        <f t="shared" si="162"/>
        <v>-6.4252383163879753E-4</v>
      </c>
    </row>
    <row r="897" spans="1:3" s="4" customFormat="1" x14ac:dyDescent="0.3">
      <c r="A897" s="3">
        <v>43670</v>
      </c>
      <c r="B897" s="4">
        <v>1634.55</v>
      </c>
      <c r="C897" s="4">
        <f t="shared" si="162"/>
        <v>0</v>
      </c>
    </row>
    <row r="898" spans="1:3" s="4" customFormat="1" x14ac:dyDescent="0.3">
      <c r="A898" s="3">
        <v>43671</v>
      </c>
      <c r="B898" s="4">
        <v>1634.55</v>
      </c>
      <c r="C898" s="4">
        <f t="shared" si="162"/>
        <v>-2.2000192208423489E-3</v>
      </c>
    </row>
    <row r="899" spans="1:3" s="4" customFormat="1" x14ac:dyDescent="0.3">
      <c r="A899" s="3">
        <v>43672</v>
      </c>
      <c r="B899" s="4">
        <v>1638.15</v>
      </c>
      <c r="C899" s="4">
        <f t="shared" ref="C899:C962" si="163">LN(B899/B900)</f>
        <v>9.1976609770146212E-2</v>
      </c>
    </row>
    <row r="900" spans="1:3" s="4" customFormat="1" x14ac:dyDescent="0.3">
      <c r="A900" s="3">
        <v>43673</v>
      </c>
      <c r="B900" s="4">
        <v>1494.2</v>
      </c>
      <c r="C900" s="4">
        <f t="shared" si="163"/>
        <v>1.2492375871697107E-2</v>
      </c>
    </row>
    <row r="901" spans="1:3" s="4" customFormat="1" x14ac:dyDescent="0.3">
      <c r="A901" s="3">
        <v>43674</v>
      </c>
      <c r="B901" s="4">
        <v>1475.65</v>
      </c>
      <c r="C901" s="4">
        <f t="shared" si="163"/>
        <v>-2.7207494650335014E-2</v>
      </c>
    </row>
    <row r="902" spans="1:3" s="4" customFormat="1" x14ac:dyDescent="0.3">
      <c r="A902" s="3">
        <v>43675</v>
      </c>
      <c r="B902" s="4">
        <v>1516.3498999999999</v>
      </c>
      <c r="C902" s="4">
        <f t="shared" si="163"/>
        <v>-1.7132413413143007E-3</v>
      </c>
    </row>
    <row r="903" spans="1:3" s="4" customFormat="1" x14ac:dyDescent="0.3">
      <c r="A903" s="3">
        <v>43676</v>
      </c>
      <c r="B903" s="4">
        <v>1518.95</v>
      </c>
      <c r="C903" s="4">
        <f t="shared" si="163"/>
        <v>2.0720787904412202E-2</v>
      </c>
    </row>
    <row r="904" spans="1:3" s="4" customFormat="1" x14ac:dyDescent="0.3">
      <c r="A904" s="3">
        <v>43677</v>
      </c>
      <c r="B904" s="4">
        <v>1487.8</v>
      </c>
      <c r="C904" s="4">
        <f t="shared" si="163"/>
        <v>-6.7322277948805211E-3</v>
      </c>
    </row>
    <row r="905" spans="1:3" s="4" customFormat="1" x14ac:dyDescent="0.3">
      <c r="A905" s="3">
        <v>43678</v>
      </c>
      <c r="B905" s="4">
        <v>1497.85</v>
      </c>
      <c r="C905" s="4">
        <f t="shared" si="163"/>
        <v>-1.4679588288200556E-2</v>
      </c>
    </row>
    <row r="906" spans="1:3" s="4" customFormat="1" x14ac:dyDescent="0.3">
      <c r="A906" s="3">
        <v>43679</v>
      </c>
      <c r="B906" s="4">
        <v>1520</v>
      </c>
      <c r="C906" s="4">
        <f t="shared" si="163"/>
        <v>-2.4211174509695718E-2</v>
      </c>
    </row>
    <row r="907" spans="1:3" s="4" customFormat="1" x14ac:dyDescent="0.3">
      <c r="A907" s="3">
        <v>43680</v>
      </c>
      <c r="B907" s="4">
        <v>1557.2501</v>
      </c>
      <c r="C907" s="4">
        <f t="shared" si="163"/>
        <v>-1.1872223324880522E-3</v>
      </c>
    </row>
    <row r="908" spans="1:3" s="4" customFormat="1" x14ac:dyDescent="0.3">
      <c r="A908" s="3">
        <v>43681</v>
      </c>
      <c r="B908" s="4">
        <v>1559.1</v>
      </c>
      <c r="C908" s="4">
        <f t="shared" si="163"/>
        <v>-3.6173990302754873E-3</v>
      </c>
    </row>
    <row r="909" spans="1:3" s="4" customFormat="1" x14ac:dyDescent="0.3">
      <c r="A909" s="3">
        <v>43682</v>
      </c>
      <c r="B909" s="4">
        <v>1564.7501</v>
      </c>
      <c r="C909" s="4">
        <f t="shared" si="163"/>
        <v>1.0762355563108774E-2</v>
      </c>
    </row>
    <row r="910" spans="1:3" s="4" customFormat="1" x14ac:dyDescent="0.3">
      <c r="A910" s="3">
        <v>43683</v>
      </c>
      <c r="B910" s="4">
        <v>1548</v>
      </c>
      <c r="C910" s="4">
        <f t="shared" si="163"/>
        <v>-3.9006512924900545E-3</v>
      </c>
    </row>
    <row r="911" spans="1:3" s="4" customFormat="1" x14ac:dyDescent="0.3">
      <c r="A911" s="3">
        <v>43684</v>
      </c>
      <c r="B911" s="4">
        <v>1554.05</v>
      </c>
      <c r="C911" s="4">
        <f t="shared" si="163"/>
        <v>1.5269947056695257E-2</v>
      </c>
    </row>
    <row r="912" spans="1:3" s="4" customFormat="1" x14ac:dyDescent="0.3">
      <c r="A912" s="3">
        <v>43685</v>
      </c>
      <c r="B912" s="4">
        <v>1530.5</v>
      </c>
      <c r="C912" s="4">
        <f t="shared" si="163"/>
        <v>-2.5863232555307012E-2</v>
      </c>
    </row>
    <row r="913" spans="1:3" s="4" customFormat="1" x14ac:dyDescent="0.3">
      <c r="A913" s="3">
        <v>43686</v>
      </c>
      <c r="B913" s="4">
        <v>1570.6</v>
      </c>
      <c r="C913" s="4">
        <f t="shared" si="163"/>
        <v>-3.3680804871368625E-2</v>
      </c>
    </row>
    <row r="914" spans="1:3" s="4" customFormat="1" x14ac:dyDescent="0.3">
      <c r="A914" s="3">
        <v>43687</v>
      </c>
      <c r="B914" s="4">
        <v>1624.4</v>
      </c>
      <c r="C914" s="4">
        <f t="shared" si="163"/>
        <v>0</v>
      </c>
    </row>
    <row r="915" spans="1:3" s="4" customFormat="1" x14ac:dyDescent="0.3">
      <c r="A915" s="3">
        <v>43688</v>
      </c>
      <c r="B915" s="4">
        <v>1624.4</v>
      </c>
      <c r="C915" s="4">
        <f t="shared" si="163"/>
        <v>2.7432322595529802E-3</v>
      </c>
    </row>
    <row r="916" spans="1:3" s="4" customFormat="1" x14ac:dyDescent="0.3">
      <c r="A916" s="3">
        <v>43689</v>
      </c>
      <c r="B916" s="4">
        <v>1619.95</v>
      </c>
      <c r="C916" s="4">
        <f t="shared" si="163"/>
        <v>9.0534832261350041E-3</v>
      </c>
    </row>
    <row r="917" spans="1:3" s="4" customFormat="1" x14ac:dyDescent="0.3">
      <c r="A917" s="3">
        <v>43690</v>
      </c>
      <c r="B917" s="4">
        <v>1605.35</v>
      </c>
      <c r="C917" s="4">
        <f t="shared" si="163"/>
        <v>-3.5972621131982609E-2</v>
      </c>
    </row>
    <row r="918" spans="1:3" s="4" customFormat="1" x14ac:dyDescent="0.3">
      <c r="A918" s="3">
        <v>43691</v>
      </c>
      <c r="B918" s="4">
        <v>1664.1498999999999</v>
      </c>
      <c r="C918" s="4">
        <f t="shared" si="163"/>
        <v>0</v>
      </c>
    </row>
    <row r="919" spans="1:3" s="4" customFormat="1" x14ac:dyDescent="0.3">
      <c r="A919" s="3">
        <v>43692</v>
      </c>
      <c r="B919" s="4">
        <v>1664.1498999999999</v>
      </c>
      <c r="C919" s="4">
        <f t="shared" si="163"/>
        <v>-3.073985194982011E-2</v>
      </c>
    </row>
    <row r="920" spans="1:3" s="4" customFormat="1" x14ac:dyDescent="0.3">
      <c r="A920" s="3">
        <v>43693</v>
      </c>
      <c r="B920" s="4">
        <v>1716.1</v>
      </c>
      <c r="C920" s="4">
        <f t="shared" si="163"/>
        <v>4.4504738212646035E-2</v>
      </c>
    </row>
    <row r="921" spans="1:3" s="4" customFormat="1" x14ac:dyDescent="0.3">
      <c r="A921" s="3">
        <v>43694</v>
      </c>
      <c r="B921" s="4">
        <v>1641.4</v>
      </c>
      <c r="C921" s="4">
        <f t="shared" si="163"/>
        <v>-2.458270631701099E-2</v>
      </c>
    </row>
    <row r="922" spans="1:3" s="4" customFormat="1" x14ac:dyDescent="0.3">
      <c r="A922" s="3">
        <v>43695</v>
      </c>
      <c r="B922" s="4">
        <v>1682.2501</v>
      </c>
      <c r="C922" s="4">
        <f t="shared" si="163"/>
        <v>9.8137001850465947E-4</v>
      </c>
    </row>
    <row r="923" spans="1:3" s="4" customFormat="1" x14ac:dyDescent="0.3">
      <c r="A923" s="3">
        <v>43696</v>
      </c>
      <c r="B923" s="4">
        <v>1680.6</v>
      </c>
      <c r="C923" s="4">
        <f t="shared" si="163"/>
        <v>-1.5459304599175535E-3</v>
      </c>
    </row>
    <row r="924" spans="1:3" s="4" customFormat="1" x14ac:dyDescent="0.3">
      <c r="A924" s="3">
        <v>43697</v>
      </c>
      <c r="B924" s="4">
        <v>1683.2001</v>
      </c>
      <c r="C924" s="4">
        <f t="shared" si="163"/>
        <v>-1.4860457013276072E-2</v>
      </c>
    </row>
    <row r="925" spans="1:3" s="4" customFormat="1" x14ac:dyDescent="0.3">
      <c r="A925" s="3">
        <v>43698</v>
      </c>
      <c r="B925" s="4">
        <v>1708.4</v>
      </c>
      <c r="C925" s="4">
        <f t="shared" si="163"/>
        <v>-8.6837973202199114E-3</v>
      </c>
    </row>
    <row r="926" spans="1:3" s="4" customFormat="1" x14ac:dyDescent="0.3">
      <c r="A926" s="3">
        <v>43699</v>
      </c>
      <c r="B926" s="4">
        <v>1723.3</v>
      </c>
      <c r="C926" s="4">
        <f t="shared" si="163"/>
        <v>-9.6727911403668623E-3</v>
      </c>
    </row>
    <row r="927" spans="1:3" s="4" customFormat="1" x14ac:dyDescent="0.3">
      <c r="A927" s="3">
        <v>43700</v>
      </c>
      <c r="B927" s="4">
        <v>1740.05</v>
      </c>
      <c r="C927" s="4">
        <f t="shared" si="163"/>
        <v>-1.437841831935662E-2</v>
      </c>
    </row>
    <row r="928" spans="1:3" s="4" customFormat="1" x14ac:dyDescent="0.3">
      <c r="A928" s="3">
        <v>43701</v>
      </c>
      <c r="B928" s="4">
        <v>1765.2499</v>
      </c>
      <c r="C928" s="4">
        <f t="shared" si="163"/>
        <v>-1.8466091833474238E-2</v>
      </c>
    </row>
    <row r="929" spans="1:3" s="4" customFormat="1" x14ac:dyDescent="0.3">
      <c r="A929" s="3">
        <v>43702</v>
      </c>
      <c r="B929" s="4">
        <v>1798.15</v>
      </c>
      <c r="C929" s="4">
        <f t="shared" si="163"/>
        <v>-1.722509733002812E-3</v>
      </c>
    </row>
    <row r="930" spans="1:3" s="4" customFormat="1" x14ac:dyDescent="0.3">
      <c r="A930" s="3">
        <v>43703</v>
      </c>
      <c r="B930" s="4">
        <v>1801.25</v>
      </c>
      <c r="C930" s="4">
        <f t="shared" si="163"/>
        <v>-3.260624169192896E-2</v>
      </c>
    </row>
    <row r="931" spans="1:3" s="4" customFormat="1" x14ac:dyDescent="0.3">
      <c r="A931" s="3">
        <v>43704</v>
      </c>
      <c r="B931" s="4">
        <v>1860.95</v>
      </c>
      <c r="C931" s="4">
        <f t="shared" si="163"/>
        <v>1.967152006317123E-2</v>
      </c>
    </row>
    <row r="932" spans="1:3" s="4" customFormat="1" x14ac:dyDescent="0.3">
      <c r="A932" s="3">
        <v>43705</v>
      </c>
      <c r="B932" s="4">
        <v>1824.7</v>
      </c>
      <c r="C932" s="4">
        <f t="shared" si="163"/>
        <v>7.3707704436186223E-3</v>
      </c>
    </row>
    <row r="933" spans="1:3" s="4" customFormat="1" x14ac:dyDescent="0.3">
      <c r="A933" s="3">
        <v>43706</v>
      </c>
      <c r="B933" s="4">
        <v>1811.3</v>
      </c>
      <c r="C933" s="4">
        <f t="shared" si="163"/>
        <v>-7.1241241468585773E-3</v>
      </c>
    </row>
    <row r="934" spans="1:3" s="4" customFormat="1" x14ac:dyDescent="0.3">
      <c r="A934" s="3">
        <v>43707</v>
      </c>
      <c r="B934" s="4">
        <v>1824.25</v>
      </c>
      <c r="C934" s="4">
        <f t="shared" si="163"/>
        <v>9.6669668658478959E-3</v>
      </c>
    </row>
    <row r="935" spans="1:3" s="4" customFormat="1" x14ac:dyDescent="0.3">
      <c r="A935" s="3">
        <v>43708</v>
      </c>
      <c r="B935" s="4">
        <v>1806.7</v>
      </c>
      <c r="C935" s="4">
        <f t="shared" si="163"/>
        <v>-1.1529011819092364E-2</v>
      </c>
    </row>
    <row r="936" spans="1:3" s="4" customFormat="1" x14ac:dyDescent="0.3">
      <c r="A936" s="3">
        <v>43709</v>
      </c>
      <c r="B936" s="4">
        <v>1827.65</v>
      </c>
      <c r="C936" s="4">
        <f t="shared" si="163"/>
        <v>-4.5275717469954693E-2</v>
      </c>
    </row>
    <row r="937" spans="1:3" s="4" customFormat="1" x14ac:dyDescent="0.3">
      <c r="A937" s="3">
        <v>43710</v>
      </c>
      <c r="B937" s="4">
        <v>1912.3</v>
      </c>
      <c r="C937" s="4">
        <f t="shared" si="163"/>
        <v>9.9325513741375712E-3</v>
      </c>
    </row>
    <row r="938" spans="1:3" s="4" customFormat="1" x14ac:dyDescent="0.3">
      <c r="A938" s="3">
        <v>43711</v>
      </c>
      <c r="B938" s="4">
        <v>1893.4</v>
      </c>
      <c r="C938" s="4">
        <f t="shared" si="163"/>
        <v>-9.4355916396422126E-3</v>
      </c>
    </row>
    <row r="939" spans="1:3" s="4" customFormat="1" x14ac:dyDescent="0.3">
      <c r="A939" s="3">
        <v>43712</v>
      </c>
      <c r="B939" s="4">
        <v>1911.3498999999999</v>
      </c>
      <c r="C939" s="4">
        <f t="shared" si="163"/>
        <v>1.8507993841104159E-2</v>
      </c>
    </row>
    <row r="940" spans="1:3" s="4" customFormat="1" x14ac:dyDescent="0.3">
      <c r="A940" s="3">
        <v>43713</v>
      </c>
      <c r="B940" s="4">
        <v>1876.3</v>
      </c>
      <c r="C940" s="4">
        <f t="shared" si="163"/>
        <v>-9.7323723947651073E-3</v>
      </c>
    </row>
    <row r="941" spans="1:3" s="4" customFormat="1" x14ac:dyDescent="0.3">
      <c r="A941" s="3">
        <v>43714</v>
      </c>
      <c r="B941" s="4">
        <v>1894.65</v>
      </c>
      <c r="C941" s="4">
        <f t="shared" si="163"/>
        <v>1.1385873194126112E-2</v>
      </c>
    </row>
    <row r="942" spans="1:3" s="4" customFormat="1" x14ac:dyDescent="0.3">
      <c r="A942" s="3">
        <v>43715</v>
      </c>
      <c r="B942" s="4">
        <v>1873.2001</v>
      </c>
      <c r="C942" s="4">
        <f t="shared" si="163"/>
        <v>-1.1280360014262962E-2</v>
      </c>
    </row>
    <row r="943" spans="1:3" s="4" customFormat="1" x14ac:dyDescent="0.3">
      <c r="A943" s="3">
        <v>43716</v>
      </c>
      <c r="B943" s="4">
        <v>1894.4501</v>
      </c>
      <c r="C943" s="4">
        <f t="shared" si="163"/>
        <v>-2.898958310560933E-3</v>
      </c>
    </row>
    <row r="944" spans="1:3" s="4" customFormat="1" x14ac:dyDescent="0.3">
      <c r="A944" s="3">
        <v>43717</v>
      </c>
      <c r="B944" s="4">
        <v>1899.95</v>
      </c>
      <c r="C944" s="4">
        <f t="shared" si="163"/>
        <v>6.317951088091198E-4</v>
      </c>
    </row>
    <row r="945" spans="1:3" s="4" customFormat="1" x14ac:dyDescent="0.3">
      <c r="A945" s="3">
        <v>43718</v>
      </c>
      <c r="B945" s="4">
        <v>1898.75</v>
      </c>
      <c r="C945" s="4">
        <f t="shared" si="163"/>
        <v>-4.6888661543417774E-2</v>
      </c>
    </row>
    <row r="946" spans="1:3" s="4" customFormat="1" x14ac:dyDescent="0.3">
      <c r="A946" s="3">
        <v>43719</v>
      </c>
      <c r="B946" s="4">
        <v>1989.9001000000001</v>
      </c>
      <c r="C946" s="4">
        <f t="shared" si="163"/>
        <v>-1.2832481353042668E-2</v>
      </c>
    </row>
    <row r="947" spans="1:3" s="4" customFormat="1" x14ac:dyDescent="0.3">
      <c r="A947" s="3">
        <v>43720</v>
      </c>
      <c r="B947" s="4">
        <v>2015.6</v>
      </c>
      <c r="C947" s="4">
        <f t="shared" si="163"/>
        <v>3.1140723587600894E-2</v>
      </c>
    </row>
    <row r="948" spans="1:3" s="4" customFormat="1" x14ac:dyDescent="0.3">
      <c r="A948" s="3">
        <v>43721</v>
      </c>
      <c r="B948" s="4">
        <v>1953.8</v>
      </c>
      <c r="C948" s="4">
        <f t="shared" si="163"/>
        <v>2.1364907518151267E-2</v>
      </c>
    </row>
    <row r="949" spans="1:3" s="4" customFormat="1" x14ac:dyDescent="0.3">
      <c r="A949" s="3">
        <v>43722</v>
      </c>
      <c r="B949" s="4">
        <v>1912.5</v>
      </c>
      <c r="C949" s="4">
        <f t="shared" si="163"/>
        <v>6.5310851029396801E-3</v>
      </c>
    </row>
    <row r="950" spans="1:3" s="4" customFormat="1" x14ac:dyDescent="0.3">
      <c r="A950" s="3">
        <v>43723</v>
      </c>
      <c r="B950" s="4">
        <v>1900.05</v>
      </c>
      <c r="C950" s="4">
        <f t="shared" si="163"/>
        <v>-4.0705441133564776E-3</v>
      </c>
    </row>
    <row r="951" spans="1:3" s="4" customFormat="1" x14ac:dyDescent="0.3">
      <c r="A951" s="3">
        <v>43724</v>
      </c>
      <c r="B951" s="4">
        <v>1907.8</v>
      </c>
      <c r="C951" s="4">
        <f t="shared" si="163"/>
        <v>-2.1083438973722453E-2</v>
      </c>
    </row>
    <row r="952" spans="1:3" s="4" customFormat="1" x14ac:dyDescent="0.3">
      <c r="A952" s="3">
        <v>43725</v>
      </c>
      <c r="B952" s="4">
        <v>1948.45</v>
      </c>
      <c r="C952" s="4">
        <f t="shared" si="163"/>
        <v>-2.064809042618487E-2</v>
      </c>
    </row>
    <row r="953" spans="1:3" s="4" customFormat="1" x14ac:dyDescent="0.3">
      <c r="A953" s="3">
        <v>43726</v>
      </c>
      <c r="B953" s="4">
        <v>1989.1</v>
      </c>
      <c r="C953" s="4">
        <f t="shared" si="163"/>
        <v>-4.2391545052485706E-3</v>
      </c>
    </row>
    <row r="954" spans="1:3" s="4" customFormat="1" x14ac:dyDescent="0.3">
      <c r="A954" s="3">
        <v>43727</v>
      </c>
      <c r="B954" s="4">
        <v>1997.55</v>
      </c>
      <c r="C954" s="4">
        <f t="shared" si="163"/>
        <v>-2.386748140664343E-2</v>
      </c>
    </row>
    <row r="955" spans="1:3" s="4" customFormat="1" x14ac:dyDescent="0.3">
      <c r="A955" s="3">
        <v>43728</v>
      </c>
      <c r="B955" s="4">
        <v>2045.8</v>
      </c>
      <c r="C955" s="4">
        <f t="shared" si="163"/>
        <v>1.0759525662640741E-3</v>
      </c>
    </row>
    <row r="956" spans="1:3" s="4" customFormat="1" x14ac:dyDescent="0.3">
      <c r="A956" s="3">
        <v>43729</v>
      </c>
      <c r="B956" s="4">
        <v>2043.6</v>
      </c>
      <c r="C956" s="4">
        <f t="shared" si="163"/>
        <v>-1.0804602115890303E-2</v>
      </c>
    </row>
    <row r="957" spans="1:3" s="4" customFormat="1" x14ac:dyDescent="0.3">
      <c r="A957" s="3">
        <v>43730</v>
      </c>
      <c r="B957" s="4">
        <v>2065.8000000000002</v>
      </c>
      <c r="C957" s="4">
        <f t="shared" si="163"/>
        <v>9.7041606521015584E-3</v>
      </c>
    </row>
    <row r="958" spans="1:3" s="4" customFormat="1" x14ac:dyDescent="0.3">
      <c r="A958" s="3">
        <v>43731</v>
      </c>
      <c r="B958" s="4">
        <v>2045.8501000000001</v>
      </c>
      <c r="C958" s="4">
        <f t="shared" si="163"/>
        <v>1.3310124454324288E-2</v>
      </c>
    </row>
    <row r="959" spans="1:3" s="4" customFormat="1" x14ac:dyDescent="0.3">
      <c r="A959" s="3">
        <v>43732</v>
      </c>
      <c r="B959" s="4">
        <v>2018.8</v>
      </c>
      <c r="C959" s="4">
        <f t="shared" si="163"/>
        <v>6.3356610305277342E-3</v>
      </c>
    </row>
    <row r="960" spans="1:3" s="4" customFormat="1" x14ac:dyDescent="0.3">
      <c r="A960" s="3">
        <v>43733</v>
      </c>
      <c r="B960" s="4">
        <v>2006.05</v>
      </c>
      <c r="C960" s="4">
        <f t="shared" si="163"/>
        <v>4.2712157951498566E-3</v>
      </c>
    </row>
    <row r="961" spans="1:3" s="4" customFormat="1" x14ac:dyDescent="0.3">
      <c r="A961" s="3">
        <v>43734</v>
      </c>
      <c r="B961" s="4">
        <v>1997.5</v>
      </c>
      <c r="C961" s="4">
        <f t="shared" si="163"/>
        <v>-7.009170512318216E-3</v>
      </c>
    </row>
    <row r="962" spans="1:3" s="4" customFormat="1" x14ac:dyDescent="0.3">
      <c r="A962" s="3">
        <v>43735</v>
      </c>
      <c r="B962" s="4">
        <v>2011.55</v>
      </c>
      <c r="C962" s="4">
        <f t="shared" si="163"/>
        <v>-6.2442407770302117E-3</v>
      </c>
    </row>
    <row r="963" spans="1:3" s="4" customFormat="1" x14ac:dyDescent="0.3">
      <c r="A963" s="3">
        <v>43736</v>
      </c>
      <c r="B963" s="4">
        <v>2024.1498999999999</v>
      </c>
      <c r="C963" s="4">
        <f t="shared" ref="C963:C1026" si="164">LN(B963/B964)</f>
        <v>-1.2104445955537351E-2</v>
      </c>
    </row>
    <row r="964" spans="1:3" s="4" customFormat="1" x14ac:dyDescent="0.3">
      <c r="A964" s="3">
        <v>43737</v>
      </c>
      <c r="B964" s="4">
        <v>2048.8000000000002</v>
      </c>
      <c r="C964" s="4">
        <f t="shared" si="164"/>
        <v>8.3567652520014947E-3</v>
      </c>
    </row>
    <row r="965" spans="1:3" s="4" customFormat="1" x14ac:dyDescent="0.3">
      <c r="A965" s="3">
        <v>43738</v>
      </c>
      <c r="B965" s="4">
        <v>2031.75</v>
      </c>
      <c r="C965" s="4">
        <f t="shared" si="164"/>
        <v>1.7487411506171575E-3</v>
      </c>
    </row>
    <row r="966" spans="1:3" s="4" customFormat="1" x14ac:dyDescent="0.3">
      <c r="A966" s="3">
        <v>43739</v>
      </c>
      <c r="B966" s="4">
        <v>2028.2001</v>
      </c>
      <c r="C966" s="4">
        <f t="shared" si="164"/>
        <v>-2.0327391382975978E-2</v>
      </c>
    </row>
    <row r="967" spans="1:3" s="4" customFormat="1" x14ac:dyDescent="0.3">
      <c r="A967" s="3">
        <v>43740</v>
      </c>
      <c r="B967" s="4">
        <v>2069.85</v>
      </c>
      <c r="C967" s="4">
        <f t="shared" si="164"/>
        <v>1.1222971609115529E-2</v>
      </c>
    </row>
    <row r="968" spans="1:3" s="4" customFormat="1" x14ac:dyDescent="0.3">
      <c r="A968" s="3">
        <v>43741</v>
      </c>
      <c r="B968" s="4">
        <v>2046.75</v>
      </c>
      <c r="C968" s="4">
        <f t="shared" si="164"/>
        <v>-2.0216876021344754E-2</v>
      </c>
    </row>
    <row r="969" spans="1:3" s="4" customFormat="1" x14ac:dyDescent="0.3">
      <c r="A969" s="3">
        <v>43742</v>
      </c>
      <c r="B969" s="4">
        <v>2088.5500000000002</v>
      </c>
      <c r="C969" s="4">
        <f t="shared" si="164"/>
        <v>-8.4628084134106361E-3</v>
      </c>
    </row>
    <row r="970" spans="1:3" s="4" customFormat="1" x14ac:dyDescent="0.3">
      <c r="A970" s="3">
        <v>43743</v>
      </c>
      <c r="B970" s="4">
        <v>2106.3000000000002</v>
      </c>
      <c r="C970" s="4">
        <f t="shared" si="164"/>
        <v>-1.1095224889970522E-2</v>
      </c>
    </row>
    <row r="971" spans="1:3" s="4" customFormat="1" x14ac:dyDescent="0.3">
      <c r="A971" s="3">
        <v>43744</v>
      </c>
      <c r="B971" s="4">
        <v>2129.8000000000002</v>
      </c>
      <c r="C971" s="4">
        <f t="shared" si="164"/>
        <v>-1.5051939268550306E-2</v>
      </c>
    </row>
    <row r="972" spans="1:3" s="4" customFormat="1" x14ac:dyDescent="0.3">
      <c r="A972" s="3">
        <v>43745</v>
      </c>
      <c r="B972" s="4">
        <v>2162.1001000000001</v>
      </c>
      <c r="C972" s="4">
        <f t="shared" si="164"/>
        <v>5.0541918951789895E-3</v>
      </c>
    </row>
    <row r="973" spans="1:3" s="4" customFormat="1" x14ac:dyDescent="0.3">
      <c r="A973" s="3">
        <v>43746</v>
      </c>
      <c r="B973" s="4">
        <v>2151.1999999999998</v>
      </c>
      <c r="C973" s="4">
        <f t="shared" si="164"/>
        <v>-1.2197481020429755E-2</v>
      </c>
    </row>
    <row r="974" spans="1:3" s="4" customFormat="1" x14ac:dyDescent="0.3">
      <c r="A974" s="3">
        <v>43747</v>
      </c>
      <c r="B974" s="4">
        <v>2177.5999000000002</v>
      </c>
      <c r="C974" s="4">
        <f t="shared" si="164"/>
        <v>-8.1708691211823281E-2</v>
      </c>
    </row>
    <row r="975" spans="1:3" s="4" customFormat="1" x14ac:dyDescent="0.3">
      <c r="A975" s="3">
        <v>43748</v>
      </c>
      <c r="B975" s="4">
        <v>2363</v>
      </c>
      <c r="C975" s="4">
        <f t="shared" si="164"/>
        <v>9.7377061754454956E-4</v>
      </c>
    </row>
    <row r="976" spans="1:3" s="4" customFormat="1" x14ac:dyDescent="0.3">
      <c r="A976" s="3">
        <v>43749</v>
      </c>
      <c r="B976" s="4">
        <v>2360.7001</v>
      </c>
      <c r="C976" s="4">
        <f t="shared" si="164"/>
        <v>-2.1415087637320088E-2</v>
      </c>
    </row>
    <row r="977" spans="1:3" s="4" customFormat="1" x14ac:dyDescent="0.3">
      <c r="A977" s="3">
        <v>43750</v>
      </c>
      <c r="B977" s="4">
        <v>2411.7999</v>
      </c>
      <c r="C977" s="4">
        <f t="shared" si="164"/>
        <v>-5.3963515816561301E-3</v>
      </c>
    </row>
    <row r="978" spans="1:3" s="4" customFormat="1" x14ac:dyDescent="0.3">
      <c r="A978" s="3">
        <v>43751</v>
      </c>
      <c r="B978" s="4">
        <v>2424.85</v>
      </c>
      <c r="C978" s="4">
        <f t="shared" si="164"/>
        <v>2.2707577570383387E-3</v>
      </c>
    </row>
    <row r="979" spans="1:3" s="4" customFormat="1" x14ac:dyDescent="0.3">
      <c r="A979" s="3">
        <v>43752</v>
      </c>
      <c r="B979" s="4">
        <v>2419.35</v>
      </c>
      <c r="C979" s="4">
        <f t="shared" si="164"/>
        <v>1.5243668181880925E-2</v>
      </c>
    </row>
    <row r="980" spans="1:3" s="4" customFormat="1" x14ac:dyDescent="0.3">
      <c r="A980" s="3">
        <v>43753</v>
      </c>
      <c r="B980" s="4">
        <v>2382.7498999999998</v>
      </c>
      <c r="C980" s="4">
        <f t="shared" si="164"/>
        <v>3.8372475344307502E-2</v>
      </c>
    </row>
    <row r="981" spans="1:3" s="4" customFormat="1" x14ac:dyDescent="0.3">
      <c r="A981" s="3">
        <v>43754</v>
      </c>
      <c r="B981" s="4">
        <v>2293.0499</v>
      </c>
      <c r="C981" s="4">
        <f t="shared" si="164"/>
        <v>6.7166036392957342E-3</v>
      </c>
    </row>
    <row r="982" spans="1:3" s="4" customFormat="1" x14ac:dyDescent="0.3">
      <c r="A982" s="3">
        <v>43755</v>
      </c>
      <c r="B982" s="4">
        <v>2277.6999999999998</v>
      </c>
      <c r="C982" s="4">
        <f t="shared" si="164"/>
        <v>-6.9564737033429068E-3</v>
      </c>
    </row>
    <row r="983" spans="1:3" s="4" customFormat="1" x14ac:dyDescent="0.3">
      <c r="A983" s="3">
        <v>43756</v>
      </c>
      <c r="B983" s="4">
        <v>2293.6</v>
      </c>
      <c r="C983" s="4">
        <f t="shared" si="164"/>
        <v>1.1560568845956332E-3</v>
      </c>
    </row>
    <row r="984" spans="1:3" s="4" customFormat="1" x14ac:dyDescent="0.3">
      <c r="A984" s="3">
        <v>43757</v>
      </c>
      <c r="B984" s="4">
        <v>2290.9499999999998</v>
      </c>
      <c r="C984" s="4">
        <f t="shared" si="164"/>
        <v>1.5949652292098049E-2</v>
      </c>
    </row>
    <row r="985" spans="1:3" s="4" customFormat="1" x14ac:dyDescent="0.3">
      <c r="A985" s="3">
        <v>43758</v>
      </c>
      <c r="B985" s="4">
        <v>2254.6999999999998</v>
      </c>
      <c r="C985" s="4">
        <f t="shared" si="164"/>
        <v>-9.309099847910065E-4</v>
      </c>
    </row>
    <row r="986" spans="1:3" s="4" customFormat="1" x14ac:dyDescent="0.3">
      <c r="A986" s="3">
        <v>43759</v>
      </c>
      <c r="B986" s="4">
        <v>2256.7999</v>
      </c>
      <c r="C986" s="4">
        <f t="shared" si="164"/>
        <v>1.3696660920973979E-2</v>
      </c>
    </row>
    <row r="987" spans="1:3" s="4" customFormat="1" x14ac:dyDescent="0.3">
      <c r="A987" s="3">
        <v>43760</v>
      </c>
      <c r="B987" s="4">
        <v>2226.1</v>
      </c>
      <c r="C987" s="4">
        <f t="shared" si="164"/>
        <v>5.540679504759752E-3</v>
      </c>
    </row>
    <row r="988" spans="1:3" s="4" customFormat="1" x14ac:dyDescent="0.3">
      <c r="A988" s="3">
        <v>43761</v>
      </c>
      <c r="B988" s="4">
        <v>2213.8000000000002</v>
      </c>
      <c r="C988" s="4">
        <f t="shared" si="164"/>
        <v>-3.7959511423352806E-2</v>
      </c>
    </row>
    <row r="989" spans="1:3" s="4" customFormat="1" x14ac:dyDescent="0.3">
      <c r="A989" s="3">
        <v>43762</v>
      </c>
      <c r="B989" s="4">
        <v>2299.4501</v>
      </c>
      <c r="C989" s="4">
        <f t="shared" si="164"/>
        <v>1.5404391160160978E-2</v>
      </c>
    </row>
    <row r="990" spans="1:3" s="4" customFormat="1" x14ac:dyDescent="0.3">
      <c r="A990" s="3">
        <v>43763</v>
      </c>
      <c r="B990" s="4">
        <v>2264.2999</v>
      </c>
      <c r="C990" s="4">
        <f t="shared" si="164"/>
        <v>0</v>
      </c>
    </row>
    <row r="991" spans="1:3" s="4" customFormat="1" x14ac:dyDescent="0.3">
      <c r="A991" s="3">
        <v>43764</v>
      </c>
      <c r="B991" s="4">
        <v>2264.2999</v>
      </c>
      <c r="C991" s="4">
        <f t="shared" si="164"/>
        <v>-4.0768703310601166E-3</v>
      </c>
    </row>
    <row r="992" spans="1:3" s="4" customFormat="1" x14ac:dyDescent="0.3">
      <c r="A992" s="3">
        <v>43765</v>
      </c>
      <c r="B992" s="4">
        <v>2273.5500000000002</v>
      </c>
      <c r="C992" s="4">
        <f t="shared" si="164"/>
        <v>-6.3137335682760688E-3</v>
      </c>
    </row>
    <row r="993" spans="1:3" s="4" customFormat="1" x14ac:dyDescent="0.3">
      <c r="A993" s="3">
        <v>43766</v>
      </c>
      <c r="B993" s="4">
        <v>2287.9499999999998</v>
      </c>
      <c r="C993" s="4">
        <f t="shared" si="164"/>
        <v>-2.0162932930078203E-2</v>
      </c>
    </row>
    <row r="994" spans="1:3" s="4" customFormat="1" x14ac:dyDescent="0.3">
      <c r="A994" s="3">
        <v>43767</v>
      </c>
      <c r="B994" s="4">
        <v>2334.5500000000002</v>
      </c>
      <c r="C994" s="4">
        <f t="shared" si="164"/>
        <v>2.0359634894453513E-2</v>
      </c>
    </row>
    <row r="995" spans="1:3" s="4" customFormat="1" x14ac:dyDescent="0.3">
      <c r="A995" s="3">
        <v>43768</v>
      </c>
      <c r="B995" s="4">
        <v>2287.5</v>
      </c>
      <c r="C995" s="4">
        <f t="shared" si="164"/>
        <v>0</v>
      </c>
    </row>
    <row r="996" spans="1:3" s="4" customFormat="1" x14ac:dyDescent="0.3">
      <c r="A996" s="3">
        <v>43769</v>
      </c>
      <c r="B996" s="4">
        <v>2287.5</v>
      </c>
      <c r="C996" s="4">
        <f t="shared" si="164"/>
        <v>-1.7163381987197603E-2</v>
      </c>
    </row>
    <row r="997" spans="1:3" s="4" customFormat="1" x14ac:dyDescent="0.3">
      <c r="A997" s="3">
        <v>43770</v>
      </c>
      <c r="B997" s="4">
        <v>2327.1001000000001</v>
      </c>
      <c r="C997" s="4">
        <f t="shared" si="164"/>
        <v>1.1865962712301099E-2</v>
      </c>
    </row>
    <row r="998" spans="1:3" s="4" customFormat="1" x14ac:dyDescent="0.3">
      <c r="A998" s="3">
        <v>43771</v>
      </c>
      <c r="B998" s="4">
        <v>2299.65</v>
      </c>
      <c r="C998" s="4">
        <f t="shared" si="164"/>
        <v>0</v>
      </c>
    </row>
    <row r="999" spans="1:3" s="4" customFormat="1" x14ac:dyDescent="0.3">
      <c r="A999" s="3">
        <v>43772</v>
      </c>
      <c r="B999" s="4">
        <v>2299.65</v>
      </c>
      <c r="C999" s="4">
        <f t="shared" si="164"/>
        <v>2.3984603335484456E-2</v>
      </c>
    </row>
    <row r="1000" spans="1:3" s="4" customFormat="1" x14ac:dyDescent="0.3">
      <c r="A1000" s="3">
        <v>43773</v>
      </c>
      <c r="B1000" s="4">
        <v>2245.15</v>
      </c>
      <c r="C1000" s="4">
        <f t="shared" si="164"/>
        <v>2.8026449067937973E-2</v>
      </c>
    </row>
    <row r="1001" spans="1:3" s="4" customFormat="1" x14ac:dyDescent="0.3">
      <c r="A1001" s="3">
        <v>43774</v>
      </c>
      <c r="B1001" s="4">
        <v>2183.1</v>
      </c>
      <c r="C1001" s="4">
        <f t="shared" si="164"/>
        <v>1.7000455633531367E-2</v>
      </c>
    </row>
    <row r="1002" spans="1:3" s="4" customFormat="1" x14ac:dyDescent="0.3">
      <c r="A1002" s="3">
        <v>43775</v>
      </c>
      <c r="B1002" s="4">
        <v>2146.3000000000002</v>
      </c>
      <c r="C1002" s="4">
        <f t="shared" si="164"/>
        <v>3.051257334160622E-2</v>
      </c>
    </row>
    <row r="1003" spans="1:3" s="4" customFormat="1" x14ac:dyDescent="0.3">
      <c r="A1003" s="3">
        <v>43776</v>
      </c>
      <c r="B1003" s="4">
        <v>2081.7999</v>
      </c>
      <c r="C1003" s="4">
        <f t="shared" si="164"/>
        <v>1.9131750421145319E-2</v>
      </c>
    </row>
    <row r="1004" spans="1:3" s="4" customFormat="1" x14ac:dyDescent="0.3">
      <c r="A1004" s="3">
        <v>43777</v>
      </c>
      <c r="B1004" s="4">
        <v>2042.35</v>
      </c>
      <c r="C1004" s="4">
        <f t="shared" si="164"/>
        <v>9.4454028999163935E-3</v>
      </c>
    </row>
    <row r="1005" spans="1:3" s="4" customFormat="1" x14ac:dyDescent="0.3">
      <c r="A1005" s="3">
        <v>43778</v>
      </c>
      <c r="B1005" s="4">
        <v>2023.15</v>
      </c>
      <c r="C1005" s="4">
        <f t="shared" si="164"/>
        <v>1.740084788770653E-2</v>
      </c>
    </row>
    <row r="1006" spans="1:3" s="4" customFormat="1" x14ac:dyDescent="0.3">
      <c r="A1006" s="3">
        <v>43779</v>
      </c>
      <c r="B1006" s="4">
        <v>1988.25</v>
      </c>
      <c r="C1006" s="4">
        <f t="shared" si="164"/>
        <v>-2.2601939267785018E-2</v>
      </c>
    </row>
    <row r="1007" spans="1:3" s="4" customFormat="1" x14ac:dyDescent="0.3">
      <c r="A1007" s="3">
        <v>43780</v>
      </c>
      <c r="B1007" s="4">
        <v>2033.7</v>
      </c>
      <c r="C1007" s="4">
        <f t="shared" si="164"/>
        <v>-1.1245962450384157E-2</v>
      </c>
    </row>
    <row r="1008" spans="1:3" s="4" customFormat="1" x14ac:dyDescent="0.3">
      <c r="A1008" s="3">
        <v>43781</v>
      </c>
      <c r="B1008" s="4">
        <v>2056.6999999999998</v>
      </c>
      <c r="C1008" s="4">
        <f t="shared" si="164"/>
        <v>-5.2857094012149688E-3</v>
      </c>
    </row>
    <row r="1009" spans="1:3" s="4" customFormat="1" x14ac:dyDescent="0.3">
      <c r="A1009" s="3">
        <v>43782</v>
      </c>
      <c r="B1009" s="4">
        <v>2067.5999000000002</v>
      </c>
      <c r="C1009" s="4">
        <f t="shared" si="164"/>
        <v>-1.7737006865049237E-2</v>
      </c>
    </row>
    <row r="1010" spans="1:3" s="4" customFormat="1" x14ac:dyDescent="0.3">
      <c r="A1010" s="3">
        <v>43783</v>
      </c>
      <c r="B1010" s="4">
        <v>2104.6001000000001</v>
      </c>
      <c r="C1010" s="4">
        <f t="shared" si="164"/>
        <v>-1.6890614462231952E-2</v>
      </c>
    </row>
    <row r="1011" spans="1:3" s="4" customFormat="1" x14ac:dyDescent="0.3">
      <c r="A1011" s="3">
        <v>43784</v>
      </c>
      <c r="B1011" s="4">
        <v>2140.4499999999998</v>
      </c>
      <c r="C1011" s="4">
        <f t="shared" si="164"/>
        <v>2.3564981185303258E-2</v>
      </c>
    </row>
    <row r="1012" spans="1:3" s="4" customFormat="1" x14ac:dyDescent="0.3">
      <c r="A1012" s="3">
        <v>43785</v>
      </c>
      <c r="B1012" s="4">
        <v>2090.6</v>
      </c>
      <c r="C1012" s="4">
        <f t="shared" si="164"/>
        <v>8.5749263473650188E-3</v>
      </c>
    </row>
    <row r="1013" spans="1:3" s="4" customFormat="1" x14ac:dyDescent="0.3">
      <c r="A1013" s="3">
        <v>43786</v>
      </c>
      <c r="B1013" s="4">
        <v>2072.7498999999998</v>
      </c>
      <c r="C1013" s="4">
        <f t="shared" si="164"/>
        <v>0</v>
      </c>
    </row>
    <row r="1014" spans="1:3" s="4" customFormat="1" x14ac:dyDescent="0.3">
      <c r="A1014" s="3">
        <v>43787</v>
      </c>
      <c r="B1014" s="4">
        <v>2072.7498999999998</v>
      </c>
      <c r="C1014" s="4">
        <f t="shared" si="164"/>
        <v>1.0890055862240686E-2</v>
      </c>
    </row>
    <row r="1015" spans="1:3" s="4" customFormat="1" x14ac:dyDescent="0.3">
      <c r="A1015" s="3">
        <v>43788</v>
      </c>
      <c r="B1015" s="4">
        <v>2050.3000000000002</v>
      </c>
      <c r="C1015" s="4">
        <f t="shared" si="164"/>
        <v>0</v>
      </c>
    </row>
    <row r="1016" spans="1:3" s="4" customFormat="1" x14ac:dyDescent="0.3">
      <c r="A1016" s="3">
        <v>43789</v>
      </c>
      <c r="B1016" s="4">
        <v>2050.3000000000002</v>
      </c>
      <c r="C1016" s="4">
        <f t="shared" si="164"/>
        <v>-3.8699832895341913E-3</v>
      </c>
    </row>
    <row r="1017" spans="1:3" s="4" customFormat="1" x14ac:dyDescent="0.3">
      <c r="A1017" s="3">
        <v>43790</v>
      </c>
      <c r="B1017" s="4">
        <v>2058.25</v>
      </c>
      <c r="C1017" s="4">
        <f t="shared" si="164"/>
        <v>-1.2409024084444819E-2</v>
      </c>
    </row>
    <row r="1018" spans="1:3" s="4" customFormat="1" x14ac:dyDescent="0.3">
      <c r="A1018" s="3">
        <v>43791</v>
      </c>
      <c r="B1018" s="4">
        <v>2083.9499999999998</v>
      </c>
      <c r="C1018" s="4">
        <f t="shared" si="164"/>
        <v>-1.6891536964052593E-2</v>
      </c>
    </row>
    <row r="1019" spans="1:3" s="4" customFormat="1" x14ac:dyDescent="0.3">
      <c r="A1019" s="3">
        <v>43792</v>
      </c>
      <c r="B1019" s="4">
        <v>2119.4501</v>
      </c>
      <c r="C1019" s="4">
        <f t="shared" si="164"/>
        <v>-4.4803472570396474E-4</v>
      </c>
    </row>
    <row r="1020" spans="1:3" s="4" customFormat="1" x14ac:dyDescent="0.3">
      <c r="A1020" s="3">
        <v>43793</v>
      </c>
      <c r="B1020" s="4">
        <v>2120.3998999999999</v>
      </c>
      <c r="C1020" s="4">
        <f t="shared" si="164"/>
        <v>-3.8464993244997775E-2</v>
      </c>
    </row>
    <row r="1021" spans="1:3" s="4" customFormat="1" x14ac:dyDescent="0.3">
      <c r="A1021" s="3">
        <v>43794</v>
      </c>
      <c r="B1021" s="4">
        <v>2203.5500000000002</v>
      </c>
      <c r="C1021" s="4">
        <f t="shared" si="164"/>
        <v>-2.0771627160990947E-2</v>
      </c>
    </row>
    <row r="1022" spans="1:3" s="4" customFormat="1" x14ac:dyDescent="0.3">
      <c r="A1022" s="3">
        <v>43795</v>
      </c>
      <c r="B1022" s="4">
        <v>2249.8000000000002</v>
      </c>
      <c r="C1022" s="4">
        <f t="shared" si="164"/>
        <v>-5.4080543173401783E-3</v>
      </c>
    </row>
    <row r="1023" spans="1:3" s="4" customFormat="1" x14ac:dyDescent="0.3">
      <c r="A1023" s="3">
        <v>43796</v>
      </c>
      <c r="B1023" s="4">
        <v>2262</v>
      </c>
      <c r="C1023" s="4">
        <f t="shared" si="164"/>
        <v>3.0772320361009031E-3</v>
      </c>
    </row>
    <row r="1024" spans="1:3" s="4" customFormat="1" x14ac:dyDescent="0.3">
      <c r="A1024" s="3">
        <v>43797</v>
      </c>
      <c r="B1024" s="4">
        <v>2255.0500000000002</v>
      </c>
      <c r="C1024" s="4">
        <f t="shared" si="164"/>
        <v>3.4145478454507362E-2</v>
      </c>
    </row>
    <row r="1025" spans="1:3" s="4" customFormat="1" x14ac:dyDescent="0.3">
      <c r="A1025" s="3">
        <v>43798</v>
      </c>
      <c r="B1025" s="4">
        <v>2179.35</v>
      </c>
      <c r="C1025" s="4">
        <f t="shared" si="164"/>
        <v>-1.2539492197401131E-2</v>
      </c>
    </row>
    <row r="1026" spans="1:3" s="4" customFormat="1" x14ac:dyDescent="0.3">
      <c r="A1026" s="3">
        <v>43799</v>
      </c>
      <c r="B1026" s="4">
        <v>2206.85</v>
      </c>
      <c r="C1026" s="4">
        <f t="shared" si="164"/>
        <v>9.7471417992334641E-4</v>
      </c>
    </row>
    <row r="1027" spans="1:3" s="4" customFormat="1" x14ac:dyDescent="0.3">
      <c r="A1027" s="3">
        <v>43800</v>
      </c>
      <c r="B1027" s="4">
        <v>2204.6999999999998</v>
      </c>
      <c r="C1027" s="4">
        <f t="shared" ref="C1027:C1090" si="165">LN(B1027/B1028)</f>
        <v>-2.1748003678595199E-3</v>
      </c>
    </row>
    <row r="1028" spans="1:3" s="4" customFormat="1" x14ac:dyDescent="0.3">
      <c r="A1028" s="3">
        <v>43801</v>
      </c>
      <c r="B1028" s="4">
        <v>2209.5</v>
      </c>
      <c r="C1028" s="4">
        <f t="shared" si="165"/>
        <v>1.9814801165257349E-2</v>
      </c>
    </row>
    <row r="1029" spans="1:3" s="4" customFormat="1" x14ac:dyDescent="0.3">
      <c r="A1029" s="3">
        <v>43802</v>
      </c>
      <c r="B1029" s="4">
        <v>2166.1500999999998</v>
      </c>
      <c r="C1029" s="4">
        <f t="shared" si="165"/>
        <v>-1.1303536325441806E-3</v>
      </c>
    </row>
    <row r="1030" spans="1:3" s="4" customFormat="1" x14ac:dyDescent="0.3">
      <c r="A1030" s="3">
        <v>43803</v>
      </c>
      <c r="B1030" s="4">
        <v>2168.6</v>
      </c>
      <c r="C1030" s="4">
        <f t="shared" si="165"/>
        <v>1.8640801324611902E-2</v>
      </c>
    </row>
    <row r="1031" spans="1:3" s="4" customFormat="1" x14ac:dyDescent="0.3">
      <c r="A1031" s="3">
        <v>43804</v>
      </c>
      <c r="B1031" s="4">
        <v>2128.5500000000002</v>
      </c>
      <c r="C1031" s="4">
        <f t="shared" si="165"/>
        <v>1.3741775589221692E-2</v>
      </c>
    </row>
    <row r="1032" spans="1:3" s="4" customFormat="1" x14ac:dyDescent="0.3">
      <c r="A1032" s="3">
        <v>43805</v>
      </c>
      <c r="B1032" s="4">
        <v>2099.5</v>
      </c>
      <c r="C1032" s="4">
        <f t="shared" si="165"/>
        <v>5.6601896933516126E-3</v>
      </c>
    </row>
    <row r="1033" spans="1:3" s="4" customFormat="1" x14ac:dyDescent="0.3">
      <c r="A1033" s="3">
        <v>43806</v>
      </c>
      <c r="B1033" s="4">
        <v>2087.65</v>
      </c>
      <c r="C1033" s="4">
        <f t="shared" si="165"/>
        <v>3.2385390121625322E-3</v>
      </c>
    </row>
    <row r="1034" spans="1:3" s="4" customFormat="1" x14ac:dyDescent="0.3">
      <c r="A1034" s="3">
        <v>43807</v>
      </c>
      <c r="B1034" s="4">
        <v>2080.9</v>
      </c>
      <c r="C1034" s="4">
        <f t="shared" si="165"/>
        <v>-6.1729302411951036E-2</v>
      </c>
    </row>
    <row r="1035" spans="1:3" s="4" customFormat="1" x14ac:dyDescent="0.3">
      <c r="A1035" s="3">
        <v>43808</v>
      </c>
      <c r="B1035" s="4">
        <v>2213.4</v>
      </c>
      <c r="C1035" s="4">
        <f t="shared" si="165"/>
        <v>6.7999718026546989E-3</v>
      </c>
    </row>
    <row r="1036" spans="1:3" s="4" customFormat="1" x14ac:dyDescent="0.3">
      <c r="A1036" s="3">
        <v>43809</v>
      </c>
      <c r="B1036" s="4">
        <v>2198.4</v>
      </c>
      <c r="C1036" s="4">
        <f t="shared" si="165"/>
        <v>-1.0182696089132208E-2</v>
      </c>
    </row>
    <row r="1037" spans="1:3" s="4" customFormat="1" x14ac:dyDescent="0.3">
      <c r="A1037" s="3">
        <v>43810</v>
      </c>
      <c r="B1037" s="4">
        <v>2220.9</v>
      </c>
      <c r="C1037" s="4">
        <f t="shared" si="165"/>
        <v>1.1274949950401436E-2</v>
      </c>
    </row>
    <row r="1038" spans="1:3" s="4" customFormat="1" x14ac:dyDescent="0.3">
      <c r="A1038" s="3">
        <v>43811</v>
      </c>
      <c r="B1038" s="4">
        <v>2196.0001000000002</v>
      </c>
      <c r="C1038" s="4">
        <f t="shared" si="165"/>
        <v>-6.6037389230091019E-3</v>
      </c>
    </row>
    <row r="1039" spans="1:3" s="4" customFormat="1" x14ac:dyDescent="0.3">
      <c r="A1039" s="3">
        <v>43812</v>
      </c>
      <c r="B1039" s="4">
        <v>2210.5499</v>
      </c>
      <c r="C1039" s="4">
        <f t="shared" si="165"/>
        <v>-1.8599604410018025E-2</v>
      </c>
    </row>
    <row r="1040" spans="1:3" s="4" customFormat="1" x14ac:dyDescent="0.3">
      <c r="A1040" s="3">
        <v>43813</v>
      </c>
      <c r="B1040" s="4">
        <v>2252.0500000000002</v>
      </c>
      <c r="C1040" s="4">
        <f t="shared" si="165"/>
        <v>-9.4796257503213868E-3</v>
      </c>
    </row>
    <row r="1041" spans="1:3" s="4" customFormat="1" x14ac:dyDescent="0.3">
      <c r="A1041" s="3">
        <v>43814</v>
      </c>
      <c r="B1041" s="4">
        <v>2273.5001000000002</v>
      </c>
      <c r="C1041" s="4">
        <f t="shared" si="165"/>
        <v>4.7617477928275078E-3</v>
      </c>
    </row>
    <row r="1042" spans="1:3" s="4" customFormat="1" x14ac:dyDescent="0.3">
      <c r="A1042" s="3">
        <v>43815</v>
      </c>
      <c r="B1042" s="4">
        <v>2262.6999999999998</v>
      </c>
      <c r="C1042" s="4">
        <f t="shared" si="165"/>
        <v>1.3011315304763122E-2</v>
      </c>
    </row>
    <row r="1043" spans="1:3" s="4" customFormat="1" x14ac:dyDescent="0.3">
      <c r="A1043" s="3">
        <v>43816</v>
      </c>
      <c r="B1043" s="4">
        <v>2233.4499999999998</v>
      </c>
      <c r="C1043" s="4">
        <f t="shared" si="165"/>
        <v>7.9565285340115876E-3</v>
      </c>
    </row>
    <row r="1044" spans="1:3" s="4" customFormat="1" x14ac:dyDescent="0.3">
      <c r="A1044" s="3">
        <v>43817</v>
      </c>
      <c r="B1044" s="4">
        <v>2215.75</v>
      </c>
      <c r="C1044" s="4">
        <f t="shared" si="165"/>
        <v>-1.7425979773958978E-2</v>
      </c>
    </row>
    <row r="1045" spans="1:3" s="4" customFormat="1" x14ac:dyDescent="0.3">
      <c r="A1045" s="3">
        <v>43818</v>
      </c>
      <c r="B1045" s="4">
        <v>2254.6999999999998</v>
      </c>
      <c r="C1045" s="4">
        <f t="shared" si="165"/>
        <v>-1.8325752901015374E-2</v>
      </c>
    </row>
    <row r="1046" spans="1:3" s="4" customFormat="1" x14ac:dyDescent="0.3">
      <c r="A1046" s="3">
        <v>43819</v>
      </c>
      <c r="B1046" s="4">
        <v>2296.4</v>
      </c>
      <c r="C1046" s="4">
        <f t="shared" si="165"/>
        <v>8.9310031531295844E-4</v>
      </c>
    </row>
    <row r="1047" spans="1:3" s="4" customFormat="1" x14ac:dyDescent="0.3">
      <c r="A1047" s="3">
        <v>43820</v>
      </c>
      <c r="B1047" s="4">
        <v>2294.35</v>
      </c>
      <c r="C1047" s="4">
        <f t="shared" si="165"/>
        <v>3.5803552365397907E-3</v>
      </c>
    </row>
    <row r="1048" spans="1:3" s="4" customFormat="1" x14ac:dyDescent="0.3">
      <c r="A1048" s="3">
        <v>43821</v>
      </c>
      <c r="B1048" s="4">
        <v>2286.1500999999998</v>
      </c>
      <c r="C1048" s="4">
        <f t="shared" si="165"/>
        <v>-1.7538750641036972E-2</v>
      </c>
    </row>
    <row r="1049" spans="1:3" s="4" customFormat="1" x14ac:dyDescent="0.3">
      <c r="A1049" s="3">
        <v>43822</v>
      </c>
      <c r="B1049" s="4">
        <v>2326.6</v>
      </c>
      <c r="C1049" s="4">
        <f t="shared" si="165"/>
        <v>-9.4540091993121616E-3</v>
      </c>
    </row>
    <row r="1050" spans="1:3" s="4" customFormat="1" x14ac:dyDescent="0.3">
      <c r="A1050" s="3">
        <v>43823</v>
      </c>
      <c r="B1050" s="4">
        <v>2348.6999999999998</v>
      </c>
      <c r="C1050" s="4">
        <f t="shared" si="165"/>
        <v>-9.6606405682527208E-3</v>
      </c>
    </row>
    <row r="1051" spans="1:3" s="4" customFormat="1" x14ac:dyDescent="0.3">
      <c r="A1051" s="3">
        <v>43824</v>
      </c>
      <c r="B1051" s="4">
        <v>2371.4998999999998</v>
      </c>
      <c r="C1051" s="4">
        <f t="shared" si="165"/>
        <v>8.0015671300540086E-3</v>
      </c>
    </row>
    <row r="1052" spans="1:3" s="4" customFormat="1" x14ac:dyDescent="0.3">
      <c r="A1052" s="3">
        <v>43825</v>
      </c>
      <c r="B1052" s="4">
        <v>2352.5999000000002</v>
      </c>
      <c r="C1052" s="4">
        <f t="shared" si="165"/>
        <v>-2.5080319094143235E-2</v>
      </c>
    </row>
    <row r="1053" spans="1:3" s="4" customFormat="1" x14ac:dyDescent="0.3">
      <c r="A1053" s="3">
        <v>43826</v>
      </c>
      <c r="B1053" s="4">
        <v>2412.35</v>
      </c>
      <c r="C1053" s="4">
        <f t="shared" si="165"/>
        <v>-1.0576654926896922E-2</v>
      </c>
    </row>
    <row r="1054" spans="1:3" s="4" customFormat="1" x14ac:dyDescent="0.3">
      <c r="A1054" s="3">
        <v>43827</v>
      </c>
      <c r="B1054" s="4">
        <v>2438</v>
      </c>
      <c r="C1054" s="4">
        <f t="shared" si="165"/>
        <v>7.7963115087455821E-4</v>
      </c>
    </row>
    <row r="1055" spans="1:3" s="4" customFormat="1" x14ac:dyDescent="0.3">
      <c r="A1055" s="3">
        <v>43828</v>
      </c>
      <c r="B1055" s="4">
        <v>2436.1</v>
      </c>
      <c r="C1055" s="4">
        <f t="shared" si="165"/>
        <v>-1.0758389381233186E-2</v>
      </c>
    </row>
    <row r="1056" spans="1:3" s="4" customFormat="1" x14ac:dyDescent="0.3">
      <c r="A1056" s="3">
        <v>43829</v>
      </c>
      <c r="B1056" s="4">
        <v>2462.4499999999998</v>
      </c>
      <c r="C1056" s="4">
        <f t="shared" si="165"/>
        <v>-1.1748217480508421E-2</v>
      </c>
    </row>
    <row r="1057" spans="1:3" s="4" customFormat="1" x14ac:dyDescent="0.3">
      <c r="A1057" s="3">
        <v>43830</v>
      </c>
      <c r="B1057" s="4">
        <v>2491.5500000000002</v>
      </c>
      <c r="C1057" s="4">
        <f t="shared" si="165"/>
        <v>-8.8507645352665608E-3</v>
      </c>
    </row>
    <row r="1058" spans="1:3" s="4" customFormat="1" x14ac:dyDescent="0.3">
      <c r="A1058" s="3">
        <v>43831</v>
      </c>
      <c r="B1058" s="4">
        <v>2513.6999999999998</v>
      </c>
      <c r="C1058" s="4">
        <f t="shared" si="165"/>
        <v>2.1940050189395769E-2</v>
      </c>
    </row>
    <row r="1059" spans="1:3" s="4" customFormat="1" x14ac:dyDescent="0.3">
      <c r="A1059" s="3">
        <v>43832</v>
      </c>
      <c r="B1059" s="4">
        <v>2459.1498999999999</v>
      </c>
      <c r="C1059" s="4">
        <f t="shared" si="165"/>
        <v>-8.6040760616893208E-3</v>
      </c>
    </row>
    <row r="1060" spans="1:3" s="4" customFormat="1" x14ac:dyDescent="0.3">
      <c r="A1060" s="3">
        <v>43833</v>
      </c>
      <c r="B1060" s="4">
        <v>2480.3998999999999</v>
      </c>
      <c r="C1060" s="4">
        <f t="shared" si="165"/>
        <v>6.4510977339041417E-3</v>
      </c>
    </row>
    <row r="1061" spans="1:3" s="4" customFormat="1" x14ac:dyDescent="0.3">
      <c r="A1061" s="3">
        <v>43834</v>
      </c>
      <c r="B1061" s="4">
        <v>2464.4501</v>
      </c>
      <c r="C1061" s="4">
        <f t="shared" si="165"/>
        <v>-1.4102048235803405E-2</v>
      </c>
    </row>
    <row r="1062" spans="1:3" s="4" customFormat="1" x14ac:dyDescent="0.3">
      <c r="A1062" s="3">
        <v>43835</v>
      </c>
      <c r="B1062" s="4">
        <v>2499.4501</v>
      </c>
      <c r="C1062" s="4">
        <f t="shared" si="165"/>
        <v>2.9650827500254961E-3</v>
      </c>
    </row>
    <row r="1063" spans="1:3" s="4" customFormat="1" x14ac:dyDescent="0.3">
      <c r="A1063" s="3">
        <v>43836</v>
      </c>
      <c r="B1063" s="4">
        <v>2492.0500000000002</v>
      </c>
      <c r="C1063" s="4">
        <f t="shared" si="165"/>
        <v>8.9482448784990558E-3</v>
      </c>
    </row>
    <row r="1064" spans="1:3" s="4" customFormat="1" x14ac:dyDescent="0.3">
      <c r="A1064" s="3">
        <v>43837</v>
      </c>
      <c r="B1064" s="4">
        <v>2469.85</v>
      </c>
      <c r="C1064" s="4">
        <f t="shared" si="165"/>
        <v>1.5278954675405727E-2</v>
      </c>
    </row>
    <row r="1065" spans="1:3" s="4" customFormat="1" x14ac:dyDescent="0.3">
      <c r="A1065" s="3">
        <v>43838</v>
      </c>
      <c r="B1065" s="4">
        <v>2432.4000999999998</v>
      </c>
      <c r="C1065" s="4">
        <f t="shared" si="165"/>
        <v>-2.3344002322725082E-2</v>
      </c>
    </row>
    <row r="1066" spans="1:3" s="4" customFormat="1" x14ac:dyDescent="0.3">
      <c r="A1066" s="3">
        <v>43839</v>
      </c>
      <c r="B1066" s="4">
        <v>2489.85</v>
      </c>
      <c r="C1066" s="4">
        <f t="shared" si="165"/>
        <v>-3.9682991796203921E-3</v>
      </c>
    </row>
    <row r="1067" spans="1:3" s="4" customFormat="1" x14ac:dyDescent="0.3">
      <c r="A1067" s="3">
        <v>43840</v>
      </c>
      <c r="B1067" s="4">
        <v>2499.7501000000002</v>
      </c>
      <c r="C1067" s="4">
        <f t="shared" si="165"/>
        <v>3.4864585390866746E-3</v>
      </c>
    </row>
    <row r="1068" spans="1:3" s="4" customFormat="1" x14ac:dyDescent="0.3">
      <c r="A1068" s="3">
        <v>43841</v>
      </c>
      <c r="B1068" s="4">
        <v>2491.0500000000002</v>
      </c>
      <c r="C1068" s="4">
        <f t="shared" si="165"/>
        <v>-1.9105379193090643E-2</v>
      </c>
    </row>
    <row r="1069" spans="1:3" s="4" customFormat="1" x14ac:dyDescent="0.3">
      <c r="A1069" s="3">
        <v>43842</v>
      </c>
      <c r="B1069" s="4">
        <v>2539.1</v>
      </c>
      <c r="C1069" s="4">
        <f t="shared" si="165"/>
        <v>6.4402917244663809E-3</v>
      </c>
    </row>
    <row r="1070" spans="1:3" s="4" customFormat="1" x14ac:dyDescent="0.3">
      <c r="A1070" s="3">
        <v>43843</v>
      </c>
      <c r="B1070" s="4">
        <v>2522.8000000000002</v>
      </c>
      <c r="C1070" s="4">
        <f t="shared" si="165"/>
        <v>1.1742167912762462E-2</v>
      </c>
    </row>
    <row r="1071" spans="1:3" s="4" customFormat="1" x14ac:dyDescent="0.3">
      <c r="A1071" s="3">
        <v>43844</v>
      </c>
      <c r="B1071" s="4">
        <v>2493.3501000000001</v>
      </c>
      <c r="C1071" s="4">
        <f t="shared" si="165"/>
        <v>1.0381250066457678E-2</v>
      </c>
    </row>
    <row r="1072" spans="1:3" s="4" customFormat="1" x14ac:dyDescent="0.3">
      <c r="A1072" s="3">
        <v>43845</v>
      </c>
      <c r="B1072" s="4">
        <v>2467.5999000000002</v>
      </c>
      <c r="C1072" s="4">
        <f t="shared" si="165"/>
        <v>-7.7105524553140667E-3</v>
      </c>
    </row>
    <row r="1073" spans="1:3" s="4" customFormat="1" x14ac:dyDescent="0.3">
      <c r="A1073" s="3">
        <v>43846</v>
      </c>
      <c r="B1073" s="4">
        <v>2486.6999999999998</v>
      </c>
      <c r="C1073" s="4">
        <f t="shared" si="165"/>
        <v>6.0908160787657021E-3</v>
      </c>
    </row>
    <row r="1074" spans="1:3" s="4" customFormat="1" x14ac:dyDescent="0.3">
      <c r="A1074" s="3">
        <v>43847</v>
      </c>
      <c r="B1074" s="4">
        <v>2471.6</v>
      </c>
      <c r="C1074" s="4">
        <f t="shared" si="165"/>
        <v>8.5532658533637347E-3</v>
      </c>
    </row>
    <row r="1075" spans="1:3" s="4" customFormat="1" x14ac:dyDescent="0.3">
      <c r="A1075" s="3">
        <v>43848</v>
      </c>
      <c r="B1075" s="4">
        <v>2450.5499</v>
      </c>
      <c r="C1075" s="4">
        <f t="shared" si="165"/>
        <v>9.8831645113312376E-3</v>
      </c>
    </row>
    <row r="1076" spans="1:3" s="4" customFormat="1" x14ac:dyDescent="0.3">
      <c r="A1076" s="3">
        <v>43849</v>
      </c>
      <c r="B1076" s="4">
        <v>2426.4499999999998</v>
      </c>
      <c r="C1076" s="4">
        <f t="shared" si="165"/>
        <v>1.7020537865967862E-2</v>
      </c>
    </row>
    <row r="1077" spans="1:3" s="4" customFormat="1" x14ac:dyDescent="0.3">
      <c r="A1077" s="3">
        <v>43850</v>
      </c>
      <c r="B1077" s="4">
        <v>2385.5</v>
      </c>
      <c r="C1077" s="4">
        <f t="shared" si="165"/>
        <v>2.5183643949965974E-3</v>
      </c>
    </row>
    <row r="1078" spans="1:3" s="4" customFormat="1" x14ac:dyDescent="0.3">
      <c r="A1078" s="3">
        <v>43851</v>
      </c>
      <c r="B1078" s="4">
        <v>2379.5</v>
      </c>
      <c r="C1078" s="4">
        <f t="shared" si="165"/>
        <v>-3.7124112456201367E-3</v>
      </c>
    </row>
    <row r="1079" spans="1:3" s="4" customFormat="1" x14ac:dyDescent="0.3">
      <c r="A1079" s="3">
        <v>43852</v>
      </c>
      <c r="B1079" s="4">
        <v>2388.3501000000001</v>
      </c>
      <c r="C1079" s="4">
        <f t="shared" si="165"/>
        <v>7.3542100090764322E-3</v>
      </c>
    </row>
    <row r="1080" spans="1:3" s="4" customFormat="1" x14ac:dyDescent="0.3">
      <c r="A1080" s="3">
        <v>43853</v>
      </c>
      <c r="B1080" s="4">
        <v>2370.8501000000001</v>
      </c>
      <c r="C1080" s="4">
        <f t="shared" si="165"/>
        <v>1.6822530914402677E-2</v>
      </c>
    </row>
    <row r="1081" spans="1:3" s="4" customFormat="1" x14ac:dyDescent="0.3">
      <c r="A1081" s="3">
        <v>43854</v>
      </c>
      <c r="B1081" s="4">
        <v>2331.3000000000002</v>
      </c>
      <c r="C1081" s="4">
        <f t="shared" si="165"/>
        <v>0</v>
      </c>
    </row>
    <row r="1082" spans="1:3" s="4" customFormat="1" x14ac:dyDescent="0.3">
      <c r="A1082" s="3">
        <v>43855</v>
      </c>
      <c r="B1082" s="4">
        <v>2331.3000000000002</v>
      </c>
      <c r="C1082" s="4">
        <f t="shared" si="165"/>
        <v>-1.3503082724639962E-3</v>
      </c>
    </row>
    <row r="1083" spans="1:3" s="4" customFormat="1" x14ac:dyDescent="0.3">
      <c r="A1083" s="3">
        <v>43856</v>
      </c>
      <c r="B1083" s="4">
        <v>2334.4501</v>
      </c>
      <c r="C1083" s="4">
        <f t="shared" si="165"/>
        <v>-1.9849199719240786E-2</v>
      </c>
    </row>
    <row r="1084" spans="1:3" s="4" customFormat="1" x14ac:dyDescent="0.3">
      <c r="A1084" s="3">
        <v>43857</v>
      </c>
      <c r="B1084" s="4">
        <v>2381.25</v>
      </c>
      <c r="C1084" s="4">
        <f t="shared" si="165"/>
        <v>3.7656112066920358E-3</v>
      </c>
    </row>
    <row r="1085" spans="1:3" s="4" customFormat="1" x14ac:dyDescent="0.3">
      <c r="A1085" s="3">
        <v>43858</v>
      </c>
      <c r="B1085" s="4">
        <v>2372.3000000000002</v>
      </c>
      <c r="C1085" s="4">
        <f t="shared" si="165"/>
        <v>-1.6859852516215362E-4</v>
      </c>
    </row>
    <row r="1086" spans="1:3" s="4" customFormat="1" x14ac:dyDescent="0.3">
      <c r="A1086" s="3">
        <v>43859</v>
      </c>
      <c r="B1086" s="4">
        <v>2372.6999999999998</v>
      </c>
      <c r="C1086" s="4">
        <f t="shared" si="165"/>
        <v>1.2041739994666492E-2</v>
      </c>
    </row>
    <row r="1087" spans="1:3" s="4" customFormat="1" x14ac:dyDescent="0.3">
      <c r="A1087" s="3">
        <v>43860</v>
      </c>
      <c r="B1087" s="4">
        <v>2344.2999</v>
      </c>
      <c r="C1087" s="4">
        <f t="shared" si="165"/>
        <v>1.0311911822117471E-2</v>
      </c>
    </row>
    <row r="1088" spans="1:3" s="4" customFormat="1" x14ac:dyDescent="0.3">
      <c r="A1088" s="3">
        <v>43861</v>
      </c>
      <c r="B1088" s="4">
        <v>2320.2498999999998</v>
      </c>
      <c r="C1088" s="4">
        <f t="shared" si="165"/>
        <v>2.5160345081273124E-2</v>
      </c>
    </row>
    <row r="1089" spans="1:3" s="4" customFormat="1" x14ac:dyDescent="0.3">
      <c r="A1089" s="3">
        <v>43862</v>
      </c>
      <c r="B1089" s="4">
        <v>2262.5999000000002</v>
      </c>
      <c r="C1089" s="4">
        <f t="shared" si="165"/>
        <v>-1.4174762840024462E-2</v>
      </c>
    </row>
    <row r="1090" spans="1:3" s="4" customFormat="1" x14ac:dyDescent="0.3">
      <c r="A1090" s="3">
        <v>43863</v>
      </c>
      <c r="B1090" s="4">
        <v>2294.9000999999998</v>
      </c>
      <c r="C1090" s="4">
        <f t="shared" si="165"/>
        <v>-6.0385958841581346E-3</v>
      </c>
    </row>
    <row r="1091" spans="1:3" s="4" customFormat="1" x14ac:dyDescent="0.3">
      <c r="A1091" s="3">
        <v>43864</v>
      </c>
      <c r="B1091" s="4">
        <v>2308.8000000000002</v>
      </c>
      <c r="C1091" s="4">
        <f t="shared" ref="C1091:C1154" si="166">LN(B1091/B1092)</f>
        <v>-4.9469863570907107E-3</v>
      </c>
    </row>
    <row r="1092" spans="1:3" s="4" customFormat="1" x14ac:dyDescent="0.3">
      <c r="A1092" s="3">
        <v>43865</v>
      </c>
      <c r="B1092" s="4">
        <v>2320.2498999999998</v>
      </c>
      <c r="C1092" s="4">
        <f t="shared" si="166"/>
        <v>1.7469836264199371E-3</v>
      </c>
    </row>
    <row r="1093" spans="1:3" s="4" customFormat="1" x14ac:dyDescent="0.3">
      <c r="A1093" s="3">
        <v>43866</v>
      </c>
      <c r="B1093" s="4">
        <v>2316.1999999999998</v>
      </c>
      <c r="C1093" s="4">
        <f t="shared" si="166"/>
        <v>3.8932436596472628E-3</v>
      </c>
    </row>
    <row r="1094" spans="1:3" s="4" customFormat="1" x14ac:dyDescent="0.3">
      <c r="A1094" s="3">
        <v>43867</v>
      </c>
      <c r="B1094" s="4">
        <v>2307.1999999999998</v>
      </c>
      <c r="C1094" s="4">
        <f t="shared" si="166"/>
        <v>1.546224331126902E-2</v>
      </c>
    </row>
    <row r="1095" spans="1:3" s="4" customFormat="1" x14ac:dyDescent="0.3">
      <c r="A1095" s="3">
        <v>43868</v>
      </c>
      <c r="B1095" s="4">
        <v>2271.7999</v>
      </c>
      <c r="C1095" s="4">
        <f t="shared" si="166"/>
        <v>1.4297471969091213E-2</v>
      </c>
    </row>
    <row r="1096" spans="1:3" s="4" customFormat="1" x14ac:dyDescent="0.3">
      <c r="A1096" s="3">
        <v>43869</v>
      </c>
      <c r="B1096" s="4">
        <v>2239.5500000000002</v>
      </c>
      <c r="C1096" s="4">
        <f t="shared" si="166"/>
        <v>1.5978375769380167E-2</v>
      </c>
    </row>
    <row r="1097" spans="1:3" s="4" customFormat="1" x14ac:dyDescent="0.3">
      <c r="A1097" s="3">
        <v>43870</v>
      </c>
      <c r="B1097" s="4">
        <v>2204.0500000000002</v>
      </c>
      <c r="C1097" s="4">
        <f t="shared" si="166"/>
        <v>1.5431170213949354E-2</v>
      </c>
    </row>
    <row r="1098" spans="1:3" s="4" customFormat="1" x14ac:dyDescent="0.3">
      <c r="A1098" s="3">
        <v>43871</v>
      </c>
      <c r="B1098" s="4">
        <v>2170.3000000000002</v>
      </c>
      <c r="C1098" s="4">
        <f t="shared" si="166"/>
        <v>1.787525948913336E-2</v>
      </c>
    </row>
    <row r="1099" spans="1:3" s="4" customFormat="1" x14ac:dyDescent="0.3">
      <c r="A1099" s="3">
        <v>43872</v>
      </c>
      <c r="B1099" s="4">
        <v>2131.85</v>
      </c>
      <c r="C1099" s="4">
        <f t="shared" si="166"/>
        <v>7.864415386458103E-3</v>
      </c>
    </row>
    <row r="1100" spans="1:3" s="4" customFormat="1" x14ac:dyDescent="0.3">
      <c r="A1100" s="3">
        <v>43873</v>
      </c>
      <c r="B1100" s="4">
        <v>2115.15</v>
      </c>
      <c r="C1100" s="4">
        <f t="shared" si="166"/>
        <v>0</v>
      </c>
    </row>
    <row r="1101" spans="1:3" s="4" customFormat="1" x14ac:dyDescent="0.3">
      <c r="A1101" s="3">
        <v>43874</v>
      </c>
      <c r="B1101" s="4">
        <v>2115.15</v>
      </c>
      <c r="C1101" s="4">
        <f t="shared" si="166"/>
        <v>1.1052988056274004E-2</v>
      </c>
    </row>
    <row r="1102" spans="1:3" s="4" customFormat="1" x14ac:dyDescent="0.3">
      <c r="A1102" s="3">
        <v>43875</v>
      </c>
      <c r="B1102" s="4">
        <v>2091.9</v>
      </c>
      <c r="C1102" s="4">
        <f t="shared" si="166"/>
        <v>1.1479410071046235E-3</v>
      </c>
    </row>
    <row r="1103" spans="1:3" s="4" customFormat="1" x14ac:dyDescent="0.3">
      <c r="A1103" s="3">
        <v>43876</v>
      </c>
      <c r="B1103" s="4">
        <v>2089.5</v>
      </c>
      <c r="C1103" s="4">
        <f t="shared" si="166"/>
        <v>-4.2741740590502182E-3</v>
      </c>
    </row>
    <row r="1104" spans="1:3" s="4" customFormat="1" x14ac:dyDescent="0.3">
      <c r="A1104" s="3">
        <v>43877</v>
      </c>
      <c r="B1104" s="4">
        <v>2098.4499999999998</v>
      </c>
      <c r="C1104" s="4">
        <f t="shared" si="166"/>
        <v>1.8007626536426475E-2</v>
      </c>
    </row>
    <row r="1105" spans="1:3" s="4" customFormat="1" x14ac:dyDescent="0.3">
      <c r="A1105" s="3">
        <v>43878</v>
      </c>
      <c r="B1105" s="4">
        <v>2061.0001000000002</v>
      </c>
      <c r="C1105" s="4">
        <f t="shared" si="166"/>
        <v>-2.6649561501927064E-3</v>
      </c>
    </row>
    <row r="1106" spans="1:3" s="4" customFormat="1" x14ac:dyDescent="0.3">
      <c r="A1106" s="3">
        <v>43879</v>
      </c>
      <c r="B1106" s="4">
        <v>2066.4998999999998</v>
      </c>
      <c r="C1106" s="4">
        <f t="shared" si="166"/>
        <v>-1.3172049237484305E-2</v>
      </c>
    </row>
    <row r="1107" spans="1:3" s="4" customFormat="1" x14ac:dyDescent="0.3">
      <c r="A1107" s="3">
        <v>43880</v>
      </c>
      <c r="B1107" s="4">
        <v>2093.9</v>
      </c>
      <c r="C1107" s="4">
        <f t="shared" si="166"/>
        <v>-6.9247245667415983E-3</v>
      </c>
    </row>
    <row r="1108" spans="1:3" s="4" customFormat="1" x14ac:dyDescent="0.3">
      <c r="A1108" s="3">
        <v>43881</v>
      </c>
      <c r="B1108" s="4">
        <v>2108.4499999999998</v>
      </c>
      <c r="C1108" s="4">
        <f t="shared" si="166"/>
        <v>-2.1234212885534558E-2</v>
      </c>
    </row>
    <row r="1109" spans="1:3" s="4" customFormat="1" x14ac:dyDescent="0.3">
      <c r="A1109" s="3">
        <v>43882</v>
      </c>
      <c r="B1109" s="4">
        <v>2153.6999999999998</v>
      </c>
      <c r="C1109" s="4">
        <f t="shared" si="166"/>
        <v>-8.161754609017826E-3</v>
      </c>
    </row>
    <row r="1110" spans="1:3" s="4" customFormat="1" x14ac:dyDescent="0.3">
      <c r="A1110" s="3">
        <v>43883</v>
      </c>
      <c r="B1110" s="4">
        <v>2171.3499000000002</v>
      </c>
      <c r="C1110" s="4">
        <f t="shared" si="166"/>
        <v>0</v>
      </c>
    </row>
    <row r="1111" spans="1:3" s="4" customFormat="1" x14ac:dyDescent="0.3">
      <c r="A1111" s="3">
        <v>43884</v>
      </c>
      <c r="B1111" s="4">
        <v>2171.3499000000002</v>
      </c>
      <c r="C1111" s="4">
        <f t="shared" si="166"/>
        <v>-8.6894728705850747E-3</v>
      </c>
    </row>
    <row r="1112" spans="1:3" s="4" customFormat="1" x14ac:dyDescent="0.3">
      <c r="A1112" s="3">
        <v>43885</v>
      </c>
      <c r="B1112" s="4">
        <v>2190.3000000000002</v>
      </c>
      <c r="C1112" s="4">
        <f t="shared" si="166"/>
        <v>1.6224595605312073E-2</v>
      </c>
    </row>
    <row r="1113" spans="1:3" s="4" customFormat="1" x14ac:dyDescent="0.3">
      <c r="A1113" s="3">
        <v>43886</v>
      </c>
      <c r="B1113" s="4">
        <v>2155.0500000000002</v>
      </c>
      <c r="C1113" s="4">
        <f t="shared" si="166"/>
        <v>-3.9688199654647219E-2</v>
      </c>
    </row>
    <row r="1114" spans="1:3" s="4" customFormat="1" x14ac:dyDescent="0.3">
      <c r="A1114" s="3">
        <v>43887</v>
      </c>
      <c r="B1114" s="4">
        <v>2242.3000000000002</v>
      </c>
      <c r="C1114" s="4">
        <f t="shared" si="166"/>
        <v>1.1347194163173584E-2</v>
      </c>
    </row>
    <row r="1115" spans="1:3" s="4" customFormat="1" x14ac:dyDescent="0.3">
      <c r="A1115" s="3">
        <v>43888</v>
      </c>
      <c r="B1115" s="4">
        <v>2217</v>
      </c>
      <c r="C1115" s="4">
        <f t="shared" si="166"/>
        <v>1.9977202750096377E-2</v>
      </c>
    </row>
    <row r="1116" spans="1:3" s="4" customFormat="1" x14ac:dyDescent="0.3">
      <c r="A1116" s="3">
        <v>43889</v>
      </c>
      <c r="B1116" s="4">
        <v>2173.15</v>
      </c>
      <c r="C1116" s="4">
        <f t="shared" si="166"/>
        <v>1.315468578766063E-2</v>
      </c>
    </row>
    <row r="1117" spans="1:3" s="4" customFormat="1" x14ac:dyDescent="0.3">
      <c r="A1117" s="3">
        <v>43890</v>
      </c>
      <c r="B1117" s="4">
        <v>2144.7501000000002</v>
      </c>
      <c r="C1117" s="4">
        <f t="shared" si="166"/>
        <v>-3.5836861498218689E-3</v>
      </c>
    </row>
    <row r="1118" spans="1:3" s="4" customFormat="1" x14ac:dyDescent="0.3">
      <c r="A1118" s="3">
        <v>43891</v>
      </c>
      <c r="B1118" s="4">
        <v>2152.4499999999998</v>
      </c>
      <c r="C1118" s="4">
        <f t="shared" si="166"/>
        <v>1.7315537068254214E-2</v>
      </c>
    </row>
    <row r="1119" spans="1:3" s="4" customFormat="1" x14ac:dyDescent="0.3">
      <c r="A1119" s="3">
        <v>43892</v>
      </c>
      <c r="B1119" s="4">
        <v>2115.5</v>
      </c>
      <c r="C1119" s="4">
        <f t="shared" si="166"/>
        <v>2.4848146840444189E-3</v>
      </c>
    </row>
    <row r="1120" spans="1:3" s="4" customFormat="1" x14ac:dyDescent="0.3">
      <c r="A1120" s="3">
        <v>43893</v>
      </c>
      <c r="B1120" s="4">
        <v>2110.2498999999998</v>
      </c>
      <c r="C1120" s="4">
        <f t="shared" si="166"/>
        <v>1.7182677333013586E-2</v>
      </c>
    </row>
    <row r="1121" spans="1:3" s="4" customFormat="1" x14ac:dyDescent="0.3">
      <c r="A1121" s="3">
        <v>43894</v>
      </c>
      <c r="B1121" s="4">
        <v>2074.2999</v>
      </c>
      <c r="C1121" s="4">
        <f t="shared" si="166"/>
        <v>-4.4042998457813634E-2</v>
      </c>
    </row>
    <row r="1122" spans="1:3" s="4" customFormat="1" x14ac:dyDescent="0.3">
      <c r="A1122" s="3">
        <v>43895</v>
      </c>
      <c r="B1122" s="4">
        <v>2167.6999999999998</v>
      </c>
      <c r="C1122" s="4">
        <f t="shared" si="166"/>
        <v>-2.6031043458792607E-3</v>
      </c>
    </row>
    <row r="1123" spans="1:3" s="4" customFormat="1" x14ac:dyDescent="0.3">
      <c r="A1123" s="3">
        <v>43896</v>
      </c>
      <c r="B1123" s="4">
        <v>2173.3501000000001</v>
      </c>
      <c r="C1123" s="4">
        <f t="shared" si="166"/>
        <v>-1.1892060198902418E-2</v>
      </c>
    </row>
    <row r="1124" spans="1:3" s="4" customFormat="1" x14ac:dyDescent="0.3">
      <c r="A1124" s="3">
        <v>43897</v>
      </c>
      <c r="B1124" s="4">
        <v>2199.35</v>
      </c>
      <c r="C1124" s="4">
        <f t="shared" si="166"/>
        <v>-1.5945128704680841E-2</v>
      </c>
    </row>
    <row r="1125" spans="1:3" s="4" customFormat="1" x14ac:dyDescent="0.3">
      <c r="A1125" s="3">
        <v>43898</v>
      </c>
      <c r="B1125" s="4">
        <v>2234.6999999999998</v>
      </c>
      <c r="C1125" s="4">
        <f t="shared" si="166"/>
        <v>0</v>
      </c>
    </row>
    <row r="1126" spans="1:3" s="4" customFormat="1" x14ac:dyDescent="0.3">
      <c r="A1126" s="3">
        <v>43899</v>
      </c>
      <c r="B1126" s="4">
        <v>2234.6999999999998</v>
      </c>
      <c r="C1126" s="4">
        <f t="shared" si="166"/>
        <v>-2.7928922335875837E-3</v>
      </c>
    </row>
    <row r="1127" spans="1:3" s="4" customFormat="1" x14ac:dyDescent="0.3">
      <c r="A1127" s="3">
        <v>43900</v>
      </c>
      <c r="B1127" s="4">
        <v>2240.9499999999998</v>
      </c>
      <c r="C1127" s="4">
        <f t="shared" si="166"/>
        <v>-7.4688147550957089E-3</v>
      </c>
    </row>
    <row r="1128" spans="1:3" s="4" customFormat="1" x14ac:dyDescent="0.3">
      <c r="A1128" s="3">
        <v>43901</v>
      </c>
      <c r="B1128" s="4">
        <v>2257.7498999999998</v>
      </c>
      <c r="C1128" s="4">
        <f t="shared" si="166"/>
        <v>-9.0170035210896723E-3</v>
      </c>
    </row>
    <row r="1129" spans="1:3" s="4" customFormat="1" x14ac:dyDescent="0.3">
      <c r="A1129" s="3">
        <v>43902</v>
      </c>
      <c r="B1129" s="4">
        <v>2278.2001</v>
      </c>
      <c r="C1129" s="4">
        <f t="shared" si="166"/>
        <v>2.8268747234313604E-2</v>
      </c>
    </row>
    <row r="1130" spans="1:3" s="4" customFormat="1" x14ac:dyDescent="0.3">
      <c r="A1130" s="3">
        <v>43903</v>
      </c>
      <c r="B1130" s="4">
        <v>2214.6999999999998</v>
      </c>
      <c r="C1130" s="4">
        <f t="shared" si="166"/>
        <v>-6.3687583784790116E-3</v>
      </c>
    </row>
    <row r="1131" spans="1:3" s="4" customFormat="1" x14ac:dyDescent="0.3">
      <c r="A1131" s="3">
        <v>43904</v>
      </c>
      <c r="B1131" s="4">
        <v>2228.8499000000002</v>
      </c>
      <c r="C1131" s="4">
        <f t="shared" si="166"/>
        <v>-1.5846235479713359E-2</v>
      </c>
    </row>
    <row r="1132" spans="1:3" s="4" customFormat="1" x14ac:dyDescent="0.3">
      <c r="A1132" s="3">
        <v>43905</v>
      </c>
      <c r="B1132" s="4">
        <v>2264.4501</v>
      </c>
      <c r="C1132" s="4">
        <f t="shared" si="166"/>
        <v>5.6242563201397196E-3</v>
      </c>
    </row>
    <row r="1133" spans="1:3" s="4" customFormat="1" x14ac:dyDescent="0.3">
      <c r="A1133" s="3">
        <v>43906</v>
      </c>
      <c r="B1133" s="4">
        <v>2251.75</v>
      </c>
      <c r="C1133" s="4">
        <f t="shared" si="166"/>
        <v>-6.8158443949399407E-3</v>
      </c>
    </row>
    <row r="1134" spans="1:3" s="4" customFormat="1" x14ac:dyDescent="0.3">
      <c r="A1134" s="3">
        <v>43907</v>
      </c>
      <c r="B1134" s="4">
        <v>2267.15</v>
      </c>
      <c r="C1134" s="4">
        <f t="shared" si="166"/>
        <v>1.9418518290936361E-2</v>
      </c>
    </row>
    <row r="1135" spans="1:3" s="4" customFormat="1" x14ac:dyDescent="0.3">
      <c r="A1135" s="3">
        <v>43908</v>
      </c>
      <c r="B1135" s="4">
        <v>2223.5500000000002</v>
      </c>
      <c r="C1135" s="4">
        <f t="shared" si="166"/>
        <v>-2.6188221266377688E-2</v>
      </c>
    </row>
    <row r="1136" spans="1:3" s="4" customFormat="1" x14ac:dyDescent="0.3">
      <c r="A1136" s="3">
        <v>43909</v>
      </c>
      <c r="B1136" s="4">
        <v>2282.5500000000002</v>
      </c>
      <c r="C1136" s="4">
        <f t="shared" si="166"/>
        <v>5.7556836012904585E-3</v>
      </c>
    </row>
    <row r="1137" spans="1:3" s="4" customFormat="1" x14ac:dyDescent="0.3">
      <c r="A1137" s="3">
        <v>43910</v>
      </c>
      <c r="B1137" s="4">
        <v>2269.4501</v>
      </c>
      <c r="C1137" s="4">
        <f t="shared" si="166"/>
        <v>-3.0378346301977634E-2</v>
      </c>
    </row>
    <row r="1138" spans="1:3" s="4" customFormat="1" x14ac:dyDescent="0.3">
      <c r="A1138" s="3">
        <v>43911</v>
      </c>
      <c r="B1138" s="4">
        <v>2339.4501</v>
      </c>
      <c r="C1138" s="4">
        <f t="shared" si="166"/>
        <v>-2.6680056948542685E-3</v>
      </c>
    </row>
    <row r="1139" spans="1:3" s="4" customFormat="1" x14ac:dyDescent="0.3">
      <c r="A1139" s="3">
        <v>43912</v>
      </c>
      <c r="B1139" s="4">
        <v>2345.7001</v>
      </c>
      <c r="C1139" s="4">
        <f t="shared" si="166"/>
        <v>2.1023519734065774E-2</v>
      </c>
    </row>
    <row r="1140" spans="1:3" s="4" customFormat="1" x14ac:dyDescent="0.3">
      <c r="A1140" s="3">
        <v>43913</v>
      </c>
      <c r="B1140" s="4">
        <v>2296.9</v>
      </c>
      <c r="C1140" s="4">
        <f t="shared" si="166"/>
        <v>1.1714479108246832E-2</v>
      </c>
    </row>
    <row r="1141" spans="1:3" s="4" customFormat="1" x14ac:dyDescent="0.3">
      <c r="A1141" s="3">
        <v>43914</v>
      </c>
      <c r="B1141" s="4">
        <v>2270.15</v>
      </c>
      <c r="C1141" s="4">
        <f t="shared" si="166"/>
        <v>0</v>
      </c>
    </row>
    <row r="1142" spans="1:3" s="4" customFormat="1" x14ac:dyDescent="0.3">
      <c r="A1142" s="3">
        <v>43915</v>
      </c>
      <c r="B1142" s="4">
        <v>2270.15</v>
      </c>
      <c r="C1142" s="4">
        <f t="shared" si="166"/>
        <v>1.3102221462839337E-2</v>
      </c>
    </row>
    <row r="1143" spans="1:3" s="4" customFormat="1" x14ac:dyDescent="0.3">
      <c r="A1143" s="3">
        <v>43916</v>
      </c>
      <c r="B1143" s="4">
        <v>2240.6</v>
      </c>
      <c r="C1143" s="4">
        <f t="shared" si="166"/>
        <v>-2.963603827716774E-3</v>
      </c>
    </row>
    <row r="1144" spans="1:3" s="4" customFormat="1" x14ac:dyDescent="0.3">
      <c r="A1144" s="3">
        <v>43917</v>
      </c>
      <c r="B1144" s="4">
        <v>2247.2501000000002</v>
      </c>
      <c r="C1144" s="4">
        <f t="shared" si="166"/>
        <v>8.1542814296391691E-3</v>
      </c>
    </row>
    <row r="1145" spans="1:3" s="4" customFormat="1" x14ac:dyDescent="0.3">
      <c r="A1145" s="3">
        <v>43918</v>
      </c>
      <c r="B1145" s="4">
        <v>2228.9998999999998</v>
      </c>
      <c r="C1145" s="4">
        <f t="shared" si="166"/>
        <v>1.4687870633842059E-2</v>
      </c>
    </row>
    <row r="1146" spans="1:3" s="4" customFormat="1" x14ac:dyDescent="0.3">
      <c r="A1146" s="3">
        <v>43919</v>
      </c>
      <c r="B1146" s="4">
        <v>2196.4998999999998</v>
      </c>
      <c r="C1146" s="4">
        <f t="shared" si="166"/>
        <v>-7.9645037025308772E-4</v>
      </c>
    </row>
    <row r="1147" spans="1:3" s="4" customFormat="1" x14ac:dyDescent="0.3">
      <c r="A1147" s="3">
        <v>43920</v>
      </c>
      <c r="B1147" s="4">
        <v>2198.25</v>
      </c>
      <c r="C1147" s="4">
        <f t="shared" si="166"/>
        <v>-6.7778879482869141E-3</v>
      </c>
    </row>
    <row r="1148" spans="1:3" s="4" customFormat="1" x14ac:dyDescent="0.3">
      <c r="A1148" s="3">
        <v>43921</v>
      </c>
      <c r="B1148" s="4">
        <v>2213.2001</v>
      </c>
      <c r="C1148" s="4">
        <f t="shared" si="166"/>
        <v>4.144439995115036E-2</v>
      </c>
    </row>
    <row r="1149" spans="1:3" s="4" customFormat="1" x14ac:dyDescent="0.3">
      <c r="A1149" s="3">
        <v>43922</v>
      </c>
      <c r="B1149" s="4">
        <v>2123.3501000000001</v>
      </c>
      <c r="C1149" s="4">
        <f t="shared" si="166"/>
        <v>-1.2216964709529545E-2</v>
      </c>
    </row>
    <row r="1150" spans="1:3" s="4" customFormat="1" x14ac:dyDescent="0.3">
      <c r="A1150" s="3">
        <v>43923</v>
      </c>
      <c r="B1150" s="4">
        <v>2149.4501</v>
      </c>
      <c r="C1150" s="4">
        <f t="shared" si="166"/>
        <v>0</v>
      </c>
    </row>
    <row r="1151" spans="1:3" s="4" customFormat="1" x14ac:dyDescent="0.3">
      <c r="A1151" s="3">
        <v>43924</v>
      </c>
      <c r="B1151" s="4">
        <v>2149.4501</v>
      </c>
      <c r="C1151" s="4">
        <f t="shared" si="166"/>
        <v>3.3060517830465139E-2</v>
      </c>
    </row>
    <row r="1152" spans="1:3" s="4" customFormat="1" x14ac:dyDescent="0.3">
      <c r="A1152" s="3">
        <v>43925</v>
      </c>
      <c r="B1152" s="4">
        <v>2079.5500000000002</v>
      </c>
      <c r="C1152" s="4">
        <f t="shared" si="166"/>
        <v>5.3356900540431802E-2</v>
      </c>
    </row>
    <row r="1153" spans="1:3" s="4" customFormat="1" x14ac:dyDescent="0.3">
      <c r="A1153" s="3">
        <v>43926</v>
      </c>
      <c r="B1153" s="4">
        <v>1971.4999</v>
      </c>
      <c r="C1153" s="4">
        <f t="shared" si="166"/>
        <v>5.4140493042756394E-2</v>
      </c>
    </row>
    <row r="1154" spans="1:3" s="4" customFormat="1" x14ac:dyDescent="0.3">
      <c r="A1154" s="3">
        <v>43927</v>
      </c>
      <c r="B1154" s="4">
        <v>1867.5998999999999</v>
      </c>
      <c r="C1154" s="4">
        <f t="shared" si="166"/>
        <v>4.4002755303666459E-3</v>
      </c>
    </row>
    <row r="1155" spans="1:3" s="4" customFormat="1" x14ac:dyDescent="0.3">
      <c r="A1155" s="3">
        <v>43928</v>
      </c>
      <c r="B1155" s="4">
        <v>1859.4</v>
      </c>
      <c r="C1155" s="4">
        <f t="shared" ref="C1155:C1218" si="167">LN(B1155/B1156)</f>
        <v>9.1469162439908238E-4</v>
      </c>
    </row>
    <row r="1156" spans="1:3" s="4" customFormat="1" x14ac:dyDescent="0.3">
      <c r="A1156" s="3">
        <v>43929</v>
      </c>
      <c r="B1156" s="4">
        <v>1857.7</v>
      </c>
      <c r="C1156" s="4">
        <f t="shared" si="167"/>
        <v>-1.8554665539334573E-3</v>
      </c>
    </row>
    <row r="1157" spans="1:3" s="4" customFormat="1" x14ac:dyDescent="0.3">
      <c r="A1157" s="3">
        <v>43930</v>
      </c>
      <c r="B1157" s="4">
        <v>1861.1501000000001</v>
      </c>
      <c r="C1157" s="4">
        <f t="shared" si="167"/>
        <v>-1.6466267372653803E-2</v>
      </c>
    </row>
    <row r="1158" spans="1:3" s="4" customFormat="1" x14ac:dyDescent="0.3">
      <c r="A1158" s="3">
        <v>43931</v>
      </c>
      <c r="B1158" s="4">
        <v>1892.05</v>
      </c>
      <c r="C1158" s="4">
        <f t="shared" si="167"/>
        <v>2.0342399278096779E-2</v>
      </c>
    </row>
    <row r="1159" spans="1:3" s="4" customFormat="1" x14ac:dyDescent="0.3">
      <c r="A1159" s="3">
        <v>43932</v>
      </c>
      <c r="B1159" s="4">
        <v>1853.95</v>
      </c>
      <c r="C1159" s="4">
        <f t="shared" si="167"/>
        <v>1.286598315644305E-2</v>
      </c>
    </row>
    <row r="1160" spans="1:3" s="4" customFormat="1" x14ac:dyDescent="0.3">
      <c r="A1160" s="3">
        <v>43933</v>
      </c>
      <c r="B1160" s="4">
        <v>1830.2499</v>
      </c>
      <c r="C1160" s="4">
        <f t="shared" si="167"/>
        <v>-2.4156144515105258E-2</v>
      </c>
    </row>
    <row r="1161" spans="1:3" s="4" customFormat="1" x14ac:dyDescent="0.3">
      <c r="A1161" s="3">
        <v>43934</v>
      </c>
      <c r="B1161" s="4">
        <v>1875</v>
      </c>
      <c r="C1161" s="4">
        <f t="shared" si="167"/>
        <v>1.3044659487201038E-2</v>
      </c>
    </row>
    <row r="1162" spans="1:3" s="4" customFormat="1" x14ac:dyDescent="0.3">
      <c r="A1162" s="3">
        <v>43935</v>
      </c>
      <c r="B1162" s="4">
        <v>1850.7001</v>
      </c>
      <c r="C1162" s="4">
        <f t="shared" si="167"/>
        <v>7.2396838155060345E-3</v>
      </c>
    </row>
    <row r="1163" spans="1:3" s="4" customFormat="1" x14ac:dyDescent="0.3">
      <c r="A1163" s="3">
        <v>43936</v>
      </c>
      <c r="B1163" s="4">
        <v>1837.35</v>
      </c>
      <c r="C1163" s="4">
        <f t="shared" si="167"/>
        <v>-1.2781987299335469E-3</v>
      </c>
    </row>
    <row r="1164" spans="1:3" s="4" customFormat="1" x14ac:dyDescent="0.3">
      <c r="A1164" s="3">
        <v>43937</v>
      </c>
      <c r="B1164" s="4">
        <v>1839.7</v>
      </c>
      <c r="C1164" s="4">
        <f t="shared" si="167"/>
        <v>5.3411396503027378E-3</v>
      </c>
    </row>
    <row r="1165" spans="1:3" s="4" customFormat="1" x14ac:dyDescent="0.3">
      <c r="A1165" s="3">
        <v>43938</v>
      </c>
      <c r="B1165" s="4">
        <v>1829.9001000000001</v>
      </c>
      <c r="C1165" s="4">
        <f t="shared" si="167"/>
        <v>-7.7842039236058966E-3</v>
      </c>
    </row>
    <row r="1166" spans="1:3" s="4" customFormat="1" x14ac:dyDescent="0.3">
      <c r="A1166" s="3">
        <v>43939</v>
      </c>
      <c r="B1166" s="4">
        <v>1844.2</v>
      </c>
      <c r="C1166" s="4">
        <f t="shared" si="167"/>
        <v>-1.6265893168938738E-4</v>
      </c>
    </row>
    <row r="1167" spans="1:3" s="4" customFormat="1" x14ac:dyDescent="0.3">
      <c r="A1167" s="3">
        <v>43940</v>
      </c>
      <c r="B1167" s="4">
        <v>1844.5</v>
      </c>
      <c r="C1167" s="4">
        <f t="shared" si="167"/>
        <v>-2.6403503304833598E-2</v>
      </c>
    </row>
    <row r="1168" spans="1:3" s="4" customFormat="1" x14ac:dyDescent="0.3">
      <c r="A1168" s="3">
        <v>43941</v>
      </c>
      <c r="B1168" s="4">
        <v>1893.8498999999999</v>
      </c>
      <c r="C1168" s="4">
        <f t="shared" si="167"/>
        <v>-9.4596183094275248E-3</v>
      </c>
    </row>
    <row r="1169" spans="1:3" s="4" customFormat="1" x14ac:dyDescent="0.3">
      <c r="A1169" s="3">
        <v>43942</v>
      </c>
      <c r="B1169" s="4">
        <v>1911.85</v>
      </c>
      <c r="C1169" s="4">
        <f t="shared" si="167"/>
        <v>-1.5690376601240036E-4</v>
      </c>
    </row>
    <row r="1170" spans="1:3" s="4" customFormat="1" x14ac:dyDescent="0.3">
      <c r="A1170" s="3">
        <v>43943</v>
      </c>
      <c r="B1170" s="4">
        <v>1912.15</v>
      </c>
      <c r="C1170" s="4">
        <f t="shared" si="167"/>
        <v>-1.5415249389142364E-3</v>
      </c>
    </row>
    <row r="1171" spans="1:3" s="4" customFormat="1" x14ac:dyDescent="0.3">
      <c r="A1171" s="3">
        <v>43944</v>
      </c>
      <c r="B1171" s="4">
        <v>1915.0998999999999</v>
      </c>
      <c r="C1171" s="4">
        <f t="shared" si="167"/>
        <v>9.4697403618229682E-3</v>
      </c>
    </row>
    <row r="1172" spans="1:3" s="4" customFormat="1" x14ac:dyDescent="0.3">
      <c r="A1172" s="3">
        <v>43945</v>
      </c>
      <c r="B1172" s="4">
        <v>1897.05</v>
      </c>
      <c r="C1172" s="4">
        <f t="shared" si="167"/>
        <v>0</v>
      </c>
    </row>
    <row r="1173" spans="1:3" s="4" customFormat="1" x14ac:dyDescent="0.3">
      <c r="A1173" s="3">
        <v>43946</v>
      </c>
      <c r="B1173" s="4">
        <v>1897.05</v>
      </c>
      <c r="C1173" s="4">
        <f t="shared" si="167"/>
        <v>1.3714362858643228E-3</v>
      </c>
    </row>
    <row r="1174" spans="1:3" s="4" customFormat="1" x14ac:dyDescent="0.3">
      <c r="A1174" s="3">
        <v>43947</v>
      </c>
      <c r="B1174" s="4">
        <v>1894.4501</v>
      </c>
      <c r="C1174" s="4">
        <f t="shared" si="167"/>
        <v>-8.3578596182322853E-3</v>
      </c>
    </row>
    <row r="1175" spans="1:3" s="4" customFormat="1" x14ac:dyDescent="0.3">
      <c r="A1175" s="3">
        <v>43948</v>
      </c>
      <c r="B1175" s="4">
        <v>1910.35</v>
      </c>
      <c r="C1175" s="4">
        <f t="shared" si="167"/>
        <v>0</v>
      </c>
    </row>
    <row r="1176" spans="1:3" s="4" customFormat="1" x14ac:dyDescent="0.3">
      <c r="A1176" s="3">
        <v>43949</v>
      </c>
      <c r="B1176" s="4">
        <v>1910.35</v>
      </c>
      <c r="C1176" s="4">
        <f t="shared" si="167"/>
        <v>1.9911453040296762E-3</v>
      </c>
    </row>
    <row r="1177" spans="1:3" s="4" customFormat="1" x14ac:dyDescent="0.3">
      <c r="A1177" s="3">
        <v>43950</v>
      </c>
      <c r="B1177" s="4">
        <v>1906.55</v>
      </c>
      <c r="C1177" s="4">
        <f t="shared" si="167"/>
        <v>9.9097353120160252E-3</v>
      </c>
    </row>
    <row r="1178" spans="1:3" s="4" customFormat="1" x14ac:dyDescent="0.3">
      <c r="A1178" s="3">
        <v>43951</v>
      </c>
      <c r="B1178" s="4">
        <v>1887.7499</v>
      </c>
      <c r="C1178" s="4">
        <f t="shared" si="167"/>
        <v>-4.2013232863525735E-2</v>
      </c>
    </row>
    <row r="1179" spans="1:3" s="4" customFormat="1" x14ac:dyDescent="0.3">
      <c r="A1179" s="3">
        <v>43952</v>
      </c>
      <c r="B1179" s="4">
        <v>1968.75</v>
      </c>
      <c r="C1179" s="4">
        <f t="shared" si="167"/>
        <v>-4.5695433336091419E-2</v>
      </c>
    </row>
    <row r="1180" spans="1:3" s="4" customFormat="1" x14ac:dyDescent="0.3">
      <c r="A1180" s="3">
        <v>43953</v>
      </c>
      <c r="B1180" s="4">
        <v>2060.8000000000002</v>
      </c>
      <c r="C1180" s="4">
        <f t="shared" si="167"/>
        <v>-2.1833796377413513E-4</v>
      </c>
    </row>
    <row r="1181" spans="1:3" s="4" customFormat="1" x14ac:dyDescent="0.3">
      <c r="A1181" s="3">
        <v>43954</v>
      </c>
      <c r="B1181" s="4">
        <v>2061.25</v>
      </c>
      <c r="C1181" s="4">
        <f t="shared" si="167"/>
        <v>2.1081795598683818E-2</v>
      </c>
    </row>
    <row r="1182" spans="1:3" s="4" customFormat="1" x14ac:dyDescent="0.3">
      <c r="A1182" s="3">
        <v>43955</v>
      </c>
      <c r="B1182" s="4">
        <v>2018.25</v>
      </c>
      <c r="C1182" s="4">
        <f t="shared" si="167"/>
        <v>6.4121901778836773E-3</v>
      </c>
    </row>
    <row r="1183" spans="1:3" s="4" customFormat="1" x14ac:dyDescent="0.3">
      <c r="A1183" s="3">
        <v>43956</v>
      </c>
      <c r="B1183" s="4">
        <v>2005.35</v>
      </c>
      <c r="C1183" s="4">
        <f t="shared" si="167"/>
        <v>-2.9874795786670673E-3</v>
      </c>
    </row>
    <row r="1184" spans="1:3" s="4" customFormat="1" x14ac:dyDescent="0.3">
      <c r="A1184" s="3">
        <v>43957</v>
      </c>
      <c r="B1184" s="4">
        <v>2011.3498999999999</v>
      </c>
      <c r="C1184" s="4">
        <f t="shared" si="167"/>
        <v>-1.0903180165152427E-2</v>
      </c>
    </row>
    <row r="1185" spans="1:3" s="4" customFormat="1" x14ac:dyDescent="0.3">
      <c r="A1185" s="3">
        <v>43958</v>
      </c>
      <c r="B1185" s="4">
        <v>2033.4</v>
      </c>
      <c r="C1185" s="4">
        <f t="shared" si="167"/>
        <v>1.4015383905228083E-2</v>
      </c>
    </row>
    <row r="1186" spans="1:3" s="4" customFormat="1" x14ac:dyDescent="0.3">
      <c r="A1186" s="3">
        <v>43959</v>
      </c>
      <c r="B1186" s="4">
        <v>2005.0998999999999</v>
      </c>
      <c r="C1186" s="4">
        <f t="shared" si="167"/>
        <v>-1.3203605697481451E-2</v>
      </c>
    </row>
    <row r="1187" spans="1:3" s="4" customFormat="1" x14ac:dyDescent="0.3">
      <c r="A1187" s="3">
        <v>43960</v>
      </c>
      <c r="B1187" s="4">
        <v>2031.75</v>
      </c>
      <c r="C1187" s="4">
        <f t="shared" si="167"/>
        <v>4.569413494447009E-2</v>
      </c>
    </row>
    <row r="1188" spans="1:3" s="4" customFormat="1" x14ac:dyDescent="0.3">
      <c r="A1188" s="3">
        <v>43961</v>
      </c>
      <c r="B1188" s="4">
        <v>1941.0001</v>
      </c>
      <c r="C1188" s="4">
        <f t="shared" si="167"/>
        <v>-3.8606247500641622E-2</v>
      </c>
    </row>
    <row r="1189" spans="1:3" s="4" customFormat="1" x14ac:dyDescent="0.3">
      <c r="A1189" s="3">
        <v>43962</v>
      </c>
      <c r="B1189" s="4">
        <v>2017.4001000000001</v>
      </c>
      <c r="C1189" s="4">
        <f t="shared" si="167"/>
        <v>-2.5908071902761395E-2</v>
      </c>
    </row>
    <row r="1190" spans="1:3" s="4" customFormat="1" x14ac:dyDescent="0.3">
      <c r="A1190" s="3">
        <v>43963</v>
      </c>
      <c r="B1190" s="4">
        <v>2070.35</v>
      </c>
      <c r="C1190" s="4">
        <f t="shared" si="167"/>
        <v>-1.1835878263991012E-2</v>
      </c>
    </row>
    <row r="1191" spans="1:3" s="4" customFormat="1" x14ac:dyDescent="0.3">
      <c r="A1191" s="3">
        <v>43964</v>
      </c>
      <c r="B1191" s="4">
        <v>2095</v>
      </c>
      <c r="C1191" s="4">
        <f t="shared" si="167"/>
        <v>8.8344501525648407E-4</v>
      </c>
    </row>
    <row r="1192" spans="1:3" s="4" customFormat="1" x14ac:dyDescent="0.3">
      <c r="A1192" s="3">
        <v>43965</v>
      </c>
      <c r="B1192" s="4">
        <v>2093.15</v>
      </c>
      <c r="C1192" s="4">
        <f t="shared" si="167"/>
        <v>-1.8390397944753542E-2</v>
      </c>
    </row>
    <row r="1193" spans="1:3" s="4" customFormat="1" x14ac:dyDescent="0.3">
      <c r="A1193" s="3">
        <v>43966</v>
      </c>
      <c r="B1193" s="4">
        <v>2132</v>
      </c>
      <c r="C1193" s="4">
        <f t="shared" si="167"/>
        <v>-1.2167698661682724E-2</v>
      </c>
    </row>
    <row r="1194" spans="1:3" s="4" customFormat="1" x14ac:dyDescent="0.3">
      <c r="A1194" s="3">
        <v>43967</v>
      </c>
      <c r="B1194" s="4">
        <v>2158.1</v>
      </c>
      <c r="C1194" s="4">
        <f t="shared" si="167"/>
        <v>-1.2616430355951305E-2</v>
      </c>
    </row>
    <row r="1195" spans="1:3" s="4" customFormat="1" x14ac:dyDescent="0.3">
      <c r="A1195" s="3">
        <v>43968</v>
      </c>
      <c r="B1195" s="4">
        <v>2185.5</v>
      </c>
      <c r="C1195" s="4">
        <f t="shared" si="167"/>
        <v>-6.2035504334329141E-3</v>
      </c>
    </row>
    <row r="1196" spans="1:3" s="4" customFormat="1" x14ac:dyDescent="0.3">
      <c r="A1196" s="3">
        <v>43969</v>
      </c>
      <c r="B1196" s="4">
        <v>2199.1</v>
      </c>
      <c r="C1196" s="4">
        <f t="shared" si="167"/>
        <v>-1.5918882030664609E-4</v>
      </c>
    </row>
    <row r="1197" spans="1:3" s="4" customFormat="1" x14ac:dyDescent="0.3">
      <c r="A1197" s="3">
        <v>43970</v>
      </c>
      <c r="B1197" s="4">
        <v>2199.4501</v>
      </c>
      <c r="C1197" s="4">
        <f t="shared" si="167"/>
        <v>9.5937598351862434E-3</v>
      </c>
    </row>
    <row r="1198" spans="1:3" s="4" customFormat="1" x14ac:dyDescent="0.3">
      <c r="A1198" s="3">
        <v>43971</v>
      </c>
      <c r="B1198" s="4">
        <v>2178.4499999999998</v>
      </c>
      <c r="C1198" s="4">
        <f t="shared" si="167"/>
        <v>-1.9433975645529351E-2</v>
      </c>
    </row>
    <row r="1199" spans="1:3" s="4" customFormat="1" x14ac:dyDescent="0.3">
      <c r="A1199" s="3">
        <v>43972</v>
      </c>
      <c r="B1199" s="4">
        <v>2221.1999999999998</v>
      </c>
      <c r="C1199" s="4">
        <f t="shared" si="167"/>
        <v>1.1261516089154358E-3</v>
      </c>
    </row>
    <row r="1200" spans="1:3" s="4" customFormat="1" x14ac:dyDescent="0.3">
      <c r="A1200" s="3">
        <v>43973</v>
      </c>
      <c r="B1200" s="4">
        <v>2218.6999999999998</v>
      </c>
      <c r="C1200" s="4">
        <f t="shared" si="167"/>
        <v>-4.6315707641638995E-3</v>
      </c>
    </row>
    <row r="1201" spans="1:3" s="4" customFormat="1" x14ac:dyDescent="0.3">
      <c r="A1201" s="3">
        <v>43974</v>
      </c>
      <c r="B1201" s="4">
        <v>2228.9998999999998</v>
      </c>
      <c r="C1201" s="4">
        <f t="shared" si="167"/>
        <v>8.8093485020242432E-3</v>
      </c>
    </row>
    <row r="1202" spans="1:3" s="4" customFormat="1" x14ac:dyDescent="0.3">
      <c r="A1202" s="3">
        <v>43975</v>
      </c>
      <c r="B1202" s="4">
        <v>2209.4501</v>
      </c>
      <c r="C1202" s="4">
        <f t="shared" si="167"/>
        <v>-5.9565166534849461E-3</v>
      </c>
    </row>
    <row r="1203" spans="1:3" s="4" customFormat="1" x14ac:dyDescent="0.3">
      <c r="A1203" s="3">
        <v>43976</v>
      </c>
      <c r="B1203" s="4">
        <v>2222.65</v>
      </c>
      <c r="C1203" s="4">
        <f t="shared" si="167"/>
        <v>-4.8472974783577826E-3</v>
      </c>
    </row>
    <row r="1204" spans="1:3" s="4" customFormat="1" x14ac:dyDescent="0.3">
      <c r="A1204" s="3">
        <v>43977</v>
      </c>
      <c r="B1204" s="4">
        <v>2233.4499999999998</v>
      </c>
      <c r="C1204" s="4">
        <f t="shared" si="167"/>
        <v>3.8804512327636847E-3</v>
      </c>
    </row>
    <row r="1205" spans="1:3" s="4" customFormat="1" x14ac:dyDescent="0.3">
      <c r="A1205" s="3">
        <v>43978</v>
      </c>
      <c r="B1205" s="4">
        <v>2224.8000000000002</v>
      </c>
      <c r="C1205" s="4">
        <f t="shared" si="167"/>
        <v>1.6976258467684972E-2</v>
      </c>
    </row>
    <row r="1206" spans="1:3" s="4" customFormat="1" x14ac:dyDescent="0.3">
      <c r="A1206" s="3">
        <v>43979</v>
      </c>
      <c r="B1206" s="4">
        <v>2187.35</v>
      </c>
      <c r="C1206" s="4">
        <f t="shared" si="167"/>
        <v>2.4717472481412335E-3</v>
      </c>
    </row>
    <row r="1207" spans="1:3" s="4" customFormat="1" x14ac:dyDescent="0.3">
      <c r="A1207" s="3">
        <v>43980</v>
      </c>
      <c r="B1207" s="4">
        <v>2181.9501</v>
      </c>
      <c r="C1207" s="4">
        <f t="shared" si="167"/>
        <v>1.0573913006862411E-2</v>
      </c>
    </row>
    <row r="1208" spans="1:3" s="4" customFormat="1" x14ac:dyDescent="0.3">
      <c r="A1208" s="3">
        <v>43981</v>
      </c>
      <c r="B1208" s="4">
        <v>2158.9998999999998</v>
      </c>
      <c r="C1208" s="4">
        <f t="shared" si="167"/>
        <v>2.8517612136417163E-2</v>
      </c>
    </row>
    <row r="1209" spans="1:3" s="4" customFormat="1" x14ac:dyDescent="0.3">
      <c r="A1209" s="3">
        <v>43982</v>
      </c>
      <c r="B1209" s="4">
        <v>2098.3000000000002</v>
      </c>
      <c r="C1209" s="4">
        <f t="shared" si="167"/>
        <v>-7.1705319462811376E-3</v>
      </c>
    </row>
    <row r="1210" spans="1:3" s="4" customFormat="1" x14ac:dyDescent="0.3">
      <c r="A1210" s="3">
        <v>43983</v>
      </c>
      <c r="B1210" s="4">
        <v>2113.4</v>
      </c>
      <c r="C1210" s="4">
        <f t="shared" si="167"/>
        <v>1.4196143404899915E-4</v>
      </c>
    </row>
    <row r="1211" spans="1:3" s="4" customFormat="1" x14ac:dyDescent="0.3">
      <c r="A1211" s="3">
        <v>43984</v>
      </c>
      <c r="B1211" s="4">
        <v>2113.1</v>
      </c>
      <c r="C1211" s="4">
        <f t="shared" si="167"/>
        <v>-8.9874890749691442E-4</v>
      </c>
    </row>
    <row r="1212" spans="1:3" s="4" customFormat="1" x14ac:dyDescent="0.3">
      <c r="A1212" s="3">
        <v>43985</v>
      </c>
      <c r="B1212" s="4">
        <v>2115</v>
      </c>
      <c r="C1212" s="4">
        <f t="shared" si="167"/>
        <v>-2.0034371636861465E-2</v>
      </c>
    </row>
    <row r="1213" spans="1:3" s="4" customFormat="1" x14ac:dyDescent="0.3">
      <c r="A1213" s="3">
        <v>43986</v>
      </c>
      <c r="B1213" s="4">
        <v>2157.8000000000002</v>
      </c>
      <c r="C1213" s="4">
        <f t="shared" si="167"/>
        <v>-9.4785712594182767E-3</v>
      </c>
    </row>
    <row r="1214" spans="1:3" s="4" customFormat="1" x14ac:dyDescent="0.3">
      <c r="A1214" s="3">
        <v>43987</v>
      </c>
      <c r="B1214" s="4">
        <v>2178.3501000000001</v>
      </c>
      <c r="C1214" s="4">
        <f t="shared" si="167"/>
        <v>2.8544145192878897E-2</v>
      </c>
    </row>
    <row r="1215" spans="1:3" s="4" customFormat="1" x14ac:dyDescent="0.3">
      <c r="A1215" s="3">
        <v>43988</v>
      </c>
      <c r="B1215" s="4">
        <v>2117.0500000000002</v>
      </c>
      <c r="C1215" s="4">
        <f t="shared" si="167"/>
        <v>7.7767895553531403E-3</v>
      </c>
    </row>
    <row r="1216" spans="1:3" s="4" customFormat="1" x14ac:dyDescent="0.3">
      <c r="A1216" s="3">
        <v>43989</v>
      </c>
      <c r="B1216" s="4">
        <v>2100.65</v>
      </c>
      <c r="C1216" s="4">
        <f t="shared" si="167"/>
        <v>6.0640972727688536E-3</v>
      </c>
    </row>
    <row r="1217" spans="1:3" s="4" customFormat="1" x14ac:dyDescent="0.3">
      <c r="A1217" s="3">
        <v>43990</v>
      </c>
      <c r="B1217" s="4">
        <v>2087.9499999999998</v>
      </c>
      <c r="C1217" s="4">
        <f t="shared" si="167"/>
        <v>-4.4563161665493088E-2</v>
      </c>
    </row>
    <row r="1218" spans="1:3" s="4" customFormat="1" x14ac:dyDescent="0.3">
      <c r="A1218" s="3">
        <v>43991</v>
      </c>
      <c r="B1218" s="4">
        <v>2183.1</v>
      </c>
      <c r="C1218" s="4">
        <f t="shared" si="167"/>
        <v>1.5161817095782851E-2</v>
      </c>
    </row>
    <row r="1219" spans="1:3" s="4" customFormat="1" x14ac:dyDescent="0.3">
      <c r="A1219" s="3">
        <v>43992</v>
      </c>
      <c r="B1219" s="4">
        <v>2150.2498999999998</v>
      </c>
      <c r="C1219" s="4">
        <f t="shared" ref="C1219:C1282" si="168">LN(B1219/B1220)</f>
        <v>-3.4644646472774585E-2</v>
      </c>
    </row>
    <row r="1220" spans="1:3" s="4" customFormat="1" x14ac:dyDescent="0.3">
      <c r="A1220" s="3">
        <v>43993</v>
      </c>
      <c r="B1220" s="4">
        <v>2226.0500000000002</v>
      </c>
      <c r="C1220" s="4">
        <f t="shared" si="168"/>
        <v>8.9797541949837665E-3</v>
      </c>
    </row>
    <row r="1221" spans="1:3" s="4" customFormat="1" x14ac:dyDescent="0.3">
      <c r="A1221" s="3">
        <v>43994</v>
      </c>
      <c r="B1221" s="4">
        <v>2206.1500999999998</v>
      </c>
      <c r="C1221" s="4">
        <f t="shared" si="168"/>
        <v>1.8920981786634618E-2</v>
      </c>
    </row>
    <row r="1222" spans="1:3" s="4" customFormat="1" x14ac:dyDescent="0.3">
      <c r="A1222" s="3">
        <v>43995</v>
      </c>
      <c r="B1222" s="4">
        <v>2164.8000000000002</v>
      </c>
      <c r="C1222" s="4">
        <f t="shared" si="168"/>
        <v>-6.7446188403852518E-3</v>
      </c>
    </row>
    <row r="1223" spans="1:3" s="4" customFormat="1" x14ac:dyDescent="0.3">
      <c r="A1223" s="3">
        <v>43996</v>
      </c>
      <c r="B1223" s="4">
        <v>2179.4501</v>
      </c>
      <c r="C1223" s="4">
        <f t="shared" si="168"/>
        <v>5.2905766939482946E-3</v>
      </c>
    </row>
    <row r="1224" spans="1:3" s="4" customFormat="1" x14ac:dyDescent="0.3">
      <c r="A1224" s="3">
        <v>43997</v>
      </c>
      <c r="B1224" s="4">
        <v>2167.9499999999998</v>
      </c>
      <c r="C1224" s="4">
        <f t="shared" si="168"/>
        <v>4.4843124473285863E-3</v>
      </c>
    </row>
    <row r="1225" spans="1:3" s="4" customFormat="1" x14ac:dyDescent="0.3">
      <c r="A1225" s="3">
        <v>43998</v>
      </c>
      <c r="B1225" s="4">
        <v>2158.25</v>
      </c>
      <c r="C1225" s="4">
        <f t="shared" si="168"/>
        <v>3.5608620274058443E-2</v>
      </c>
    </row>
    <row r="1226" spans="1:3" s="4" customFormat="1" x14ac:dyDescent="0.3">
      <c r="A1226" s="3">
        <v>43999</v>
      </c>
      <c r="B1226" s="4">
        <v>2082.7498999999998</v>
      </c>
      <c r="C1226" s="4">
        <f t="shared" si="168"/>
        <v>1.7875687921142046E-2</v>
      </c>
    </row>
    <row r="1227" spans="1:3" s="4" customFormat="1" x14ac:dyDescent="0.3">
      <c r="A1227" s="3">
        <v>44000</v>
      </c>
      <c r="B1227" s="4">
        <v>2045.8501000000001</v>
      </c>
      <c r="C1227" s="4">
        <f t="shared" si="168"/>
        <v>8.6400476452571252E-3</v>
      </c>
    </row>
    <row r="1228" spans="1:3" s="4" customFormat="1" x14ac:dyDescent="0.3">
      <c r="A1228" s="3">
        <v>44001</v>
      </c>
      <c r="B1228" s="4">
        <v>2028.25</v>
      </c>
      <c r="C1228" s="4">
        <f t="shared" si="168"/>
        <v>-1.3613314070325552E-2</v>
      </c>
    </row>
    <row r="1229" spans="1:3" s="4" customFormat="1" x14ac:dyDescent="0.3">
      <c r="A1229" s="3">
        <v>44002</v>
      </c>
      <c r="B1229" s="4">
        <v>2056.0500000000002</v>
      </c>
      <c r="C1229" s="4">
        <f t="shared" si="168"/>
        <v>-2.0293215611783062E-2</v>
      </c>
    </row>
    <row r="1230" spans="1:3" s="4" customFormat="1" x14ac:dyDescent="0.3">
      <c r="A1230" s="3">
        <v>44003</v>
      </c>
      <c r="B1230" s="4">
        <v>2098.2001</v>
      </c>
      <c r="C1230" s="4">
        <f t="shared" si="168"/>
        <v>-1.040695892275942E-2</v>
      </c>
    </row>
    <row r="1231" spans="1:3" s="4" customFormat="1" x14ac:dyDescent="0.3">
      <c r="A1231" s="3">
        <v>44004</v>
      </c>
      <c r="B1231" s="4">
        <v>2120.15</v>
      </c>
      <c r="C1231" s="4">
        <f t="shared" si="168"/>
        <v>8.9306400804172389E-3</v>
      </c>
    </row>
    <row r="1232" spans="1:3" s="4" customFormat="1" x14ac:dyDescent="0.3">
      <c r="A1232" s="3">
        <v>44005</v>
      </c>
      <c r="B1232" s="4">
        <v>2101.3000000000002</v>
      </c>
      <c r="C1232" s="4">
        <f t="shared" si="168"/>
        <v>4.5964957854987588E-2</v>
      </c>
    </row>
    <row r="1233" spans="1:3" s="4" customFormat="1" x14ac:dyDescent="0.3">
      <c r="A1233" s="3">
        <v>44006</v>
      </c>
      <c r="B1233" s="4">
        <v>2006.9</v>
      </c>
      <c r="C1233" s="4">
        <f t="shared" si="168"/>
        <v>2.0513876237331995E-2</v>
      </c>
    </row>
    <row r="1234" spans="1:3" s="4" customFormat="1" x14ac:dyDescent="0.3">
      <c r="A1234" s="3">
        <v>44007</v>
      </c>
      <c r="B1234" s="4">
        <v>1966.1501000000001</v>
      </c>
      <c r="C1234" s="4">
        <f t="shared" si="168"/>
        <v>5.6871732878392596E-3</v>
      </c>
    </row>
    <row r="1235" spans="1:3" s="4" customFormat="1" x14ac:dyDescent="0.3">
      <c r="A1235" s="3">
        <v>44008</v>
      </c>
      <c r="B1235" s="4">
        <v>1955</v>
      </c>
      <c r="C1235" s="4">
        <f t="shared" si="168"/>
        <v>8.3467579287175696E-3</v>
      </c>
    </row>
    <row r="1236" spans="1:3" s="4" customFormat="1" x14ac:dyDescent="0.3">
      <c r="A1236" s="3">
        <v>44009</v>
      </c>
      <c r="B1236" s="4">
        <v>1938.75</v>
      </c>
      <c r="C1236" s="4">
        <f t="shared" si="168"/>
        <v>-3.5842499398507213E-2</v>
      </c>
    </row>
    <row r="1237" spans="1:3" s="4" customFormat="1" x14ac:dyDescent="0.3">
      <c r="A1237" s="3">
        <v>44010</v>
      </c>
      <c r="B1237" s="4">
        <v>2009.5</v>
      </c>
      <c r="C1237" s="4">
        <f t="shared" si="168"/>
        <v>3.4914548389018814E-2</v>
      </c>
    </row>
    <row r="1238" spans="1:3" s="4" customFormat="1" x14ac:dyDescent="0.3">
      <c r="A1238" s="3">
        <v>44011</v>
      </c>
      <c r="B1238" s="4">
        <v>1940.5499</v>
      </c>
      <c r="C1238" s="4">
        <f t="shared" si="168"/>
        <v>4.8677983189675603E-2</v>
      </c>
    </row>
    <row r="1239" spans="1:3" s="4" customFormat="1" x14ac:dyDescent="0.3">
      <c r="A1239" s="3">
        <v>44012</v>
      </c>
      <c r="B1239" s="4">
        <v>1848.3501000000001</v>
      </c>
      <c r="C1239" s="4">
        <f t="shared" si="168"/>
        <v>1.1235057550164958E-2</v>
      </c>
    </row>
    <row r="1240" spans="1:3" s="4" customFormat="1" x14ac:dyDescent="0.3">
      <c r="A1240" s="3">
        <v>44013</v>
      </c>
      <c r="B1240" s="4">
        <v>1827.7</v>
      </c>
      <c r="C1240" s="4">
        <f t="shared" si="168"/>
        <v>-1.7733118837662622E-2</v>
      </c>
    </row>
    <row r="1241" spans="1:3" s="4" customFormat="1" x14ac:dyDescent="0.3">
      <c r="A1241" s="3">
        <v>44014</v>
      </c>
      <c r="B1241" s="4">
        <v>1860.3998999999999</v>
      </c>
      <c r="C1241" s="4">
        <f t="shared" si="168"/>
        <v>1.1161717436140981E-2</v>
      </c>
    </row>
    <row r="1242" spans="1:3" s="4" customFormat="1" x14ac:dyDescent="0.3">
      <c r="A1242" s="3">
        <v>44015</v>
      </c>
      <c r="B1242" s="4">
        <v>1839.7501</v>
      </c>
      <c r="C1242" s="4">
        <f t="shared" si="168"/>
        <v>-7.4999469562481973E-3</v>
      </c>
    </row>
    <row r="1243" spans="1:3" s="4" customFormat="1" x14ac:dyDescent="0.3">
      <c r="A1243" s="3">
        <v>44016</v>
      </c>
      <c r="B1243" s="4">
        <v>1853.6</v>
      </c>
      <c r="C1243" s="4">
        <f t="shared" si="168"/>
        <v>5.6536297206418668E-3</v>
      </c>
    </row>
    <row r="1244" spans="1:3" s="4" customFormat="1" x14ac:dyDescent="0.3">
      <c r="A1244" s="3">
        <v>44017</v>
      </c>
      <c r="B1244" s="4">
        <v>1843.15</v>
      </c>
      <c r="C1244" s="4">
        <f t="shared" si="168"/>
        <v>-2.144329059407124E-2</v>
      </c>
    </row>
    <row r="1245" spans="1:3" s="4" customFormat="1" x14ac:dyDescent="0.3">
      <c r="A1245" s="3">
        <v>44018</v>
      </c>
      <c r="B1245" s="4">
        <v>1883.1</v>
      </c>
      <c r="C1245" s="4">
        <f t="shared" si="168"/>
        <v>-3.7649850537238932E-2</v>
      </c>
    </row>
    <row r="1246" spans="1:3" s="4" customFormat="1" x14ac:dyDescent="0.3">
      <c r="A1246" s="3">
        <v>44019</v>
      </c>
      <c r="B1246" s="4">
        <v>1955.35</v>
      </c>
      <c r="C1246" s="4">
        <f t="shared" si="168"/>
        <v>-3.6579543953862453E-2</v>
      </c>
    </row>
    <row r="1247" spans="1:3" s="4" customFormat="1" x14ac:dyDescent="0.3">
      <c r="A1247" s="3">
        <v>44020</v>
      </c>
      <c r="B1247" s="4">
        <v>2028.2001</v>
      </c>
      <c r="C1247" s="4">
        <f t="shared" si="168"/>
        <v>1.5878328953474893E-2</v>
      </c>
    </row>
    <row r="1248" spans="1:3" s="4" customFormat="1" x14ac:dyDescent="0.3">
      <c r="A1248" s="3">
        <v>44021</v>
      </c>
      <c r="B1248" s="4">
        <v>1996.25</v>
      </c>
      <c r="C1248" s="4">
        <f t="shared" si="168"/>
        <v>-4.3066686837722676E-2</v>
      </c>
    </row>
    <row r="1249" spans="1:3" s="4" customFormat="1" x14ac:dyDescent="0.3">
      <c r="A1249" s="3">
        <v>44022</v>
      </c>
      <c r="B1249" s="4">
        <v>2084.1</v>
      </c>
      <c r="C1249" s="4">
        <f t="shared" si="168"/>
        <v>-2.6749056183330306E-2</v>
      </c>
    </row>
    <row r="1250" spans="1:3" s="4" customFormat="1" x14ac:dyDescent="0.3">
      <c r="A1250" s="3">
        <v>44023</v>
      </c>
      <c r="B1250" s="4">
        <v>2140.6</v>
      </c>
      <c r="C1250" s="4">
        <f t="shared" si="168"/>
        <v>1.1685793743405138E-3</v>
      </c>
    </row>
    <row r="1251" spans="1:3" s="4" customFormat="1" x14ac:dyDescent="0.3">
      <c r="A1251" s="3">
        <v>44024</v>
      </c>
      <c r="B1251" s="4">
        <v>2138.1</v>
      </c>
      <c r="C1251" s="4">
        <f t="shared" si="168"/>
        <v>0</v>
      </c>
    </row>
    <row r="1252" spans="1:3" s="4" customFormat="1" x14ac:dyDescent="0.3">
      <c r="A1252" s="3">
        <v>44025</v>
      </c>
      <c r="B1252" s="4">
        <v>2138.1</v>
      </c>
      <c r="C1252" s="4">
        <f t="shared" si="168"/>
        <v>5.9105153770897985E-3</v>
      </c>
    </row>
    <row r="1253" spans="1:3" s="4" customFormat="1" x14ac:dyDescent="0.3">
      <c r="A1253" s="3">
        <v>44026</v>
      </c>
      <c r="B1253" s="4">
        <v>2125.5</v>
      </c>
      <c r="C1253" s="4">
        <f t="shared" si="168"/>
        <v>-1.7188524439535099E-2</v>
      </c>
    </row>
    <row r="1254" spans="1:3" s="4" customFormat="1" x14ac:dyDescent="0.3">
      <c r="A1254" s="3">
        <v>44027</v>
      </c>
      <c r="B1254" s="4">
        <v>2162.35</v>
      </c>
      <c r="C1254" s="4">
        <f t="shared" si="168"/>
        <v>-4.3377009016499829E-3</v>
      </c>
    </row>
    <row r="1255" spans="1:3" s="4" customFormat="1" x14ac:dyDescent="0.3">
      <c r="A1255" s="3">
        <v>44028</v>
      </c>
      <c r="B1255" s="4">
        <v>2171.75</v>
      </c>
      <c r="C1255" s="4">
        <f t="shared" si="168"/>
        <v>-8.6878789489327878E-3</v>
      </c>
    </row>
    <row r="1256" spans="1:3" s="4" customFormat="1" x14ac:dyDescent="0.3">
      <c r="A1256" s="3">
        <v>44029</v>
      </c>
      <c r="B1256" s="4">
        <v>2190.7001</v>
      </c>
      <c r="C1256" s="4">
        <f t="shared" si="168"/>
        <v>-1.140537036406623E-3</v>
      </c>
    </row>
    <row r="1257" spans="1:3" s="4" customFormat="1" x14ac:dyDescent="0.3">
      <c r="A1257" s="3">
        <v>44030</v>
      </c>
      <c r="B1257" s="4">
        <v>2193.2001</v>
      </c>
      <c r="C1257" s="4">
        <f t="shared" si="168"/>
        <v>-3.0202198364440536E-2</v>
      </c>
    </row>
    <row r="1258" spans="1:3" s="4" customFormat="1" x14ac:dyDescent="0.3">
      <c r="A1258" s="3">
        <v>44031</v>
      </c>
      <c r="B1258" s="4">
        <v>2260.4499999999998</v>
      </c>
      <c r="C1258" s="4">
        <f t="shared" si="168"/>
        <v>-3.7973331865081934E-3</v>
      </c>
    </row>
    <row r="1259" spans="1:3" s="4" customFormat="1" x14ac:dyDescent="0.3">
      <c r="A1259" s="3">
        <v>44032</v>
      </c>
      <c r="B1259" s="4">
        <v>2269.0500000000002</v>
      </c>
      <c r="C1259" s="4">
        <f t="shared" si="168"/>
        <v>-9.9544761655669649E-3</v>
      </c>
    </row>
    <row r="1260" spans="1:3" s="4" customFormat="1" x14ac:dyDescent="0.3">
      <c r="A1260" s="3">
        <v>44033</v>
      </c>
      <c r="B1260" s="4">
        <v>2291.75</v>
      </c>
      <c r="C1260" s="4">
        <f t="shared" si="168"/>
        <v>-5.4611814337329418E-3</v>
      </c>
    </row>
    <row r="1261" spans="1:3" s="4" customFormat="1" x14ac:dyDescent="0.3">
      <c r="A1261" s="3">
        <v>44034</v>
      </c>
      <c r="B1261" s="4">
        <v>2304.2999</v>
      </c>
      <c r="C1261" s="4">
        <f t="shared" si="168"/>
        <v>1.715803537085768E-2</v>
      </c>
    </row>
    <row r="1262" spans="1:3" s="4" customFormat="1" x14ac:dyDescent="0.3">
      <c r="A1262" s="3">
        <v>44035</v>
      </c>
      <c r="B1262" s="4">
        <v>2265.0999000000002</v>
      </c>
      <c r="C1262" s="4">
        <f t="shared" si="168"/>
        <v>2.3586165588819111E-2</v>
      </c>
    </row>
    <row r="1263" spans="1:3" s="4" customFormat="1" x14ac:dyDescent="0.3">
      <c r="A1263" s="3">
        <v>44036</v>
      </c>
      <c r="B1263" s="4">
        <v>2212.3000000000002</v>
      </c>
      <c r="C1263" s="4">
        <f t="shared" si="168"/>
        <v>-6.8696284662135964E-3</v>
      </c>
    </row>
    <row r="1264" spans="1:3" s="4" customFormat="1" x14ac:dyDescent="0.3">
      <c r="A1264" s="3">
        <v>44037</v>
      </c>
      <c r="B1264" s="4">
        <v>2227.5500000000002</v>
      </c>
      <c r="C1264" s="4">
        <f t="shared" si="168"/>
        <v>3.1465626820486994E-2</v>
      </c>
    </row>
    <row r="1265" spans="1:3" s="4" customFormat="1" x14ac:dyDescent="0.3">
      <c r="A1265" s="3">
        <v>44038</v>
      </c>
      <c r="B1265" s="4">
        <v>2158.5500000000002</v>
      </c>
      <c r="C1265" s="4">
        <f t="shared" si="168"/>
        <v>3.4108740070127102E-3</v>
      </c>
    </row>
    <row r="1266" spans="1:3" s="4" customFormat="1" x14ac:dyDescent="0.3">
      <c r="A1266" s="3">
        <v>44039</v>
      </c>
      <c r="B1266" s="4">
        <v>2151.1999999999998</v>
      </c>
      <c r="C1266" s="4">
        <f t="shared" si="168"/>
        <v>2.3874218484759107E-2</v>
      </c>
    </row>
    <row r="1267" spans="1:3" s="4" customFormat="1" x14ac:dyDescent="0.3">
      <c r="A1267" s="3">
        <v>44040</v>
      </c>
      <c r="B1267" s="4">
        <v>2100.4499999999998</v>
      </c>
      <c r="C1267" s="4">
        <f t="shared" si="168"/>
        <v>-2.9136473456126917E-2</v>
      </c>
    </row>
    <row r="1268" spans="1:3" s="4" customFormat="1" x14ac:dyDescent="0.3">
      <c r="A1268" s="3">
        <v>44041</v>
      </c>
      <c r="B1268" s="4">
        <v>2162.5500000000002</v>
      </c>
      <c r="C1268" s="4">
        <f t="shared" si="168"/>
        <v>0</v>
      </c>
    </row>
    <row r="1269" spans="1:3" s="4" customFormat="1" x14ac:dyDescent="0.3">
      <c r="A1269" s="3">
        <v>44042</v>
      </c>
      <c r="B1269" s="4">
        <v>2162.5500000000002</v>
      </c>
      <c r="C1269" s="4">
        <f t="shared" si="168"/>
        <v>0</v>
      </c>
    </row>
    <row r="1270" spans="1:3" s="4" customFormat="1" x14ac:dyDescent="0.3">
      <c r="A1270" s="3">
        <v>44043</v>
      </c>
      <c r="B1270" s="4">
        <v>2162.5500000000002</v>
      </c>
      <c r="C1270" s="4">
        <f t="shared" si="168"/>
        <v>-4.6135119084083215E-3</v>
      </c>
    </row>
    <row r="1271" spans="1:3" s="4" customFormat="1" x14ac:dyDescent="0.3">
      <c r="A1271" s="3">
        <v>44044</v>
      </c>
      <c r="B1271" s="4">
        <v>2172.5500000000002</v>
      </c>
      <c r="C1271" s="4">
        <f t="shared" si="168"/>
        <v>1.9591884274251486E-2</v>
      </c>
    </row>
    <row r="1272" spans="1:3" s="4" customFormat="1" x14ac:dyDescent="0.3">
      <c r="A1272" s="3">
        <v>44045</v>
      </c>
      <c r="B1272" s="4">
        <v>2130.3998999999999</v>
      </c>
      <c r="C1272" s="4">
        <f t="shared" si="168"/>
        <v>1.6112019028780164E-2</v>
      </c>
    </row>
    <row r="1273" spans="1:3" s="4" customFormat="1" x14ac:dyDescent="0.3">
      <c r="A1273" s="3">
        <v>44046</v>
      </c>
      <c r="B1273" s="4">
        <v>2096.3499000000002</v>
      </c>
      <c r="C1273" s="4">
        <f t="shared" si="168"/>
        <v>1.683663009520624E-2</v>
      </c>
    </row>
    <row r="1274" spans="1:3" s="4" customFormat="1" x14ac:dyDescent="0.3">
      <c r="A1274" s="3">
        <v>44047</v>
      </c>
      <c r="B1274" s="4">
        <v>2061.3499000000002</v>
      </c>
      <c r="C1274" s="4">
        <f t="shared" si="168"/>
        <v>-8.6461923126038356E-3</v>
      </c>
    </row>
    <row r="1275" spans="1:3" s="4" customFormat="1" x14ac:dyDescent="0.3">
      <c r="A1275" s="3">
        <v>44048</v>
      </c>
      <c r="B1275" s="4">
        <v>2079.25</v>
      </c>
      <c r="C1275" s="4">
        <f t="shared" si="168"/>
        <v>-2.3715540308665638E-2</v>
      </c>
    </row>
    <row r="1276" spans="1:3" s="4" customFormat="1" x14ac:dyDescent="0.3">
      <c r="A1276" s="3">
        <v>44049</v>
      </c>
      <c r="B1276" s="4">
        <v>2129.1498999999999</v>
      </c>
      <c r="C1276" s="4">
        <f t="shared" si="168"/>
        <v>5.5102575609239264E-3</v>
      </c>
    </row>
    <row r="1277" spans="1:3" s="4" customFormat="1" x14ac:dyDescent="0.3">
      <c r="A1277" s="3">
        <v>44050</v>
      </c>
      <c r="B1277" s="4">
        <v>2117.4499999999998</v>
      </c>
      <c r="C1277" s="4">
        <f t="shared" si="168"/>
        <v>-2.3015814517915852E-2</v>
      </c>
    </row>
    <row r="1278" spans="1:3" s="4" customFormat="1" x14ac:dyDescent="0.3">
      <c r="A1278" s="3">
        <v>44051</v>
      </c>
      <c r="B1278" s="4">
        <v>2166.75</v>
      </c>
      <c r="C1278" s="4">
        <f t="shared" si="168"/>
        <v>2.8423881315698587E-3</v>
      </c>
    </row>
    <row r="1279" spans="1:3" s="4" customFormat="1" x14ac:dyDescent="0.3">
      <c r="A1279" s="3">
        <v>44052</v>
      </c>
      <c r="B1279" s="4">
        <v>2160.6</v>
      </c>
      <c r="C1279" s="4">
        <f t="shared" si="168"/>
        <v>-3.2892835495880089E-2</v>
      </c>
    </row>
    <row r="1280" spans="1:3" s="4" customFormat="1" x14ac:dyDescent="0.3">
      <c r="A1280" s="3">
        <v>44053</v>
      </c>
      <c r="B1280" s="4">
        <v>2232.85</v>
      </c>
      <c r="C1280" s="4">
        <f t="shared" si="168"/>
        <v>2.0588030926694506E-2</v>
      </c>
    </row>
    <row r="1281" spans="1:3" s="4" customFormat="1" x14ac:dyDescent="0.3">
      <c r="A1281" s="3">
        <v>44054</v>
      </c>
      <c r="B1281" s="4">
        <v>2187.35</v>
      </c>
      <c r="C1281" s="4">
        <f t="shared" si="168"/>
        <v>1.3717446791991293E-2</v>
      </c>
    </row>
    <row r="1282" spans="1:3" s="4" customFormat="1" x14ac:dyDescent="0.3">
      <c r="A1282" s="3">
        <v>44055</v>
      </c>
      <c r="B1282" s="4">
        <v>2157.5500000000002</v>
      </c>
      <c r="C1282" s="4">
        <f t="shared" si="168"/>
        <v>-3.2086074191079998E-2</v>
      </c>
    </row>
    <row r="1283" spans="1:3" s="4" customFormat="1" x14ac:dyDescent="0.3">
      <c r="A1283" s="3">
        <v>44056</v>
      </c>
      <c r="B1283" s="4">
        <v>2227.8998999999999</v>
      </c>
      <c r="C1283" s="4">
        <f t="shared" ref="C1283:C1306" si="169">LN(B1283/B1284)</f>
        <v>-3.1545292425298077E-2</v>
      </c>
    </row>
    <row r="1284" spans="1:3" s="4" customFormat="1" x14ac:dyDescent="0.3">
      <c r="A1284" s="3">
        <v>44057</v>
      </c>
      <c r="B1284" s="4">
        <v>2299.2999</v>
      </c>
      <c r="C1284" s="4">
        <f t="shared" si="169"/>
        <v>-2.3851112877649395E-2</v>
      </c>
    </row>
    <row r="1285" spans="1:3" s="4" customFormat="1" x14ac:dyDescent="0.3">
      <c r="A1285" s="3">
        <v>44058</v>
      </c>
      <c r="B1285" s="4">
        <v>2354.8000000000002</v>
      </c>
      <c r="C1285" s="4">
        <f t="shared" si="169"/>
        <v>1.1661068002884183E-2</v>
      </c>
    </row>
    <row r="1286" spans="1:3" s="4" customFormat="1" x14ac:dyDescent="0.3">
      <c r="A1286" s="3">
        <v>44059</v>
      </c>
      <c r="B1286" s="4">
        <v>2327.5</v>
      </c>
      <c r="C1286" s="4">
        <f t="shared" si="169"/>
        <v>7.2009452441116036E-3</v>
      </c>
    </row>
    <row r="1287" spans="1:3" s="4" customFormat="1" x14ac:dyDescent="0.3">
      <c r="A1287" s="3">
        <v>44060</v>
      </c>
      <c r="B1287" s="4">
        <v>2310.8000000000002</v>
      </c>
      <c r="C1287" s="4">
        <f t="shared" si="169"/>
        <v>3.720785369542947E-2</v>
      </c>
    </row>
    <row r="1288" spans="1:3" s="4" customFormat="1" x14ac:dyDescent="0.3">
      <c r="A1288" s="3">
        <v>44061</v>
      </c>
      <c r="B1288" s="4">
        <v>2226.4</v>
      </c>
      <c r="C1288" s="4">
        <f t="shared" si="169"/>
        <v>3.8856065308342166E-2</v>
      </c>
    </row>
    <row r="1289" spans="1:3" s="4" customFormat="1" x14ac:dyDescent="0.3">
      <c r="A1289" s="3">
        <v>44062</v>
      </c>
      <c r="B1289" s="4">
        <v>2141.5500000000002</v>
      </c>
      <c r="C1289" s="4">
        <f t="shared" si="169"/>
        <v>0</v>
      </c>
    </row>
    <row r="1290" spans="1:3" s="4" customFormat="1" x14ac:dyDescent="0.3">
      <c r="A1290" s="3">
        <v>44063</v>
      </c>
      <c r="B1290" s="4">
        <v>2141.5500000000002</v>
      </c>
      <c r="C1290" s="4">
        <f t="shared" si="169"/>
        <v>-2.9374758847859643E-3</v>
      </c>
    </row>
    <row r="1291" spans="1:3" s="4" customFormat="1" x14ac:dyDescent="0.3">
      <c r="A1291" s="3">
        <v>44064</v>
      </c>
      <c r="B1291" s="4">
        <v>2147.85</v>
      </c>
      <c r="C1291" s="4">
        <f t="shared" si="169"/>
        <v>-1.3043964864896083E-2</v>
      </c>
    </row>
    <row r="1292" spans="1:3" s="4" customFormat="1" x14ac:dyDescent="0.3">
      <c r="A1292" s="3">
        <v>44065</v>
      </c>
      <c r="B1292" s="4">
        <v>2176.0500000000002</v>
      </c>
      <c r="C1292" s="4">
        <f t="shared" si="169"/>
        <v>-3.1951166270410024E-2</v>
      </c>
    </row>
    <row r="1293" spans="1:3" s="4" customFormat="1" x14ac:dyDescent="0.3">
      <c r="A1293" s="3">
        <v>44066</v>
      </c>
      <c r="B1293" s="4">
        <v>2246.6999999999998</v>
      </c>
      <c r="C1293" s="4">
        <f t="shared" si="169"/>
        <v>1.251849869970499E-2</v>
      </c>
    </row>
    <row r="1294" spans="1:3" s="4" customFormat="1" x14ac:dyDescent="0.3">
      <c r="A1294" s="3">
        <v>44067</v>
      </c>
      <c r="B1294" s="4">
        <v>2218.75</v>
      </c>
      <c r="C1294" s="4">
        <f t="shared" si="169"/>
        <v>-1.289675981563557E-2</v>
      </c>
    </row>
    <row r="1295" spans="1:3" s="4" customFormat="1" x14ac:dyDescent="0.3">
      <c r="A1295" s="3">
        <v>44068</v>
      </c>
      <c r="B1295" s="4">
        <v>2247.5500000000002</v>
      </c>
      <c r="C1295" s="4">
        <f t="shared" si="169"/>
        <v>7.2787675114123832E-3</v>
      </c>
    </row>
    <row r="1296" spans="1:3" s="4" customFormat="1" x14ac:dyDescent="0.3">
      <c r="A1296" s="3">
        <v>44069</v>
      </c>
      <c r="B1296" s="4">
        <v>2231.25</v>
      </c>
      <c r="C1296" s="4">
        <f t="shared" si="169"/>
        <v>4.9802441054723569E-2</v>
      </c>
    </row>
    <row r="1297" spans="1:7" s="4" customFormat="1" x14ac:dyDescent="0.3">
      <c r="A1297" s="3">
        <v>44070</v>
      </c>
      <c r="B1297" s="4">
        <v>2122.85</v>
      </c>
      <c r="C1297" s="4">
        <f t="shared" si="169"/>
        <v>-3.8240055236361294E-2</v>
      </c>
    </row>
    <row r="1298" spans="1:7" s="4" customFormat="1" x14ac:dyDescent="0.3">
      <c r="A1298" s="3">
        <v>44071</v>
      </c>
      <c r="B1298" s="4">
        <v>2205.6</v>
      </c>
      <c r="C1298" s="4">
        <f t="shared" si="169"/>
        <v>-2.458644702507292E-2</v>
      </c>
    </row>
    <row r="1299" spans="1:7" s="4" customFormat="1" x14ac:dyDescent="0.3">
      <c r="A1299" s="3">
        <v>44072</v>
      </c>
      <c r="B1299" s="4">
        <v>2260.5</v>
      </c>
      <c r="C1299" s="4">
        <f t="shared" si="169"/>
        <v>2.436054797881121E-3</v>
      </c>
    </row>
    <row r="1300" spans="1:7" s="4" customFormat="1" x14ac:dyDescent="0.3">
      <c r="A1300" s="3">
        <v>44073</v>
      </c>
      <c r="B1300" s="4">
        <v>2255</v>
      </c>
      <c r="C1300" s="4">
        <f t="shared" si="169"/>
        <v>-8.3937551935077404E-2</v>
      </c>
    </row>
    <row r="1301" spans="1:7" s="4" customFormat="1" x14ac:dyDescent="0.3">
      <c r="A1301" s="3">
        <v>44074</v>
      </c>
      <c r="B1301" s="4">
        <v>2452.4499999999998</v>
      </c>
      <c r="C1301" s="4">
        <f t="shared" si="169"/>
        <v>1.4539736580521431E-2</v>
      </c>
    </row>
    <row r="1302" spans="1:7" s="4" customFormat="1" x14ac:dyDescent="0.3">
      <c r="A1302" s="3">
        <v>44075</v>
      </c>
      <c r="B1302" s="4">
        <v>2417.0500000000002</v>
      </c>
      <c r="C1302" s="4">
        <f t="shared" si="169"/>
        <v>0</v>
      </c>
    </row>
    <row r="1303" spans="1:7" s="4" customFormat="1" x14ac:dyDescent="0.3">
      <c r="A1303" s="3">
        <v>44076</v>
      </c>
      <c r="B1303" s="4">
        <v>2417.0500000000002</v>
      </c>
      <c r="C1303" s="4">
        <f t="shared" si="169"/>
        <v>2.7983535072807465E-2</v>
      </c>
    </row>
    <row r="1304" spans="1:7" s="4" customFormat="1" x14ac:dyDescent="0.3">
      <c r="A1304" s="3">
        <v>44077</v>
      </c>
      <c r="B1304" s="4">
        <v>2350.35</v>
      </c>
      <c r="C1304" s="4">
        <f t="shared" si="169"/>
        <v>4.3345189851532573E-2</v>
      </c>
    </row>
    <row r="1305" spans="1:7" s="4" customFormat="1" x14ac:dyDescent="0.3">
      <c r="A1305" s="3">
        <v>44078</v>
      </c>
      <c r="B1305" s="4">
        <v>2250.65</v>
      </c>
      <c r="C1305" s="4">
        <f t="shared" si="169"/>
        <v>2.2693523526679953E-2</v>
      </c>
    </row>
    <row r="1306" spans="1:7" s="4" customFormat="1" x14ac:dyDescent="0.3">
      <c r="A1306" s="3">
        <v>44079</v>
      </c>
      <c r="B1306" s="4">
        <v>2200.15</v>
      </c>
      <c r="C1306" s="4">
        <f t="shared" si="169"/>
        <v>3.2755734819124305E-2</v>
      </c>
    </row>
    <row r="1307" spans="1:7" s="4" customFormat="1" x14ac:dyDescent="0.3">
      <c r="A1307" s="3">
        <v>44080</v>
      </c>
      <c r="B1307" s="4">
        <v>2129.25</v>
      </c>
      <c r="C1307" s="4">
        <v>0</v>
      </c>
      <c r="G1307"/>
    </row>
  </sheetData>
  <sortState columnSort="1" ref="N15:FB15">
    <sortCondition ref="N15:FB15"/>
  </sortState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91"/>
  <sheetViews>
    <sheetView workbookViewId="0">
      <pane ySplit="1" topLeftCell="A2" activePane="bottomLeft" state="frozen"/>
      <selection pane="bottomLeft" activeCell="E25" sqref="E25"/>
    </sheetView>
  </sheetViews>
  <sheetFormatPr defaultRowHeight="14.4" x14ac:dyDescent="0.3"/>
  <cols>
    <col min="1" max="1" width="10.44140625" bestFit="1" customWidth="1"/>
    <col min="5" max="5" width="11.5546875" bestFit="1" customWidth="1"/>
    <col min="6" max="6" width="14.44140625" bestFit="1" customWidth="1"/>
  </cols>
  <sheetData>
    <row r="1" spans="1:6" s="23" customFormat="1" x14ac:dyDescent="0.3">
      <c r="A1" s="23" t="s">
        <v>0</v>
      </c>
      <c r="B1" s="23" t="s">
        <v>1</v>
      </c>
      <c r="C1" s="23" t="s">
        <v>34</v>
      </c>
      <c r="D1" s="23" t="s">
        <v>35</v>
      </c>
      <c r="E1" s="23" t="s">
        <v>36</v>
      </c>
      <c r="F1" s="23" t="s">
        <v>37</v>
      </c>
    </row>
    <row r="2" spans="1:6" s="10" customFormat="1" x14ac:dyDescent="0.3">
      <c r="A2" s="24">
        <v>41169</v>
      </c>
      <c r="B2" s="10">
        <v>5610</v>
      </c>
    </row>
    <row r="3" spans="1:6" s="10" customFormat="1" x14ac:dyDescent="0.3">
      <c r="A3" s="24">
        <v>41170</v>
      </c>
      <c r="B3" s="10">
        <v>5600.0498049999997</v>
      </c>
    </row>
    <row r="4" spans="1:6" s="10" customFormat="1" x14ac:dyDescent="0.3">
      <c r="A4" s="24">
        <v>41171</v>
      </c>
      <c r="B4" s="10">
        <v>5600.0498049999997</v>
      </c>
    </row>
    <row r="5" spans="1:6" s="10" customFormat="1" x14ac:dyDescent="0.3">
      <c r="A5" s="24">
        <v>41172</v>
      </c>
      <c r="B5" s="10">
        <v>5554.25</v>
      </c>
    </row>
    <row r="6" spans="1:6" s="10" customFormat="1" x14ac:dyDescent="0.3">
      <c r="A6" s="24">
        <v>41173</v>
      </c>
      <c r="B6" s="10">
        <v>5691.1499020000001</v>
      </c>
    </row>
    <row r="7" spans="1:6" s="10" customFormat="1" x14ac:dyDescent="0.3">
      <c r="A7" s="24">
        <v>41176</v>
      </c>
      <c r="B7" s="10">
        <v>5669.6000979999999</v>
      </c>
    </row>
    <row r="8" spans="1:6" s="10" customFormat="1" x14ac:dyDescent="0.3">
      <c r="A8" s="24">
        <v>41177</v>
      </c>
      <c r="B8" s="10">
        <v>5673.8999020000001</v>
      </c>
    </row>
    <row r="9" spans="1:6" s="10" customFormat="1" x14ac:dyDescent="0.3">
      <c r="A9" s="24">
        <v>41178</v>
      </c>
      <c r="B9" s="10">
        <v>5663.4501950000003</v>
      </c>
    </row>
    <row r="10" spans="1:6" s="10" customFormat="1" x14ac:dyDescent="0.3">
      <c r="A10" s="24">
        <v>41179</v>
      </c>
      <c r="B10" s="10">
        <v>5649.5</v>
      </c>
    </row>
    <row r="11" spans="1:6" s="10" customFormat="1" x14ac:dyDescent="0.3">
      <c r="A11" s="24">
        <v>41180</v>
      </c>
      <c r="B11" s="10">
        <v>5703.2998049999997</v>
      </c>
    </row>
    <row r="12" spans="1:6" s="10" customFormat="1" x14ac:dyDescent="0.3">
      <c r="A12" s="24">
        <v>41183</v>
      </c>
      <c r="B12" s="10">
        <v>5718.7998049999997</v>
      </c>
    </row>
    <row r="13" spans="1:6" s="10" customFormat="1" x14ac:dyDescent="0.3">
      <c r="A13" s="24">
        <v>41184</v>
      </c>
      <c r="B13" s="10">
        <v>5718.7998049999997</v>
      </c>
    </row>
    <row r="14" spans="1:6" s="10" customFormat="1" x14ac:dyDescent="0.3">
      <c r="A14" s="24">
        <v>41185</v>
      </c>
      <c r="B14" s="10">
        <v>5731.25</v>
      </c>
    </row>
    <row r="15" spans="1:6" s="10" customFormat="1" x14ac:dyDescent="0.3">
      <c r="A15" s="24">
        <v>41186</v>
      </c>
      <c r="B15" s="10">
        <v>5787.6000979999999</v>
      </c>
    </row>
    <row r="16" spans="1:6" s="10" customFormat="1" x14ac:dyDescent="0.3">
      <c r="A16" s="24">
        <v>41187</v>
      </c>
      <c r="B16" s="10">
        <v>5746.9501950000003</v>
      </c>
    </row>
    <row r="17" spans="1:6" s="10" customFormat="1" x14ac:dyDescent="0.3">
      <c r="A17" s="24">
        <v>41190</v>
      </c>
      <c r="B17" s="10">
        <v>5676</v>
      </c>
    </row>
    <row r="18" spans="1:6" s="10" customFormat="1" x14ac:dyDescent="0.3">
      <c r="A18" s="24">
        <v>41191</v>
      </c>
      <c r="B18" s="10">
        <v>5704.6000979999999</v>
      </c>
    </row>
    <row r="19" spans="1:6" s="10" customFormat="1" x14ac:dyDescent="0.3">
      <c r="A19" s="24">
        <v>41192</v>
      </c>
      <c r="B19" s="10">
        <v>5652.1499020000001</v>
      </c>
    </row>
    <row r="20" spans="1:6" s="10" customFormat="1" x14ac:dyDescent="0.3">
      <c r="A20" s="24">
        <v>41193</v>
      </c>
      <c r="B20" s="10">
        <v>5708.0498049999997</v>
      </c>
    </row>
    <row r="21" spans="1:6" s="10" customFormat="1" x14ac:dyDescent="0.3">
      <c r="A21" s="24">
        <v>41194</v>
      </c>
      <c r="B21" s="10">
        <v>5676.0498049999997</v>
      </c>
      <c r="C21" s="10">
        <f t="shared" ref="C21:C50" si="0">AVERAGE(B2:B21)</f>
        <v>5676.7749512499995</v>
      </c>
      <c r="D21" s="10">
        <f t="shared" ref="D21:D84" si="1">_xlfn.STDEV.S(B2:B21)</f>
        <v>55.820453627398479</v>
      </c>
      <c r="E21" s="10">
        <f>C21+2*D21</f>
        <v>5788.4158585047962</v>
      </c>
      <c r="F21" s="10">
        <f>C21-2*D21</f>
        <v>5565.1340439952028</v>
      </c>
    </row>
    <row r="22" spans="1:6" s="10" customFormat="1" x14ac:dyDescent="0.3">
      <c r="A22" s="24">
        <v>41197</v>
      </c>
      <c r="B22" s="10">
        <v>5687.25</v>
      </c>
      <c r="C22" s="10">
        <f t="shared" si="0"/>
        <v>5680.6374512499997</v>
      </c>
      <c r="D22" s="10">
        <f t="shared" si="1"/>
        <v>53.584656202802044</v>
      </c>
      <c r="E22" s="10">
        <f t="shared" ref="E22:E85" si="2">C22+2*D22</f>
        <v>5787.8067636556034</v>
      </c>
      <c r="F22" s="10">
        <f t="shared" ref="F22:F85" si="3">C22-2*D22</f>
        <v>5573.468138844396</v>
      </c>
    </row>
    <row r="23" spans="1:6" s="10" customFormat="1" x14ac:dyDescent="0.3">
      <c r="A23" s="24">
        <v>41198</v>
      </c>
      <c r="B23" s="10">
        <v>5648</v>
      </c>
      <c r="C23" s="10">
        <f t="shared" si="0"/>
        <v>5683.0349610000003</v>
      </c>
      <c r="D23" s="10">
        <f t="shared" si="1"/>
        <v>50.788967753073159</v>
      </c>
      <c r="E23" s="10">
        <f t="shared" si="2"/>
        <v>5784.6128965061462</v>
      </c>
      <c r="F23" s="10">
        <f t="shared" si="3"/>
        <v>5581.4570254938544</v>
      </c>
    </row>
    <row r="24" spans="1:6" s="10" customFormat="1" x14ac:dyDescent="0.3">
      <c r="A24" s="24">
        <v>41199</v>
      </c>
      <c r="B24" s="10">
        <v>5660.25</v>
      </c>
      <c r="C24" s="10">
        <f t="shared" si="0"/>
        <v>5686.0449707500011</v>
      </c>
      <c r="D24" s="10">
        <f t="shared" si="1"/>
        <v>47.274272974763484</v>
      </c>
      <c r="E24" s="10">
        <f t="shared" si="2"/>
        <v>5780.5935166995278</v>
      </c>
      <c r="F24" s="10">
        <f t="shared" si="3"/>
        <v>5591.4964248004744</v>
      </c>
    </row>
    <row r="25" spans="1:6" s="10" customFormat="1" x14ac:dyDescent="0.3">
      <c r="A25" s="24">
        <v>41200</v>
      </c>
      <c r="B25" s="10">
        <v>5718.7001950000003</v>
      </c>
      <c r="C25" s="10">
        <f t="shared" si="0"/>
        <v>5694.2674805000006</v>
      </c>
      <c r="D25" s="10">
        <f t="shared" si="1"/>
        <v>36.133186994058363</v>
      </c>
      <c r="E25" s="10">
        <f t="shared" si="2"/>
        <v>5766.533854488117</v>
      </c>
      <c r="F25" s="10">
        <f t="shared" si="3"/>
        <v>5622.0011065118842</v>
      </c>
    </row>
    <row r="26" spans="1:6" s="10" customFormat="1" x14ac:dyDescent="0.3">
      <c r="A26" s="24">
        <v>41201</v>
      </c>
      <c r="B26" s="10">
        <v>5684.25</v>
      </c>
      <c r="C26" s="10">
        <f t="shared" si="0"/>
        <v>5693.9224854000004</v>
      </c>
      <c r="D26" s="10">
        <f t="shared" si="1"/>
        <v>36.197402518098713</v>
      </c>
      <c r="E26" s="10">
        <f t="shared" si="2"/>
        <v>5766.3172904361982</v>
      </c>
      <c r="F26" s="10">
        <f t="shared" si="3"/>
        <v>5621.5276803638026</v>
      </c>
    </row>
    <row r="27" spans="1:6" s="10" customFormat="1" x14ac:dyDescent="0.3">
      <c r="A27" s="24">
        <v>41204</v>
      </c>
      <c r="B27" s="10">
        <v>5717.1499020000001</v>
      </c>
      <c r="C27" s="10">
        <f t="shared" si="0"/>
        <v>5696.2999756000008</v>
      </c>
      <c r="D27" s="10">
        <f t="shared" si="1"/>
        <v>36.077163058133777</v>
      </c>
      <c r="E27" s="10">
        <f t="shared" si="2"/>
        <v>5768.4543017162687</v>
      </c>
      <c r="F27" s="10">
        <f t="shared" si="3"/>
        <v>5624.145649483733</v>
      </c>
    </row>
    <row r="28" spans="1:6" s="10" customFormat="1" x14ac:dyDescent="0.3">
      <c r="A28" s="24">
        <v>41205</v>
      </c>
      <c r="B28" s="10">
        <v>5691.3999020000001</v>
      </c>
      <c r="C28" s="10">
        <f t="shared" si="0"/>
        <v>5697.1749756000008</v>
      </c>
      <c r="D28" s="10">
        <f t="shared" si="1"/>
        <v>35.715695441213079</v>
      </c>
      <c r="E28" s="10">
        <f t="shared" si="2"/>
        <v>5768.6063664824269</v>
      </c>
      <c r="F28" s="10">
        <f t="shared" si="3"/>
        <v>5625.7435847175748</v>
      </c>
    </row>
    <row r="29" spans="1:6" s="10" customFormat="1" x14ac:dyDescent="0.3">
      <c r="A29" s="24">
        <v>41206</v>
      </c>
      <c r="B29" s="10">
        <v>5691.3999020000001</v>
      </c>
      <c r="C29" s="10">
        <f t="shared" si="0"/>
        <v>5698.5724609500003</v>
      </c>
      <c r="D29" s="10">
        <f t="shared" si="1"/>
        <v>34.863295778797365</v>
      </c>
      <c r="E29" s="10">
        <f t="shared" si="2"/>
        <v>5768.2990525075948</v>
      </c>
      <c r="F29" s="10">
        <f t="shared" si="3"/>
        <v>5628.8458693924058</v>
      </c>
    </row>
    <row r="30" spans="1:6" s="10" customFormat="1" x14ac:dyDescent="0.3">
      <c r="A30" s="24">
        <v>41207</v>
      </c>
      <c r="B30" s="10">
        <v>5705.2998049999997</v>
      </c>
      <c r="C30" s="10">
        <f t="shared" si="0"/>
        <v>5701.3624512000006</v>
      </c>
      <c r="D30" s="10">
        <f t="shared" si="1"/>
        <v>32.907372618988553</v>
      </c>
      <c r="E30" s="10">
        <f t="shared" si="2"/>
        <v>5767.1771964379777</v>
      </c>
      <c r="F30" s="10">
        <f t="shared" si="3"/>
        <v>5635.5477059620234</v>
      </c>
    </row>
    <row r="31" spans="1:6" s="10" customFormat="1" x14ac:dyDescent="0.3">
      <c r="A31" s="24">
        <v>41208</v>
      </c>
      <c r="B31" s="10">
        <v>5664.2998049999997</v>
      </c>
      <c r="C31" s="10">
        <f t="shared" si="0"/>
        <v>5699.4124512000008</v>
      </c>
      <c r="D31" s="10">
        <f t="shared" si="1"/>
        <v>33.926270433191021</v>
      </c>
      <c r="E31" s="10">
        <f t="shared" si="2"/>
        <v>5767.2649920663825</v>
      </c>
      <c r="F31" s="10">
        <f t="shared" si="3"/>
        <v>5631.559910333619</v>
      </c>
    </row>
    <row r="32" spans="1:6" s="10" customFormat="1" x14ac:dyDescent="0.3">
      <c r="A32" s="24">
        <v>41211</v>
      </c>
      <c r="B32" s="10">
        <v>5665.6000979999999</v>
      </c>
      <c r="C32" s="10">
        <f t="shared" si="0"/>
        <v>5696.7524658500006</v>
      </c>
      <c r="D32" s="10">
        <f t="shared" si="1"/>
        <v>34.40833741140527</v>
      </c>
      <c r="E32" s="10">
        <f t="shared" si="2"/>
        <v>5765.569140672811</v>
      </c>
      <c r="F32" s="10">
        <f t="shared" si="3"/>
        <v>5627.9357910271901</v>
      </c>
    </row>
    <row r="33" spans="1:6" s="10" customFormat="1" x14ac:dyDescent="0.3">
      <c r="A33" s="24">
        <v>41212</v>
      </c>
      <c r="B33" s="10">
        <v>5597.8999020000001</v>
      </c>
      <c r="C33" s="10">
        <f t="shared" si="0"/>
        <v>5690.7074707000011</v>
      </c>
      <c r="D33" s="10">
        <f t="shared" si="1"/>
        <v>40.425138657300742</v>
      </c>
      <c r="E33" s="10">
        <f t="shared" si="2"/>
        <v>5771.5577480146021</v>
      </c>
      <c r="F33" s="10">
        <f t="shared" si="3"/>
        <v>5609.8571933854</v>
      </c>
    </row>
    <row r="34" spans="1:6" s="10" customFormat="1" x14ac:dyDescent="0.3">
      <c r="A34" s="24">
        <v>41213</v>
      </c>
      <c r="B34" s="10">
        <v>5619.7001950000003</v>
      </c>
      <c r="C34" s="10">
        <f t="shared" si="0"/>
        <v>5685.1299804500004</v>
      </c>
      <c r="D34" s="10">
        <f t="shared" si="1"/>
        <v>42.193672164820953</v>
      </c>
      <c r="E34" s="10">
        <f t="shared" si="2"/>
        <v>5769.517324779642</v>
      </c>
      <c r="F34" s="10">
        <f t="shared" si="3"/>
        <v>5600.7426361203588</v>
      </c>
    </row>
    <row r="35" spans="1:6" s="10" customFormat="1" x14ac:dyDescent="0.3">
      <c r="A35" s="24">
        <v>41214</v>
      </c>
      <c r="B35" s="10">
        <v>5645.0498049999997</v>
      </c>
      <c r="C35" s="10">
        <f t="shared" si="0"/>
        <v>5678.0024658000011</v>
      </c>
      <c r="D35" s="10">
        <f t="shared" si="1"/>
        <v>35.478740569802802</v>
      </c>
      <c r="E35" s="10">
        <f t="shared" si="2"/>
        <v>5748.9599469396071</v>
      </c>
      <c r="F35" s="10">
        <f t="shared" si="3"/>
        <v>5607.0449846603951</v>
      </c>
    </row>
    <row r="36" spans="1:6" s="10" customFormat="1" x14ac:dyDescent="0.3">
      <c r="A36" s="24">
        <v>41215</v>
      </c>
      <c r="B36" s="10">
        <v>5697.7001950000003</v>
      </c>
      <c r="C36" s="10">
        <f t="shared" si="0"/>
        <v>5675.5399658000006</v>
      </c>
      <c r="D36" s="10">
        <f t="shared" si="1"/>
        <v>31.977798766255923</v>
      </c>
      <c r="E36" s="10">
        <f t="shared" si="2"/>
        <v>5739.4955633325126</v>
      </c>
      <c r="F36" s="10">
        <f t="shared" si="3"/>
        <v>5611.5843682674886</v>
      </c>
    </row>
    <row r="37" spans="1:6" s="10" customFormat="1" x14ac:dyDescent="0.3">
      <c r="A37" s="24">
        <v>41218</v>
      </c>
      <c r="B37" s="10">
        <v>5704.2001950000003</v>
      </c>
      <c r="C37" s="10">
        <f t="shared" si="0"/>
        <v>5676.9499755499992</v>
      </c>
      <c r="D37" s="10">
        <f t="shared" si="1"/>
        <v>32.614532780404488</v>
      </c>
      <c r="E37" s="10">
        <f t="shared" si="2"/>
        <v>5742.1790411108086</v>
      </c>
      <c r="F37" s="10">
        <f t="shared" si="3"/>
        <v>5611.7209099891897</v>
      </c>
    </row>
    <row r="38" spans="1:6" s="10" customFormat="1" x14ac:dyDescent="0.3">
      <c r="A38" s="24">
        <v>41219</v>
      </c>
      <c r="B38" s="10">
        <v>5724.3999020000001</v>
      </c>
      <c r="C38" s="10">
        <f t="shared" si="0"/>
        <v>5677.9399657499989</v>
      </c>
      <c r="D38" s="10">
        <f t="shared" si="1"/>
        <v>33.777765855730109</v>
      </c>
      <c r="E38" s="10">
        <f t="shared" si="2"/>
        <v>5745.4954974614593</v>
      </c>
      <c r="F38" s="10">
        <f t="shared" si="3"/>
        <v>5610.3844340385385</v>
      </c>
    </row>
    <row r="39" spans="1:6" s="10" customFormat="1" x14ac:dyDescent="0.3">
      <c r="A39" s="24">
        <v>41220</v>
      </c>
      <c r="B39" s="10">
        <v>5760.1000979999999</v>
      </c>
      <c r="C39" s="10">
        <f t="shared" si="0"/>
        <v>5683.337475549999</v>
      </c>
      <c r="D39" s="10">
        <f t="shared" si="1"/>
        <v>37.822514570426591</v>
      </c>
      <c r="E39" s="10">
        <f t="shared" si="2"/>
        <v>5758.9825046908518</v>
      </c>
      <c r="F39" s="10">
        <f t="shared" si="3"/>
        <v>5607.6924464091462</v>
      </c>
    </row>
    <row r="40" spans="1:6" s="10" customFormat="1" x14ac:dyDescent="0.3">
      <c r="A40" s="24">
        <v>41221</v>
      </c>
      <c r="B40" s="10">
        <v>5738.75</v>
      </c>
      <c r="C40" s="10">
        <f t="shared" si="0"/>
        <v>5684.8724853000003</v>
      </c>
      <c r="D40" s="10">
        <f t="shared" si="1"/>
        <v>39.465529996772688</v>
      </c>
      <c r="E40" s="10">
        <f t="shared" si="2"/>
        <v>5763.8035452935455</v>
      </c>
      <c r="F40" s="10">
        <f t="shared" si="3"/>
        <v>5605.9414253064551</v>
      </c>
    </row>
    <row r="41" spans="1:6" s="10" customFormat="1" x14ac:dyDescent="0.3">
      <c r="A41" s="24">
        <v>41222</v>
      </c>
      <c r="B41" s="10">
        <v>5686.25</v>
      </c>
      <c r="C41" s="10">
        <f t="shared" si="0"/>
        <v>5685.3824950500002</v>
      </c>
      <c r="D41" s="10">
        <f t="shared" si="1"/>
        <v>39.411385451393507</v>
      </c>
      <c r="E41" s="10">
        <f t="shared" si="2"/>
        <v>5764.2052659527872</v>
      </c>
      <c r="F41" s="10">
        <f t="shared" si="3"/>
        <v>5606.5597241472133</v>
      </c>
    </row>
    <row r="42" spans="1:6" s="10" customFormat="1" x14ac:dyDescent="0.3">
      <c r="A42" s="24">
        <v>41225</v>
      </c>
      <c r="B42" s="10">
        <v>5683.7001950000003</v>
      </c>
      <c r="C42" s="10">
        <f t="shared" si="0"/>
        <v>5685.2050048000001</v>
      </c>
      <c r="D42" s="10">
        <f t="shared" si="1"/>
        <v>39.410525753855588</v>
      </c>
      <c r="E42" s="10">
        <f t="shared" si="2"/>
        <v>5764.0260563077109</v>
      </c>
      <c r="F42" s="10">
        <f t="shared" si="3"/>
        <v>5606.3839532922893</v>
      </c>
    </row>
    <row r="43" spans="1:6" s="10" customFormat="1" x14ac:dyDescent="0.3">
      <c r="A43" s="24">
        <v>41226</v>
      </c>
      <c r="B43" s="10">
        <v>5666.9501950000003</v>
      </c>
      <c r="C43" s="10">
        <f t="shared" si="0"/>
        <v>5686.15251455</v>
      </c>
      <c r="D43" s="10">
        <f t="shared" si="1"/>
        <v>38.690180630946593</v>
      </c>
      <c r="E43" s="10">
        <f t="shared" si="2"/>
        <v>5763.5328758118931</v>
      </c>
      <c r="F43" s="10">
        <f t="shared" si="3"/>
        <v>5608.7721532881069</v>
      </c>
    </row>
    <row r="44" spans="1:6" s="10" customFormat="1" x14ac:dyDescent="0.3">
      <c r="A44" s="24">
        <v>41227</v>
      </c>
      <c r="B44" s="10">
        <v>5666.9501950000003</v>
      </c>
      <c r="C44" s="10">
        <f t="shared" si="0"/>
        <v>5686.4875243000006</v>
      </c>
      <c r="D44" s="10">
        <f t="shared" si="1"/>
        <v>38.482542626690282</v>
      </c>
      <c r="E44" s="10">
        <f t="shared" si="2"/>
        <v>5763.4526095533811</v>
      </c>
      <c r="F44" s="10">
        <f t="shared" si="3"/>
        <v>5609.5224390466201</v>
      </c>
    </row>
    <row r="45" spans="1:6" s="10" customFormat="1" x14ac:dyDescent="0.3">
      <c r="A45" s="24">
        <v>41228</v>
      </c>
      <c r="B45" s="10">
        <v>5631</v>
      </c>
      <c r="C45" s="10">
        <f t="shared" si="0"/>
        <v>5682.1025145499998</v>
      </c>
      <c r="D45" s="10">
        <f t="shared" si="1"/>
        <v>39.599214932708605</v>
      </c>
      <c r="E45" s="10">
        <f t="shared" si="2"/>
        <v>5761.3009444154168</v>
      </c>
      <c r="F45" s="10">
        <f t="shared" si="3"/>
        <v>5602.9040846845828</v>
      </c>
    </row>
    <row r="46" spans="1:6" s="10" customFormat="1" x14ac:dyDescent="0.3">
      <c r="A46" s="24">
        <v>41229</v>
      </c>
      <c r="B46" s="10">
        <v>5574.0498049999997</v>
      </c>
      <c r="C46" s="10">
        <f t="shared" si="0"/>
        <v>5676.592504799999</v>
      </c>
      <c r="D46" s="10">
        <f t="shared" si="1"/>
        <v>46.372309591919112</v>
      </c>
      <c r="E46" s="10">
        <f t="shared" si="2"/>
        <v>5769.337123983837</v>
      </c>
      <c r="F46" s="10">
        <f t="shared" si="3"/>
        <v>5583.847885616161</v>
      </c>
    </row>
    <row r="47" spans="1:6" s="10" customFormat="1" x14ac:dyDescent="0.3">
      <c r="A47" s="24">
        <v>41232</v>
      </c>
      <c r="B47" s="10">
        <v>5571.3999020000001</v>
      </c>
      <c r="C47" s="10">
        <f t="shared" si="0"/>
        <v>5669.3050047999996</v>
      </c>
      <c r="D47" s="10">
        <f t="shared" si="1"/>
        <v>50.89507210768727</v>
      </c>
      <c r="E47" s="10">
        <f t="shared" si="2"/>
        <v>5771.0951490153739</v>
      </c>
      <c r="F47" s="10">
        <f t="shared" si="3"/>
        <v>5567.5148605846252</v>
      </c>
    </row>
    <row r="48" spans="1:6" s="10" customFormat="1" x14ac:dyDescent="0.3">
      <c r="A48" s="24">
        <v>41233</v>
      </c>
      <c r="B48" s="10">
        <v>5571.5498049999997</v>
      </c>
      <c r="C48" s="10">
        <f t="shared" si="0"/>
        <v>5663.3124999500005</v>
      </c>
      <c r="D48" s="10">
        <f t="shared" si="1"/>
        <v>55.043308905567599</v>
      </c>
      <c r="E48" s="10">
        <f t="shared" si="2"/>
        <v>5773.399117761136</v>
      </c>
      <c r="F48" s="10">
        <f t="shared" si="3"/>
        <v>5553.225882138865</v>
      </c>
    </row>
    <row r="49" spans="1:6" s="10" customFormat="1" x14ac:dyDescent="0.3">
      <c r="A49" s="24">
        <v>41234</v>
      </c>
      <c r="B49" s="10">
        <v>5614.7998049999997</v>
      </c>
      <c r="C49" s="10">
        <f t="shared" si="0"/>
        <v>5659.4824951000001</v>
      </c>
      <c r="D49" s="10">
        <f t="shared" si="1"/>
        <v>55.64774167857081</v>
      </c>
      <c r="E49" s="10">
        <f t="shared" si="2"/>
        <v>5770.7779784571412</v>
      </c>
      <c r="F49" s="10">
        <f t="shared" si="3"/>
        <v>5548.1870117428589</v>
      </c>
    </row>
    <row r="50" spans="1:6" s="10" customFormat="1" x14ac:dyDescent="0.3">
      <c r="A50" s="24">
        <v>41235</v>
      </c>
      <c r="B50" s="10">
        <v>5627.75</v>
      </c>
      <c r="C50" s="10">
        <f t="shared" si="0"/>
        <v>5655.6050048500001</v>
      </c>
      <c r="D50" s="10">
        <f t="shared" si="1"/>
        <v>54.985059535628686</v>
      </c>
      <c r="E50" s="10">
        <f t="shared" si="2"/>
        <v>5765.5751239212577</v>
      </c>
      <c r="F50" s="10">
        <f t="shared" si="3"/>
        <v>5545.6348857787425</v>
      </c>
    </row>
    <row r="51" spans="1:6" s="10" customFormat="1" x14ac:dyDescent="0.3">
      <c r="A51" s="24">
        <v>41236</v>
      </c>
      <c r="B51" s="10">
        <v>5626.6000979999999</v>
      </c>
      <c r="C51" s="10">
        <f t="shared" ref="C51:C114" si="4">AVERAGE(B32:B51)</f>
        <v>5653.7200195000005</v>
      </c>
      <c r="D51" s="10">
        <f t="shared" si="1"/>
        <v>55.316505744065054</v>
      </c>
      <c r="E51" s="10">
        <f t="shared" si="2"/>
        <v>5764.3530309881307</v>
      </c>
      <c r="F51" s="10">
        <f t="shared" si="3"/>
        <v>5543.0870080118702</v>
      </c>
    </row>
    <row r="52" spans="1:6" s="10" customFormat="1" x14ac:dyDescent="0.3">
      <c r="A52" s="24">
        <v>41239</v>
      </c>
      <c r="B52" s="10">
        <v>5635.8999020000001</v>
      </c>
      <c r="C52" s="10">
        <f t="shared" si="4"/>
        <v>5652.2350097000008</v>
      </c>
      <c r="D52" s="10">
        <f t="shared" si="1"/>
        <v>55.379416462757973</v>
      </c>
      <c r="E52" s="10">
        <f t="shared" si="2"/>
        <v>5762.9938426255167</v>
      </c>
      <c r="F52" s="10">
        <f t="shared" si="3"/>
        <v>5541.4761767744849</v>
      </c>
    </row>
    <row r="53" spans="1:6" s="10" customFormat="1" x14ac:dyDescent="0.3">
      <c r="A53" s="24">
        <v>41240</v>
      </c>
      <c r="B53" s="10">
        <v>5727.4501950000003</v>
      </c>
      <c r="C53" s="10">
        <f t="shared" si="4"/>
        <v>5658.7125243500004</v>
      </c>
      <c r="D53" s="10">
        <f t="shared" si="1"/>
        <v>56.259067964981469</v>
      </c>
      <c r="E53" s="10">
        <f t="shared" si="2"/>
        <v>5771.2306602799636</v>
      </c>
      <c r="F53" s="10">
        <f t="shared" si="3"/>
        <v>5546.1943884200373</v>
      </c>
    </row>
    <row r="54" spans="1:6" s="10" customFormat="1" x14ac:dyDescent="0.3">
      <c r="A54" s="24">
        <v>41241</v>
      </c>
      <c r="B54" s="10">
        <v>5727.4501950000003</v>
      </c>
      <c r="C54" s="10">
        <f t="shared" si="4"/>
        <v>5664.1000243500002</v>
      </c>
      <c r="D54" s="10">
        <f t="shared" si="1"/>
        <v>57.472636160521851</v>
      </c>
      <c r="E54" s="10">
        <f t="shared" si="2"/>
        <v>5779.0452966710436</v>
      </c>
      <c r="F54" s="10">
        <f t="shared" si="3"/>
        <v>5549.1547520289569</v>
      </c>
    </row>
    <row r="55" spans="1:6" s="10" customFormat="1" x14ac:dyDescent="0.3">
      <c r="A55" s="24">
        <v>41242</v>
      </c>
      <c r="B55" s="10">
        <v>5825</v>
      </c>
      <c r="C55" s="10">
        <f t="shared" si="4"/>
        <v>5673.0975340999994</v>
      </c>
      <c r="D55" s="10">
        <f t="shared" si="1"/>
        <v>67.537810817510632</v>
      </c>
      <c r="E55" s="10">
        <f t="shared" si="2"/>
        <v>5808.1731557350204</v>
      </c>
      <c r="F55" s="10">
        <f t="shared" si="3"/>
        <v>5538.0219124649784</v>
      </c>
    </row>
    <row r="56" spans="1:6" s="10" customFormat="1" x14ac:dyDescent="0.3">
      <c r="A56" s="24">
        <v>41243</v>
      </c>
      <c r="B56" s="10">
        <v>5879.8500979999999</v>
      </c>
      <c r="C56" s="10">
        <f t="shared" si="4"/>
        <v>5682.2050292499998</v>
      </c>
      <c r="D56" s="10">
        <f t="shared" si="1"/>
        <v>81.804698201243113</v>
      </c>
      <c r="E56" s="10">
        <f t="shared" si="2"/>
        <v>5845.8144256524856</v>
      </c>
      <c r="F56" s="10">
        <f t="shared" si="3"/>
        <v>5518.595632847514</v>
      </c>
    </row>
    <row r="57" spans="1:6" s="10" customFormat="1" x14ac:dyDescent="0.3">
      <c r="A57" s="24">
        <v>41246</v>
      </c>
      <c r="B57" s="10">
        <v>5870.9501950000003</v>
      </c>
      <c r="C57" s="10">
        <f t="shared" si="4"/>
        <v>5690.5425292499995</v>
      </c>
      <c r="D57" s="10">
        <f t="shared" si="1"/>
        <v>92.023691589308157</v>
      </c>
      <c r="E57" s="10">
        <f t="shared" si="2"/>
        <v>5874.5899124286161</v>
      </c>
      <c r="F57" s="10">
        <f t="shared" si="3"/>
        <v>5506.4951460713828</v>
      </c>
    </row>
    <row r="58" spans="1:6" s="10" customFormat="1" x14ac:dyDescent="0.3">
      <c r="A58" s="24">
        <v>41247</v>
      </c>
      <c r="B58" s="10">
        <v>5889.25</v>
      </c>
      <c r="C58" s="10">
        <f t="shared" si="4"/>
        <v>5698.7850341499998</v>
      </c>
      <c r="D58" s="10">
        <f t="shared" si="1"/>
        <v>102.05220438129672</v>
      </c>
      <c r="E58" s="10">
        <f t="shared" si="2"/>
        <v>5902.889442912593</v>
      </c>
      <c r="F58" s="10">
        <f t="shared" si="3"/>
        <v>5494.6806253874065</v>
      </c>
    </row>
    <row r="59" spans="1:6" s="10" customFormat="1" x14ac:dyDescent="0.3">
      <c r="A59" s="24">
        <v>41248</v>
      </c>
      <c r="B59" s="10">
        <v>5900.5</v>
      </c>
      <c r="C59" s="10">
        <f t="shared" si="4"/>
        <v>5705.8050292500002</v>
      </c>
      <c r="D59" s="10">
        <f t="shared" si="1"/>
        <v>110.93435226375856</v>
      </c>
      <c r="E59" s="10">
        <f t="shared" si="2"/>
        <v>5927.6737337775176</v>
      </c>
      <c r="F59" s="10">
        <f t="shared" si="3"/>
        <v>5483.9363247224828</v>
      </c>
    </row>
    <row r="60" spans="1:6" s="10" customFormat="1" x14ac:dyDescent="0.3">
      <c r="A60" s="24">
        <v>41249</v>
      </c>
      <c r="B60" s="10">
        <v>5930.8999020000001</v>
      </c>
      <c r="C60" s="10">
        <f t="shared" si="4"/>
        <v>5715.4125243500002</v>
      </c>
      <c r="D60" s="10">
        <f t="shared" si="1"/>
        <v>121.73275974987689</v>
      </c>
      <c r="E60" s="10">
        <f t="shared" si="2"/>
        <v>5958.8780438497542</v>
      </c>
      <c r="F60" s="10">
        <f t="shared" si="3"/>
        <v>5471.9470048502462</v>
      </c>
    </row>
    <row r="61" spans="1:6" s="10" customFormat="1" x14ac:dyDescent="0.3">
      <c r="A61" s="24">
        <v>41250</v>
      </c>
      <c r="B61" s="10">
        <v>5907.3999020000001</v>
      </c>
      <c r="C61" s="10">
        <f t="shared" si="4"/>
        <v>5726.4700194500001</v>
      </c>
      <c r="D61" s="10">
        <f t="shared" si="1"/>
        <v>128.7841457067299</v>
      </c>
      <c r="E61" s="10">
        <f t="shared" si="2"/>
        <v>5984.0383108634596</v>
      </c>
      <c r="F61" s="10">
        <f t="shared" si="3"/>
        <v>5468.9017280365406</v>
      </c>
    </row>
    <row r="62" spans="1:6" s="10" customFormat="1" x14ac:dyDescent="0.3">
      <c r="A62" s="24">
        <v>41253</v>
      </c>
      <c r="B62" s="10">
        <v>5908.8999020000001</v>
      </c>
      <c r="C62" s="10">
        <f t="shared" si="4"/>
        <v>5737.7300048000006</v>
      </c>
      <c r="D62" s="10">
        <f t="shared" si="1"/>
        <v>134.56311887870226</v>
      </c>
      <c r="E62" s="10">
        <f t="shared" si="2"/>
        <v>6006.8562425574055</v>
      </c>
      <c r="F62" s="10">
        <f t="shared" si="3"/>
        <v>5468.6037670425958</v>
      </c>
    </row>
    <row r="63" spans="1:6" s="10" customFormat="1" x14ac:dyDescent="0.3">
      <c r="A63" s="24">
        <v>41254</v>
      </c>
      <c r="B63" s="10">
        <v>5898.7998049999997</v>
      </c>
      <c r="C63" s="10">
        <f t="shared" si="4"/>
        <v>5749.3224853000011</v>
      </c>
      <c r="D63" s="10">
        <f t="shared" si="1"/>
        <v>138.08529272331674</v>
      </c>
      <c r="E63" s="10">
        <f t="shared" si="2"/>
        <v>6025.4930707466347</v>
      </c>
      <c r="F63" s="10">
        <f t="shared" si="3"/>
        <v>5473.1518998533675</v>
      </c>
    </row>
    <row r="64" spans="1:6" s="10" customFormat="1" x14ac:dyDescent="0.3">
      <c r="A64" s="24">
        <v>41255</v>
      </c>
      <c r="B64" s="10">
        <v>5888</v>
      </c>
      <c r="C64" s="10">
        <f t="shared" si="4"/>
        <v>5760.3749755500003</v>
      </c>
      <c r="D64" s="10">
        <f t="shared" si="1"/>
        <v>139.97866779634896</v>
      </c>
      <c r="E64" s="10">
        <f t="shared" si="2"/>
        <v>6040.332311142698</v>
      </c>
      <c r="F64" s="10">
        <f t="shared" si="3"/>
        <v>5480.4176399573025</v>
      </c>
    </row>
    <row r="65" spans="1:6" s="10" customFormat="1" x14ac:dyDescent="0.3">
      <c r="A65" s="24">
        <v>41256</v>
      </c>
      <c r="B65" s="10">
        <v>5851.5</v>
      </c>
      <c r="C65" s="10">
        <f t="shared" si="4"/>
        <v>5771.3999755500008</v>
      </c>
      <c r="D65" s="10">
        <f t="shared" si="1"/>
        <v>137.92091452507384</v>
      </c>
      <c r="E65" s="10">
        <f t="shared" si="2"/>
        <v>6047.2418046001485</v>
      </c>
      <c r="F65" s="10">
        <f t="shared" si="3"/>
        <v>5495.5581464998531</v>
      </c>
    </row>
    <row r="66" spans="1:6" s="10" customFormat="1" x14ac:dyDescent="0.3">
      <c r="A66" s="24">
        <v>41257</v>
      </c>
      <c r="B66" s="10">
        <v>5879.6000979999999</v>
      </c>
      <c r="C66" s="10">
        <f t="shared" si="4"/>
        <v>5786.6774901999997</v>
      </c>
      <c r="D66" s="10">
        <f t="shared" si="1"/>
        <v>131.69212944745172</v>
      </c>
      <c r="E66" s="10">
        <f t="shared" si="2"/>
        <v>6050.0617490949035</v>
      </c>
      <c r="F66" s="10">
        <f t="shared" si="3"/>
        <v>5523.293231305096</v>
      </c>
    </row>
    <row r="67" spans="1:6" s="10" customFormat="1" x14ac:dyDescent="0.3">
      <c r="A67" s="24">
        <v>41260</v>
      </c>
      <c r="B67" s="10">
        <v>5857.8999020000001</v>
      </c>
      <c r="C67" s="10">
        <f t="shared" si="4"/>
        <v>5801.0024902000005</v>
      </c>
      <c r="D67" s="10">
        <f t="shared" si="1"/>
        <v>122.28904535675933</v>
      </c>
      <c r="E67" s="10">
        <f t="shared" si="2"/>
        <v>6045.580580913519</v>
      </c>
      <c r="F67" s="10">
        <f t="shared" si="3"/>
        <v>5556.4243994864819</v>
      </c>
    </row>
    <row r="68" spans="1:6" s="10" customFormat="1" x14ac:dyDescent="0.3">
      <c r="A68" s="24">
        <v>41261</v>
      </c>
      <c r="B68" s="10">
        <v>5896.7998049999997</v>
      </c>
      <c r="C68" s="10">
        <f t="shared" si="4"/>
        <v>5817.2649902000003</v>
      </c>
      <c r="D68" s="10">
        <f t="shared" si="1"/>
        <v>111.30253090314915</v>
      </c>
      <c r="E68" s="10">
        <f t="shared" si="2"/>
        <v>6039.8700520062985</v>
      </c>
      <c r="F68" s="10">
        <f t="shared" si="3"/>
        <v>5594.6599283937021</v>
      </c>
    </row>
    <row r="69" spans="1:6" s="10" customFormat="1" x14ac:dyDescent="0.3">
      <c r="A69" s="24">
        <v>41262</v>
      </c>
      <c r="B69" s="10">
        <v>5929.6000979999999</v>
      </c>
      <c r="C69" s="10">
        <f t="shared" si="4"/>
        <v>5833.0050048499998</v>
      </c>
      <c r="D69" s="10">
        <f t="shared" si="1"/>
        <v>103.12202233690408</v>
      </c>
      <c r="E69" s="10">
        <f t="shared" si="2"/>
        <v>6039.249049523808</v>
      </c>
      <c r="F69" s="10">
        <f t="shared" si="3"/>
        <v>5626.7609601761915</v>
      </c>
    </row>
    <row r="70" spans="1:6" s="10" customFormat="1" x14ac:dyDescent="0.3">
      <c r="A70" s="24">
        <v>41263</v>
      </c>
      <c r="B70" s="10">
        <v>5916.3999020000001</v>
      </c>
      <c r="C70" s="10">
        <f t="shared" si="4"/>
        <v>5847.4374999500005</v>
      </c>
      <c r="D70" s="10">
        <f t="shared" si="1"/>
        <v>92.539616519134498</v>
      </c>
      <c r="E70" s="10">
        <f t="shared" si="2"/>
        <v>6032.5167329882697</v>
      </c>
      <c r="F70" s="10">
        <f t="shared" si="3"/>
        <v>5662.3582669117313</v>
      </c>
    </row>
    <row r="71" spans="1:6" s="10" customFormat="1" x14ac:dyDescent="0.3">
      <c r="A71" s="24">
        <v>41264</v>
      </c>
      <c r="B71" s="10">
        <v>5847.7001950000003</v>
      </c>
      <c r="C71" s="10">
        <f t="shared" si="4"/>
        <v>5858.4925047999996</v>
      </c>
      <c r="D71" s="10">
        <f t="shared" si="1"/>
        <v>76.603792728920851</v>
      </c>
      <c r="E71" s="10">
        <f t="shared" si="2"/>
        <v>6011.7000902578411</v>
      </c>
      <c r="F71" s="10">
        <f t="shared" si="3"/>
        <v>5705.284919342158</v>
      </c>
    </row>
    <row r="72" spans="1:6" s="10" customFormat="1" x14ac:dyDescent="0.3">
      <c r="A72" s="24">
        <v>41267</v>
      </c>
      <c r="B72" s="10">
        <v>5855.75</v>
      </c>
      <c r="C72" s="10">
        <f t="shared" si="4"/>
        <v>5869.4850096999999</v>
      </c>
      <c r="D72" s="10">
        <f t="shared" si="1"/>
        <v>55.978394037071347</v>
      </c>
      <c r="E72" s="10">
        <f t="shared" si="2"/>
        <v>5981.4417977741423</v>
      </c>
      <c r="F72" s="10">
        <f t="shared" si="3"/>
        <v>5757.5282216258574</v>
      </c>
    </row>
    <row r="73" spans="1:6" s="10" customFormat="1" x14ac:dyDescent="0.3">
      <c r="A73" s="24">
        <v>41269</v>
      </c>
      <c r="B73" s="10">
        <v>5905.6000979999999</v>
      </c>
      <c r="C73" s="10">
        <f t="shared" si="4"/>
        <v>5878.3925048499996</v>
      </c>
      <c r="D73" s="10">
        <f t="shared" si="1"/>
        <v>45.353333887512122</v>
      </c>
      <c r="E73" s="10">
        <f t="shared" si="2"/>
        <v>5969.099172625024</v>
      </c>
      <c r="F73" s="10">
        <f t="shared" si="3"/>
        <v>5787.6858370749751</v>
      </c>
    </row>
    <row r="74" spans="1:6" s="10" customFormat="1" x14ac:dyDescent="0.3">
      <c r="A74" s="24">
        <v>41270</v>
      </c>
      <c r="B74" s="10">
        <v>5870.1000979999999</v>
      </c>
      <c r="C74" s="10">
        <f t="shared" si="4"/>
        <v>5885.5249999999996</v>
      </c>
      <c r="D74" s="10">
        <f t="shared" si="1"/>
        <v>28.422846969099474</v>
      </c>
      <c r="E74" s="10">
        <f t="shared" si="2"/>
        <v>5942.3706939381982</v>
      </c>
      <c r="F74" s="10">
        <f t="shared" si="3"/>
        <v>5828.6793060618011</v>
      </c>
    </row>
    <row r="75" spans="1:6" s="10" customFormat="1" x14ac:dyDescent="0.3">
      <c r="A75" s="24">
        <v>41271</v>
      </c>
      <c r="B75" s="10">
        <v>5908.3500979999999</v>
      </c>
      <c r="C75" s="10">
        <f t="shared" si="4"/>
        <v>5889.6925049000001</v>
      </c>
      <c r="D75" s="10">
        <f t="shared" si="1"/>
        <v>24.983840986807134</v>
      </c>
      <c r="E75" s="10">
        <f t="shared" si="2"/>
        <v>5939.6601868736143</v>
      </c>
      <c r="F75" s="10">
        <f t="shared" si="3"/>
        <v>5839.724822926386</v>
      </c>
    </row>
    <row r="76" spans="1:6" s="10" customFormat="1" x14ac:dyDescent="0.3">
      <c r="A76" s="24">
        <v>41274</v>
      </c>
      <c r="B76" s="10">
        <v>5905.1000979999999</v>
      </c>
      <c r="C76" s="10">
        <f t="shared" si="4"/>
        <v>5890.955004899999</v>
      </c>
      <c r="D76" s="10">
        <f t="shared" si="1"/>
        <v>25.098014940562436</v>
      </c>
      <c r="E76" s="10">
        <f t="shared" si="2"/>
        <v>5941.1510347811236</v>
      </c>
      <c r="F76" s="10">
        <f t="shared" si="3"/>
        <v>5840.7589750188745</v>
      </c>
    </row>
    <row r="77" spans="1:6" s="10" customFormat="1" x14ac:dyDescent="0.3">
      <c r="A77" s="24">
        <v>41276</v>
      </c>
      <c r="B77" s="10">
        <v>5993.25</v>
      </c>
      <c r="C77" s="10">
        <f t="shared" si="4"/>
        <v>5897.0699951499992</v>
      </c>
      <c r="D77" s="10">
        <f t="shared" si="1"/>
        <v>33.469945837862248</v>
      </c>
      <c r="E77" s="10">
        <f t="shared" si="2"/>
        <v>5964.0098868257237</v>
      </c>
      <c r="F77" s="10">
        <f t="shared" si="3"/>
        <v>5830.1301034742746</v>
      </c>
    </row>
    <row r="78" spans="1:6" s="10" customFormat="1" x14ac:dyDescent="0.3">
      <c r="A78" s="24">
        <v>41277</v>
      </c>
      <c r="B78" s="10">
        <v>6009.5</v>
      </c>
      <c r="C78" s="10">
        <f t="shared" si="4"/>
        <v>5903.082495149999</v>
      </c>
      <c r="D78" s="10">
        <f t="shared" si="1"/>
        <v>41.764287662285312</v>
      </c>
      <c r="E78" s="10">
        <f t="shared" si="2"/>
        <v>5986.6110704745697</v>
      </c>
      <c r="F78" s="10">
        <f t="shared" si="3"/>
        <v>5819.5539198254282</v>
      </c>
    </row>
    <row r="79" spans="1:6" s="10" customFormat="1" x14ac:dyDescent="0.3">
      <c r="A79" s="24">
        <v>41278</v>
      </c>
      <c r="B79" s="10">
        <v>6016.1499020000001</v>
      </c>
      <c r="C79" s="10">
        <f t="shared" si="4"/>
        <v>5908.8649902499992</v>
      </c>
      <c r="D79" s="10">
        <f t="shared" si="1"/>
        <v>48.801252666071584</v>
      </c>
      <c r="E79" s="10">
        <f t="shared" si="2"/>
        <v>6006.467495582142</v>
      </c>
      <c r="F79" s="10">
        <f t="shared" si="3"/>
        <v>5811.2624849178565</v>
      </c>
    </row>
    <row r="80" spans="1:6" s="10" customFormat="1" x14ac:dyDescent="0.3">
      <c r="A80" s="24">
        <v>41281</v>
      </c>
      <c r="B80" s="10">
        <v>5988.3999020000001</v>
      </c>
      <c r="C80" s="10">
        <f t="shared" si="4"/>
        <v>5911.7399902499992</v>
      </c>
      <c r="D80" s="10">
        <f t="shared" si="1"/>
        <v>51.7710726610443</v>
      </c>
      <c r="E80" s="10">
        <f t="shared" si="2"/>
        <v>6015.282135572088</v>
      </c>
      <c r="F80" s="10">
        <f t="shared" si="3"/>
        <v>5808.1978449279104</v>
      </c>
    </row>
    <row r="81" spans="1:6" s="10" customFormat="1" x14ac:dyDescent="0.3">
      <c r="A81" s="24">
        <v>41282</v>
      </c>
      <c r="B81" s="10">
        <v>6001.7001950000003</v>
      </c>
      <c r="C81" s="10">
        <f t="shared" si="4"/>
        <v>5916.4550048999999</v>
      </c>
      <c r="D81" s="10">
        <f t="shared" si="1"/>
        <v>55.513872204056185</v>
      </c>
      <c r="E81" s="10">
        <f t="shared" si="2"/>
        <v>6027.482749308112</v>
      </c>
      <c r="F81" s="10">
        <f t="shared" si="3"/>
        <v>5805.4272604918879</v>
      </c>
    </row>
    <row r="82" spans="1:6" s="10" customFormat="1" x14ac:dyDescent="0.3">
      <c r="A82" s="24">
        <v>41283</v>
      </c>
      <c r="B82" s="10">
        <v>5971.5</v>
      </c>
      <c r="C82" s="10">
        <f t="shared" si="4"/>
        <v>5919.5850097999992</v>
      </c>
      <c r="D82" s="10">
        <f t="shared" si="1"/>
        <v>56.815001459921291</v>
      </c>
      <c r="E82" s="10">
        <f t="shared" si="2"/>
        <v>6033.215012719842</v>
      </c>
      <c r="F82" s="10">
        <f t="shared" si="3"/>
        <v>5805.9550068801564</v>
      </c>
    </row>
    <row r="83" spans="1:6" s="10" customFormat="1" x14ac:dyDescent="0.3">
      <c r="A83" s="24">
        <v>41284</v>
      </c>
      <c r="B83" s="10">
        <v>5968.6499020000001</v>
      </c>
      <c r="C83" s="10">
        <f t="shared" si="4"/>
        <v>5923.07751465</v>
      </c>
      <c r="D83" s="10">
        <f t="shared" si="1"/>
        <v>57.611370648692947</v>
      </c>
      <c r="E83" s="10">
        <f t="shared" si="2"/>
        <v>6038.3002559473862</v>
      </c>
      <c r="F83" s="10">
        <f t="shared" si="3"/>
        <v>5807.8547733526138</v>
      </c>
    </row>
    <row r="84" spans="1:6" s="10" customFormat="1" x14ac:dyDescent="0.3">
      <c r="A84" s="24">
        <v>41285</v>
      </c>
      <c r="B84" s="10">
        <v>5951.2998049999997</v>
      </c>
      <c r="C84" s="10">
        <f t="shared" si="4"/>
        <v>5926.2425049000003</v>
      </c>
      <c r="D84" s="10">
        <f t="shared" si="1"/>
        <v>57.320912370767687</v>
      </c>
      <c r="E84" s="10">
        <f t="shared" si="2"/>
        <v>6040.8843296415353</v>
      </c>
      <c r="F84" s="10">
        <f t="shared" si="3"/>
        <v>5811.6006801584654</v>
      </c>
    </row>
    <row r="85" spans="1:6" s="10" customFormat="1" x14ac:dyDescent="0.3">
      <c r="A85" s="24">
        <v>41288</v>
      </c>
      <c r="B85" s="10">
        <v>6024.0498049999997</v>
      </c>
      <c r="C85" s="10">
        <f t="shared" si="4"/>
        <v>5934.8699951500012</v>
      </c>
      <c r="D85" s="10">
        <f t="shared" ref="D85:D148" si="5">_xlfn.STDEV.S(B66:B85)</f>
        <v>58.453403421319635</v>
      </c>
      <c r="E85" s="10">
        <f t="shared" si="2"/>
        <v>6051.7768019926407</v>
      </c>
      <c r="F85" s="10">
        <f t="shared" si="3"/>
        <v>5817.9631883073616</v>
      </c>
    </row>
    <row r="86" spans="1:6" s="10" customFormat="1" x14ac:dyDescent="0.3">
      <c r="A86" s="24">
        <v>41289</v>
      </c>
      <c r="B86" s="10">
        <v>6056.6000979999999</v>
      </c>
      <c r="C86" s="10">
        <f t="shared" si="4"/>
        <v>5943.7199951500015</v>
      </c>
      <c r="D86" s="10">
        <f t="shared" si="5"/>
        <v>62.876743867445796</v>
      </c>
      <c r="E86" s="10">
        <f t="shared" ref="E86:E149" si="6">C86+2*D86</f>
        <v>6069.4734828848932</v>
      </c>
      <c r="F86" s="10">
        <f t="shared" ref="F86:F149" si="7">C86-2*D86</f>
        <v>5817.9665074151098</v>
      </c>
    </row>
    <row r="87" spans="1:6" s="10" customFormat="1" x14ac:dyDescent="0.3">
      <c r="A87" s="24">
        <v>41290</v>
      </c>
      <c r="B87" s="10">
        <v>6001.8500979999999</v>
      </c>
      <c r="C87" s="10">
        <f t="shared" si="4"/>
        <v>5950.9175049500009</v>
      </c>
      <c r="D87" s="10">
        <f t="shared" si="5"/>
        <v>60.738503781517224</v>
      </c>
      <c r="E87" s="10">
        <f t="shared" si="6"/>
        <v>6072.3945125130349</v>
      </c>
      <c r="F87" s="10">
        <f t="shared" si="7"/>
        <v>5829.4404973869669</v>
      </c>
    </row>
    <row r="88" spans="1:6" s="10" customFormat="1" x14ac:dyDescent="0.3">
      <c r="A88" s="24">
        <v>41291</v>
      </c>
      <c r="B88" s="10">
        <v>6039.2001950000003</v>
      </c>
      <c r="C88" s="10">
        <f t="shared" si="4"/>
        <v>5958.0375244500001</v>
      </c>
      <c r="D88" s="10">
        <f t="shared" si="5"/>
        <v>62.384784477470667</v>
      </c>
      <c r="E88" s="10">
        <f t="shared" si="6"/>
        <v>6082.807093404941</v>
      </c>
      <c r="F88" s="10">
        <f t="shared" si="7"/>
        <v>5833.2679554950591</v>
      </c>
    </row>
    <row r="89" spans="1:6" s="10" customFormat="1" x14ac:dyDescent="0.3">
      <c r="A89" s="24">
        <v>41292</v>
      </c>
      <c r="B89" s="10">
        <v>6064.3999020000001</v>
      </c>
      <c r="C89" s="10">
        <f t="shared" si="4"/>
        <v>5964.7775146500007</v>
      </c>
      <c r="D89" s="10">
        <f t="shared" si="5"/>
        <v>66.309118261913625</v>
      </c>
      <c r="E89" s="10">
        <f t="shared" si="6"/>
        <v>6097.3957511738281</v>
      </c>
      <c r="F89" s="10">
        <f t="shared" si="7"/>
        <v>5832.1592781261734</v>
      </c>
    </row>
    <row r="90" spans="1:6" s="10" customFormat="1" x14ac:dyDescent="0.3">
      <c r="A90" s="24">
        <v>41295</v>
      </c>
      <c r="B90" s="10">
        <v>6082.2998049999997</v>
      </c>
      <c r="C90" s="10">
        <f t="shared" si="4"/>
        <v>5973.0725097999994</v>
      </c>
      <c r="D90" s="10">
        <f t="shared" si="5"/>
        <v>70.201229769331192</v>
      </c>
      <c r="E90" s="10">
        <f t="shared" si="6"/>
        <v>6113.474969338662</v>
      </c>
      <c r="F90" s="10">
        <f t="shared" si="7"/>
        <v>5832.6700502613367</v>
      </c>
    </row>
    <row r="91" spans="1:6" s="10" customFormat="1" x14ac:dyDescent="0.3">
      <c r="A91" s="24">
        <v>41296</v>
      </c>
      <c r="B91" s="10">
        <v>6048.5</v>
      </c>
      <c r="C91" s="10">
        <f t="shared" si="4"/>
        <v>5983.1125000499997</v>
      </c>
      <c r="D91" s="10">
        <f t="shared" si="5"/>
        <v>65.530668367269982</v>
      </c>
      <c r="E91" s="10">
        <f t="shared" si="6"/>
        <v>6114.1738367845392</v>
      </c>
      <c r="F91" s="10">
        <f t="shared" si="7"/>
        <v>5852.0511633154601</v>
      </c>
    </row>
    <row r="92" spans="1:6" s="10" customFormat="1" x14ac:dyDescent="0.3">
      <c r="A92" s="24">
        <v>41297</v>
      </c>
      <c r="B92" s="10">
        <v>6054.2998049999997</v>
      </c>
      <c r="C92" s="10">
        <f t="shared" si="4"/>
        <v>5993.0399902999998</v>
      </c>
      <c r="D92" s="10">
        <f t="shared" si="5"/>
        <v>60.029127206514609</v>
      </c>
      <c r="E92" s="10">
        <f t="shared" si="6"/>
        <v>6113.0982447130291</v>
      </c>
      <c r="F92" s="10">
        <f t="shared" si="7"/>
        <v>5872.9817358869705</v>
      </c>
    </row>
    <row r="93" spans="1:6" s="10" customFormat="1" x14ac:dyDescent="0.3">
      <c r="A93" s="24">
        <v>41298</v>
      </c>
      <c r="B93" s="10">
        <v>6019.3500979999999</v>
      </c>
      <c r="C93" s="10">
        <f t="shared" si="4"/>
        <v>5998.7274902999989</v>
      </c>
      <c r="D93" s="10">
        <f t="shared" si="5"/>
        <v>56.59921890250147</v>
      </c>
      <c r="E93" s="10">
        <f t="shared" si="6"/>
        <v>6111.9259281050017</v>
      </c>
      <c r="F93" s="10">
        <f t="shared" si="7"/>
        <v>5885.529052494996</v>
      </c>
    </row>
    <row r="94" spans="1:6" s="10" customFormat="1" x14ac:dyDescent="0.3">
      <c r="A94" s="24">
        <v>41299</v>
      </c>
      <c r="B94" s="10">
        <v>6074.6499020000001</v>
      </c>
      <c r="C94" s="10">
        <f t="shared" si="4"/>
        <v>6008.9549804999997</v>
      </c>
      <c r="D94" s="10">
        <f t="shared" si="5"/>
        <v>50.258874817088987</v>
      </c>
      <c r="E94" s="10">
        <f t="shared" si="6"/>
        <v>6109.4727301341773</v>
      </c>
      <c r="F94" s="10">
        <f t="shared" si="7"/>
        <v>5908.4372308658221</v>
      </c>
    </row>
    <row r="95" spans="1:6" s="10" customFormat="1" x14ac:dyDescent="0.3">
      <c r="A95" s="24">
        <v>41302</v>
      </c>
      <c r="B95" s="10">
        <v>6074.7998049999997</v>
      </c>
      <c r="C95" s="10">
        <f t="shared" si="4"/>
        <v>6017.2774658500002</v>
      </c>
      <c r="D95" s="10">
        <f t="shared" si="5"/>
        <v>46.35223195801008</v>
      </c>
      <c r="E95" s="10">
        <f t="shared" si="6"/>
        <v>6109.9819297660206</v>
      </c>
      <c r="F95" s="10">
        <f t="shared" si="7"/>
        <v>5924.5730019339799</v>
      </c>
    </row>
    <row r="96" spans="1:6" s="10" customFormat="1" x14ac:dyDescent="0.3">
      <c r="A96" s="24">
        <v>41303</v>
      </c>
      <c r="B96" s="10">
        <v>6049.8999020000001</v>
      </c>
      <c r="C96" s="10">
        <f t="shared" si="4"/>
        <v>6024.5174560500009</v>
      </c>
      <c r="D96" s="10">
        <f t="shared" si="5"/>
        <v>38.562438134713787</v>
      </c>
      <c r="E96" s="10">
        <f t="shared" si="6"/>
        <v>6101.6423323194285</v>
      </c>
      <c r="F96" s="10">
        <f t="shared" si="7"/>
        <v>5947.3925797805732</v>
      </c>
    </row>
    <row r="97" spans="1:6" s="10" customFormat="1" x14ac:dyDescent="0.3">
      <c r="A97" s="24">
        <v>41304</v>
      </c>
      <c r="B97" s="10">
        <v>6055.75</v>
      </c>
      <c r="C97" s="10">
        <f t="shared" si="4"/>
        <v>6027.6424560500018</v>
      </c>
      <c r="D97" s="10">
        <f t="shared" si="5"/>
        <v>38.427427538104332</v>
      </c>
      <c r="E97" s="10">
        <f t="shared" si="6"/>
        <v>6104.4973111262107</v>
      </c>
      <c r="F97" s="10">
        <f t="shared" si="7"/>
        <v>5950.7876009737929</v>
      </c>
    </row>
    <row r="98" spans="1:6" s="10" customFormat="1" x14ac:dyDescent="0.3">
      <c r="A98" s="24">
        <v>41305</v>
      </c>
      <c r="B98" s="10">
        <v>6034.75</v>
      </c>
      <c r="C98" s="10">
        <f t="shared" si="4"/>
        <v>6028.9049560500007</v>
      </c>
      <c r="D98" s="10">
        <f t="shared" si="5"/>
        <v>38.214193354663074</v>
      </c>
      <c r="E98" s="10">
        <f t="shared" si="6"/>
        <v>6105.333342759327</v>
      </c>
      <c r="F98" s="10">
        <f t="shared" si="7"/>
        <v>5952.4765693406744</v>
      </c>
    </row>
    <row r="99" spans="1:6" s="10" customFormat="1" x14ac:dyDescent="0.3">
      <c r="A99" s="24">
        <v>41306</v>
      </c>
      <c r="B99" s="10">
        <v>5998.8999020000001</v>
      </c>
      <c r="C99" s="10">
        <f t="shared" si="4"/>
        <v>6028.0424560500014</v>
      </c>
      <c r="D99" s="10">
        <f t="shared" si="5"/>
        <v>38.708696589110808</v>
      </c>
      <c r="E99" s="10">
        <f t="shared" si="6"/>
        <v>6105.459849228223</v>
      </c>
      <c r="F99" s="10">
        <f t="shared" si="7"/>
        <v>5950.6250628717798</v>
      </c>
    </row>
    <row r="100" spans="1:6" s="10" customFormat="1" x14ac:dyDescent="0.3">
      <c r="A100" s="24">
        <v>41309</v>
      </c>
      <c r="B100" s="10">
        <v>5987.25</v>
      </c>
      <c r="C100" s="10">
        <f t="shared" si="4"/>
        <v>6027.9849609500006</v>
      </c>
      <c r="D100" s="10">
        <f t="shared" si="5"/>
        <v>38.771480909353208</v>
      </c>
      <c r="E100" s="10">
        <f t="shared" si="6"/>
        <v>6105.527922768707</v>
      </c>
      <c r="F100" s="10">
        <f t="shared" si="7"/>
        <v>5950.4419991312943</v>
      </c>
    </row>
    <row r="101" spans="1:6" s="10" customFormat="1" x14ac:dyDescent="0.3">
      <c r="A101" s="24">
        <v>41310</v>
      </c>
      <c r="B101" s="10">
        <v>5956.8999020000001</v>
      </c>
      <c r="C101" s="10">
        <f t="shared" si="4"/>
        <v>6025.7449463000003</v>
      </c>
      <c r="D101" s="10">
        <f t="shared" si="5"/>
        <v>41.56362926660055</v>
      </c>
      <c r="E101" s="10">
        <f t="shared" si="6"/>
        <v>6108.8722048332011</v>
      </c>
      <c r="F101" s="10">
        <f t="shared" si="7"/>
        <v>5942.6176877667995</v>
      </c>
    </row>
    <row r="102" spans="1:6" s="10" customFormat="1" x14ac:dyDescent="0.3">
      <c r="A102" s="24">
        <v>41311</v>
      </c>
      <c r="B102" s="10">
        <v>5959.2001950000003</v>
      </c>
      <c r="C102" s="10">
        <f t="shared" si="4"/>
        <v>6025.1299560500011</v>
      </c>
      <c r="D102" s="10">
        <f t="shared" si="5"/>
        <v>42.489191037098443</v>
      </c>
      <c r="E102" s="10">
        <f t="shared" si="6"/>
        <v>6110.1083381241979</v>
      </c>
      <c r="F102" s="10">
        <f t="shared" si="7"/>
        <v>5940.1515739758042</v>
      </c>
    </row>
    <row r="103" spans="1:6" s="10" customFormat="1" x14ac:dyDescent="0.3">
      <c r="A103" s="24">
        <v>41312</v>
      </c>
      <c r="B103" s="10">
        <v>5938.7998049999997</v>
      </c>
      <c r="C103" s="10">
        <f t="shared" si="4"/>
        <v>6023.6374512000011</v>
      </c>
      <c r="D103" s="10">
        <f t="shared" si="5"/>
        <v>45.026099334914036</v>
      </c>
      <c r="E103" s="10">
        <f t="shared" si="6"/>
        <v>6113.6896498698288</v>
      </c>
      <c r="F103" s="10">
        <f t="shared" si="7"/>
        <v>5933.5852525301734</v>
      </c>
    </row>
    <row r="104" spans="1:6" s="10" customFormat="1" x14ac:dyDescent="0.3">
      <c r="A104" s="24">
        <v>41313</v>
      </c>
      <c r="B104" s="10">
        <v>5903.5</v>
      </c>
      <c r="C104" s="10">
        <f t="shared" si="4"/>
        <v>6021.2474609500005</v>
      </c>
      <c r="D104" s="10">
        <f t="shared" si="5"/>
        <v>50.055586922102719</v>
      </c>
      <c r="E104" s="10">
        <f t="shared" si="6"/>
        <v>6121.3586347942055</v>
      </c>
      <c r="F104" s="10">
        <f t="shared" si="7"/>
        <v>5921.1362871057954</v>
      </c>
    </row>
    <row r="105" spans="1:6" s="10" customFormat="1" x14ac:dyDescent="0.3">
      <c r="A105" s="24">
        <v>41316</v>
      </c>
      <c r="B105" s="10">
        <v>5897.8500979999999</v>
      </c>
      <c r="C105" s="10">
        <f t="shared" si="4"/>
        <v>6014.9374756000007</v>
      </c>
      <c r="D105" s="10">
        <f t="shared" si="5"/>
        <v>57.13714415827323</v>
      </c>
      <c r="E105" s="10">
        <f t="shared" si="6"/>
        <v>6129.2117639165472</v>
      </c>
      <c r="F105" s="10">
        <f t="shared" si="7"/>
        <v>5900.6631872834541</v>
      </c>
    </row>
    <row r="106" spans="1:6" s="10" customFormat="1" x14ac:dyDescent="0.3">
      <c r="A106" s="24">
        <v>41317</v>
      </c>
      <c r="B106" s="10">
        <v>5922.5</v>
      </c>
      <c r="C106" s="10">
        <f t="shared" si="4"/>
        <v>6008.2324707000007</v>
      </c>
      <c r="D106" s="10">
        <f t="shared" si="5"/>
        <v>59.797105450355495</v>
      </c>
      <c r="E106" s="10">
        <f t="shared" si="6"/>
        <v>6127.8266816007117</v>
      </c>
      <c r="F106" s="10">
        <f t="shared" si="7"/>
        <v>5888.6382597992897</v>
      </c>
    </row>
    <row r="107" spans="1:6" s="10" customFormat="1" x14ac:dyDescent="0.3">
      <c r="A107" s="24">
        <v>41318</v>
      </c>
      <c r="B107" s="10">
        <v>5932.9501950000003</v>
      </c>
      <c r="C107" s="10">
        <f t="shared" si="4"/>
        <v>6004.7874755499997</v>
      </c>
      <c r="D107" s="10">
        <f t="shared" si="5"/>
        <v>62.123607304604015</v>
      </c>
      <c r="E107" s="10">
        <f t="shared" si="6"/>
        <v>6129.0346901592075</v>
      </c>
      <c r="F107" s="10">
        <f t="shared" si="7"/>
        <v>5880.540260940792</v>
      </c>
    </row>
    <row r="108" spans="1:6" s="10" customFormat="1" x14ac:dyDescent="0.3">
      <c r="A108" s="24">
        <v>41319</v>
      </c>
      <c r="B108" s="10">
        <v>5896.9501950000003</v>
      </c>
      <c r="C108" s="10">
        <f t="shared" si="4"/>
        <v>5997.6749755499995</v>
      </c>
      <c r="D108" s="10">
        <f t="shared" si="5"/>
        <v>65.998564497016957</v>
      </c>
      <c r="E108" s="10">
        <f t="shared" si="6"/>
        <v>6129.6721045440336</v>
      </c>
      <c r="F108" s="10">
        <f t="shared" si="7"/>
        <v>5865.6778465559655</v>
      </c>
    </row>
    <row r="109" spans="1:6" s="10" customFormat="1" x14ac:dyDescent="0.3">
      <c r="A109" s="24">
        <v>41320</v>
      </c>
      <c r="B109" s="10">
        <v>5887.3999020000001</v>
      </c>
      <c r="C109" s="10">
        <f t="shared" si="4"/>
        <v>5988.8249755500001</v>
      </c>
      <c r="D109" s="10">
        <f t="shared" si="5"/>
        <v>68.403726366012975</v>
      </c>
      <c r="E109" s="10">
        <f t="shared" si="6"/>
        <v>6125.632428282026</v>
      </c>
      <c r="F109" s="10">
        <f t="shared" si="7"/>
        <v>5852.0175228179742</v>
      </c>
    </row>
    <row r="110" spans="1:6" s="10" customFormat="1" x14ac:dyDescent="0.3">
      <c r="A110" s="24">
        <v>41323</v>
      </c>
      <c r="B110" s="10">
        <v>5898.2001950000003</v>
      </c>
      <c r="C110" s="10">
        <f t="shared" si="4"/>
        <v>5979.6199950499995</v>
      </c>
      <c r="D110" s="10">
        <f t="shared" si="5"/>
        <v>67.544527077092155</v>
      </c>
      <c r="E110" s="10">
        <f t="shared" si="6"/>
        <v>6114.7090492041834</v>
      </c>
      <c r="F110" s="10">
        <f t="shared" si="7"/>
        <v>5844.5309408958155</v>
      </c>
    </row>
    <row r="111" spans="1:6" s="10" customFormat="1" x14ac:dyDescent="0.3">
      <c r="A111" s="24">
        <v>41324</v>
      </c>
      <c r="B111" s="10">
        <v>5939.7001950000003</v>
      </c>
      <c r="C111" s="10">
        <f t="shared" si="4"/>
        <v>5974.1800047999986</v>
      </c>
      <c r="D111" s="10">
        <f t="shared" si="5"/>
        <v>66.070243759761098</v>
      </c>
      <c r="E111" s="10">
        <f t="shared" si="6"/>
        <v>6106.3204923195208</v>
      </c>
      <c r="F111" s="10">
        <f t="shared" si="7"/>
        <v>5842.0395172804765</v>
      </c>
    </row>
    <row r="112" spans="1:6" s="10" customFormat="1" x14ac:dyDescent="0.3">
      <c r="A112" s="24">
        <v>41325</v>
      </c>
      <c r="B112" s="10">
        <v>5943.0498049999997</v>
      </c>
      <c r="C112" s="10">
        <f t="shared" si="4"/>
        <v>5968.6175047999986</v>
      </c>
      <c r="D112" s="10">
        <f t="shared" si="5"/>
        <v>63.607076703904255</v>
      </c>
      <c r="E112" s="10">
        <f t="shared" si="6"/>
        <v>6095.8316582078069</v>
      </c>
      <c r="F112" s="10">
        <f t="shared" si="7"/>
        <v>5841.4033513921904</v>
      </c>
    </row>
    <row r="113" spans="1:6" s="10" customFormat="1" x14ac:dyDescent="0.3">
      <c r="A113" s="24">
        <v>41326</v>
      </c>
      <c r="B113" s="10">
        <v>5852.25</v>
      </c>
      <c r="C113" s="10">
        <f t="shared" si="4"/>
        <v>5960.2624999</v>
      </c>
      <c r="D113" s="10">
        <f t="shared" si="5"/>
        <v>67.450887377609291</v>
      </c>
      <c r="E113" s="10">
        <f t="shared" si="6"/>
        <v>6095.1642746552188</v>
      </c>
      <c r="F113" s="10">
        <f t="shared" si="7"/>
        <v>5825.3607251447811</v>
      </c>
    </row>
    <row r="114" spans="1:6" s="10" customFormat="1" x14ac:dyDescent="0.3">
      <c r="A114" s="24">
        <v>41327</v>
      </c>
      <c r="B114" s="10">
        <v>5850.2998049999997</v>
      </c>
      <c r="C114" s="10">
        <f t="shared" si="4"/>
        <v>5949.0449950499997</v>
      </c>
      <c r="D114" s="10">
        <f t="shared" si="5"/>
        <v>66.067545245994737</v>
      </c>
      <c r="E114" s="10">
        <f t="shared" si="6"/>
        <v>6081.1800855419888</v>
      </c>
      <c r="F114" s="10">
        <f t="shared" si="7"/>
        <v>5816.9099045580106</v>
      </c>
    </row>
    <row r="115" spans="1:6" s="10" customFormat="1" x14ac:dyDescent="0.3">
      <c r="A115" s="24">
        <v>41330</v>
      </c>
      <c r="B115" s="10">
        <v>5854.75</v>
      </c>
      <c r="C115" s="10">
        <f t="shared" ref="C115:C178" si="8">AVERAGE(B96:B115)</f>
        <v>5938.0425048000006</v>
      </c>
      <c r="D115" s="10">
        <f t="shared" si="5"/>
        <v>62.234559781900423</v>
      </c>
      <c r="E115" s="10">
        <f t="shared" si="6"/>
        <v>6062.5116243638013</v>
      </c>
      <c r="F115" s="10">
        <f t="shared" si="7"/>
        <v>5813.5733852362</v>
      </c>
    </row>
    <row r="116" spans="1:6" s="10" customFormat="1" x14ac:dyDescent="0.3">
      <c r="A116" s="24">
        <v>41331</v>
      </c>
      <c r="B116" s="10">
        <v>5761.3500979999999</v>
      </c>
      <c r="C116" s="10">
        <f t="shared" si="8"/>
        <v>5923.6150146</v>
      </c>
      <c r="D116" s="10">
        <f t="shared" si="5"/>
        <v>68.107789196973428</v>
      </c>
      <c r="E116" s="10">
        <f t="shared" si="6"/>
        <v>6059.830592993947</v>
      </c>
      <c r="F116" s="10">
        <f t="shared" si="7"/>
        <v>5787.399436206053</v>
      </c>
    </row>
    <row r="117" spans="1:6" s="10" customFormat="1" x14ac:dyDescent="0.3">
      <c r="A117" s="24">
        <v>41332</v>
      </c>
      <c r="B117" s="10">
        <v>5796.8999020000001</v>
      </c>
      <c r="C117" s="10">
        <f t="shared" si="8"/>
        <v>5910.6725096999999</v>
      </c>
      <c r="D117" s="10">
        <f t="shared" si="5"/>
        <v>66.245812089889498</v>
      </c>
      <c r="E117" s="10">
        <f t="shared" si="6"/>
        <v>6043.164133879779</v>
      </c>
      <c r="F117" s="10">
        <f t="shared" si="7"/>
        <v>5778.1808855202207</v>
      </c>
    </row>
    <row r="118" spans="1:6" s="10" customFormat="1" x14ac:dyDescent="0.3">
      <c r="A118" s="24">
        <v>41333</v>
      </c>
      <c r="B118" s="10">
        <v>5693.0498049999997</v>
      </c>
      <c r="C118" s="10">
        <f t="shared" si="8"/>
        <v>5893.5874999500002</v>
      </c>
      <c r="D118" s="10">
        <f t="shared" si="5"/>
        <v>75.918277255762987</v>
      </c>
      <c r="E118" s="10">
        <f t="shared" si="6"/>
        <v>6045.4240544615259</v>
      </c>
      <c r="F118" s="10">
        <f t="shared" si="7"/>
        <v>5741.7509454384744</v>
      </c>
    </row>
    <row r="119" spans="1:6" s="10" customFormat="1" x14ac:dyDescent="0.3">
      <c r="A119" s="24">
        <v>41334</v>
      </c>
      <c r="B119" s="10">
        <v>5719.7001950000003</v>
      </c>
      <c r="C119" s="10">
        <f t="shared" si="8"/>
        <v>5879.6275145999998</v>
      </c>
      <c r="D119" s="10">
        <f t="shared" si="5"/>
        <v>81.031696392917155</v>
      </c>
      <c r="E119" s="10">
        <f t="shared" si="6"/>
        <v>6041.6909073858342</v>
      </c>
      <c r="F119" s="10">
        <f t="shared" si="7"/>
        <v>5717.5641218141654</v>
      </c>
    </row>
    <row r="120" spans="1:6" s="10" customFormat="1" x14ac:dyDescent="0.3">
      <c r="A120" s="24">
        <v>41337</v>
      </c>
      <c r="B120" s="10">
        <v>5719.7001950000003</v>
      </c>
      <c r="C120" s="10">
        <f t="shared" si="8"/>
        <v>5866.250024349999</v>
      </c>
      <c r="D120" s="10">
        <f t="shared" si="5"/>
        <v>84.346273704531313</v>
      </c>
      <c r="E120" s="10">
        <f t="shared" si="6"/>
        <v>6034.942571759062</v>
      </c>
      <c r="F120" s="10">
        <f t="shared" si="7"/>
        <v>5697.5574769409359</v>
      </c>
    </row>
    <row r="121" spans="1:6" s="10" customFormat="1" x14ac:dyDescent="0.3">
      <c r="A121" s="24">
        <v>41338</v>
      </c>
      <c r="B121" s="10">
        <v>5719.7001950000003</v>
      </c>
      <c r="C121" s="10">
        <f t="shared" si="8"/>
        <v>5854.3900389999999</v>
      </c>
      <c r="D121" s="10">
        <f t="shared" si="5"/>
        <v>87.544830916407207</v>
      </c>
      <c r="E121" s="10">
        <f t="shared" si="6"/>
        <v>6029.4797008328142</v>
      </c>
      <c r="F121" s="10">
        <f t="shared" si="7"/>
        <v>5679.3003771671856</v>
      </c>
    </row>
    <row r="122" spans="1:6" s="10" customFormat="1" x14ac:dyDescent="0.3">
      <c r="A122" s="24">
        <v>41339</v>
      </c>
      <c r="B122" s="10">
        <v>5719.7001950000003</v>
      </c>
      <c r="C122" s="10">
        <f t="shared" si="8"/>
        <v>5842.4150389999995</v>
      </c>
      <c r="D122" s="10">
        <f t="shared" si="5"/>
        <v>88.82449394273138</v>
      </c>
      <c r="E122" s="10">
        <f t="shared" si="6"/>
        <v>6020.0640268854622</v>
      </c>
      <c r="F122" s="10">
        <f t="shared" si="7"/>
        <v>5664.7660511145368</v>
      </c>
    </row>
    <row r="123" spans="1:6" s="10" customFormat="1" x14ac:dyDescent="0.3">
      <c r="A123" s="24">
        <v>41340</v>
      </c>
      <c r="B123" s="10">
        <v>5719.7001950000003</v>
      </c>
      <c r="C123" s="10">
        <f t="shared" si="8"/>
        <v>5831.4600584999989</v>
      </c>
      <c r="D123" s="10">
        <f t="shared" si="5"/>
        <v>89.81697812347592</v>
      </c>
      <c r="E123" s="10">
        <f t="shared" si="6"/>
        <v>6011.094014746951</v>
      </c>
      <c r="F123" s="10">
        <f t="shared" si="7"/>
        <v>5651.8261022530469</v>
      </c>
    </row>
    <row r="124" spans="1:6" s="10" customFormat="1" x14ac:dyDescent="0.3">
      <c r="A124" s="24">
        <v>41341</v>
      </c>
      <c r="B124" s="10">
        <v>5719.7001950000003</v>
      </c>
      <c r="C124" s="10">
        <f t="shared" si="8"/>
        <v>5822.2700682499999</v>
      </c>
      <c r="D124" s="10">
        <f t="shared" si="5"/>
        <v>91.446302082795356</v>
      </c>
      <c r="E124" s="10">
        <f t="shared" si="6"/>
        <v>6005.1626724155904</v>
      </c>
      <c r="F124" s="10">
        <f t="shared" si="7"/>
        <v>5639.3774640844094</v>
      </c>
    </row>
    <row r="125" spans="1:6" s="10" customFormat="1" x14ac:dyDescent="0.3">
      <c r="A125" s="24">
        <v>41344</v>
      </c>
      <c r="B125" s="10">
        <v>5942.3500979999999</v>
      </c>
      <c r="C125" s="10">
        <f t="shared" si="8"/>
        <v>5824.4950682500003</v>
      </c>
      <c r="D125" s="10">
        <f t="shared" si="5"/>
        <v>93.890742011936794</v>
      </c>
      <c r="E125" s="10">
        <f t="shared" si="6"/>
        <v>6012.2765522738737</v>
      </c>
      <c r="F125" s="10">
        <f t="shared" si="7"/>
        <v>5636.7135842261268</v>
      </c>
    </row>
    <row r="126" spans="1:6" s="10" customFormat="1" x14ac:dyDescent="0.3">
      <c r="A126" s="24">
        <v>41345</v>
      </c>
      <c r="B126" s="10">
        <v>5914.1000979999999</v>
      </c>
      <c r="C126" s="10">
        <f t="shared" si="8"/>
        <v>5824.0750731499993</v>
      </c>
      <c r="D126" s="10">
        <f t="shared" si="5"/>
        <v>93.447008362743134</v>
      </c>
      <c r="E126" s="10">
        <f t="shared" si="6"/>
        <v>6010.9690898754852</v>
      </c>
      <c r="F126" s="10">
        <f t="shared" si="7"/>
        <v>5637.1810564245134</v>
      </c>
    </row>
    <row r="127" spans="1:6" s="10" customFormat="1" x14ac:dyDescent="0.3">
      <c r="A127" s="24">
        <v>41346</v>
      </c>
      <c r="B127" s="10">
        <v>5851.2001950000003</v>
      </c>
      <c r="C127" s="10">
        <f t="shared" si="8"/>
        <v>5819.9875731499988</v>
      </c>
      <c r="D127" s="10">
        <f t="shared" si="5"/>
        <v>90.164280189437989</v>
      </c>
      <c r="E127" s="10">
        <f t="shared" si="6"/>
        <v>6000.3161335288751</v>
      </c>
      <c r="F127" s="10">
        <f t="shared" si="7"/>
        <v>5639.6590127711224</v>
      </c>
    </row>
    <row r="128" spans="1:6" s="10" customFormat="1" x14ac:dyDescent="0.3">
      <c r="A128" s="24">
        <v>41347</v>
      </c>
      <c r="B128" s="10">
        <v>5908.9501950000003</v>
      </c>
      <c r="C128" s="10">
        <f t="shared" si="8"/>
        <v>5820.5875731499991</v>
      </c>
      <c r="D128" s="10">
        <f t="shared" si="5"/>
        <v>90.741464422109431</v>
      </c>
      <c r="E128" s="10">
        <f t="shared" si="6"/>
        <v>6002.0705019942179</v>
      </c>
      <c r="F128" s="10">
        <f t="shared" si="7"/>
        <v>5639.1046443057803</v>
      </c>
    </row>
    <row r="129" spans="1:6" s="10" customFormat="1" x14ac:dyDescent="0.3">
      <c r="A129" s="24">
        <v>41348</v>
      </c>
      <c r="B129" s="10">
        <v>5872.6000979999999</v>
      </c>
      <c r="C129" s="10">
        <f t="shared" si="8"/>
        <v>5819.8475829499985</v>
      </c>
      <c r="D129" s="10">
        <f t="shared" si="5"/>
        <v>90.226824605341903</v>
      </c>
      <c r="E129" s="10">
        <f t="shared" si="6"/>
        <v>6000.301232160682</v>
      </c>
      <c r="F129" s="10">
        <f t="shared" si="7"/>
        <v>5639.3939337393149</v>
      </c>
    </row>
    <row r="130" spans="1:6" s="10" customFormat="1" x14ac:dyDescent="0.3">
      <c r="A130" s="24">
        <v>41351</v>
      </c>
      <c r="B130" s="10">
        <v>5835.25</v>
      </c>
      <c r="C130" s="10">
        <f t="shared" si="8"/>
        <v>5816.7000731999988</v>
      </c>
      <c r="D130" s="10">
        <f t="shared" si="5"/>
        <v>88.42977706760405</v>
      </c>
      <c r="E130" s="10">
        <f t="shared" si="6"/>
        <v>5993.5596273352066</v>
      </c>
      <c r="F130" s="10">
        <f t="shared" si="7"/>
        <v>5639.8405190647909</v>
      </c>
    </row>
    <row r="131" spans="1:6" s="10" customFormat="1" x14ac:dyDescent="0.3">
      <c r="A131" s="24">
        <v>41352</v>
      </c>
      <c r="B131" s="10">
        <v>5745.9501950000003</v>
      </c>
      <c r="C131" s="10">
        <f t="shared" si="8"/>
        <v>5807.0125731999988</v>
      </c>
      <c r="D131" s="10">
        <f t="shared" si="5"/>
        <v>84.78339154320409</v>
      </c>
      <c r="E131" s="10">
        <f t="shared" si="6"/>
        <v>5976.5793562864073</v>
      </c>
      <c r="F131" s="10">
        <f t="shared" si="7"/>
        <v>5637.4457901135902</v>
      </c>
    </row>
    <row r="132" spans="1:6" s="10" customFormat="1" x14ac:dyDescent="0.3">
      <c r="A132" s="24">
        <v>41353</v>
      </c>
      <c r="B132" s="10">
        <v>5694.3999020000001</v>
      </c>
      <c r="C132" s="10">
        <f t="shared" si="8"/>
        <v>5794.5800780499985</v>
      </c>
      <c r="D132" s="10">
        <f t="shared" si="5"/>
        <v>81.969311560291231</v>
      </c>
      <c r="E132" s="10">
        <f t="shared" si="6"/>
        <v>5958.5187011705812</v>
      </c>
      <c r="F132" s="10">
        <f t="shared" si="7"/>
        <v>5630.6414549294159</v>
      </c>
    </row>
    <row r="133" spans="1:6" s="10" customFormat="1" x14ac:dyDescent="0.3">
      <c r="A133" s="24">
        <v>41354</v>
      </c>
      <c r="B133" s="10">
        <v>5658.75</v>
      </c>
      <c r="C133" s="10">
        <f t="shared" si="8"/>
        <v>5784.9050780499983</v>
      </c>
      <c r="D133" s="10">
        <f t="shared" si="5"/>
        <v>86.118727843124205</v>
      </c>
      <c r="E133" s="10">
        <f t="shared" si="6"/>
        <v>5957.1425337362471</v>
      </c>
      <c r="F133" s="10">
        <f t="shared" si="7"/>
        <v>5612.6676223637496</v>
      </c>
    </row>
    <row r="134" spans="1:6" s="10" customFormat="1" x14ac:dyDescent="0.3">
      <c r="A134" s="24">
        <v>41355</v>
      </c>
      <c r="B134" s="10">
        <v>5651.3500979999999</v>
      </c>
      <c r="C134" s="10">
        <f t="shared" si="8"/>
        <v>5774.9575926999987</v>
      </c>
      <c r="D134" s="10">
        <f t="shared" si="5"/>
        <v>89.587852650658377</v>
      </c>
      <c r="E134" s="10">
        <f t="shared" si="6"/>
        <v>5954.1332980013158</v>
      </c>
      <c r="F134" s="10">
        <f t="shared" si="7"/>
        <v>5595.7818873986816</v>
      </c>
    </row>
    <row r="135" spans="1:6" s="10" customFormat="1" x14ac:dyDescent="0.3">
      <c r="A135" s="24">
        <v>41358</v>
      </c>
      <c r="B135" s="10">
        <v>5633.8500979999999</v>
      </c>
      <c r="C135" s="10">
        <f t="shared" si="8"/>
        <v>5763.9125975999996</v>
      </c>
      <c r="D135" s="10">
        <f t="shared" si="5"/>
        <v>92.792451477014168</v>
      </c>
      <c r="E135" s="10">
        <f t="shared" si="6"/>
        <v>5949.4975005540282</v>
      </c>
      <c r="F135" s="10">
        <f t="shared" si="7"/>
        <v>5578.327694645971</v>
      </c>
    </row>
    <row r="136" spans="1:6" s="10" customFormat="1" x14ac:dyDescent="0.3">
      <c r="A136" s="24">
        <v>41359</v>
      </c>
      <c r="B136" s="10">
        <v>5641.6000979999999</v>
      </c>
      <c r="C136" s="10">
        <f t="shared" si="8"/>
        <v>5757.9250975999994</v>
      </c>
      <c r="D136" s="10">
        <f t="shared" si="5"/>
        <v>96.745765581311261</v>
      </c>
      <c r="E136" s="10">
        <f t="shared" si="6"/>
        <v>5951.4166287626222</v>
      </c>
      <c r="F136" s="10">
        <f t="shared" si="7"/>
        <v>5564.4335664373766</v>
      </c>
    </row>
    <row r="137" spans="1:6" s="10" customFormat="1" x14ac:dyDescent="0.3">
      <c r="A137" s="24">
        <v>41360</v>
      </c>
      <c r="B137" s="10">
        <v>5641.6000979999999</v>
      </c>
      <c r="C137" s="10">
        <f t="shared" si="8"/>
        <v>5750.1601073999991</v>
      </c>
      <c r="D137" s="10">
        <f t="shared" si="5"/>
        <v>99.641908509835588</v>
      </c>
      <c r="E137" s="10">
        <f t="shared" si="6"/>
        <v>5949.4439244196701</v>
      </c>
      <c r="F137" s="10">
        <f t="shared" si="7"/>
        <v>5550.8762903803281</v>
      </c>
    </row>
    <row r="138" spans="1:6" s="10" customFormat="1" x14ac:dyDescent="0.3">
      <c r="A138" s="24">
        <v>41361</v>
      </c>
      <c r="B138" s="10">
        <v>5682.5498049999997</v>
      </c>
      <c r="C138" s="10">
        <f t="shared" si="8"/>
        <v>5749.6351073999995</v>
      </c>
      <c r="D138" s="10">
        <f t="shared" si="5"/>
        <v>99.98572070381546</v>
      </c>
      <c r="E138" s="10">
        <f t="shared" si="6"/>
        <v>5949.6065488076301</v>
      </c>
      <c r="F138" s="10">
        <f t="shared" si="7"/>
        <v>5549.6636659923688</v>
      </c>
    </row>
    <row r="139" spans="1:6" s="10" customFormat="1" x14ac:dyDescent="0.3">
      <c r="A139" s="24">
        <v>41365</v>
      </c>
      <c r="B139" s="10">
        <v>5704.3999020000001</v>
      </c>
      <c r="C139" s="10">
        <f t="shared" si="8"/>
        <v>5748.8700927500004</v>
      </c>
      <c r="D139" s="10">
        <f t="shared" si="5"/>
        <v>100.28490006173641</v>
      </c>
      <c r="E139" s="10">
        <f t="shared" si="6"/>
        <v>5949.4398928734736</v>
      </c>
      <c r="F139" s="10">
        <f t="shared" si="7"/>
        <v>5548.3002926265272</v>
      </c>
    </row>
    <row r="140" spans="1:6" s="10" customFormat="1" x14ac:dyDescent="0.3">
      <c r="A140" s="24">
        <v>41366</v>
      </c>
      <c r="B140" s="10">
        <v>5748.1000979999999</v>
      </c>
      <c r="C140" s="10">
        <f t="shared" si="8"/>
        <v>5750.290087899999</v>
      </c>
      <c r="D140" s="10">
        <f t="shared" si="5"/>
        <v>100.05091984113989</v>
      </c>
      <c r="E140" s="10">
        <f t="shared" si="6"/>
        <v>5950.3919275822791</v>
      </c>
      <c r="F140" s="10">
        <f t="shared" si="7"/>
        <v>5550.1882482177189</v>
      </c>
    </row>
    <row r="141" spans="1:6" s="10" customFormat="1" x14ac:dyDescent="0.3">
      <c r="A141" s="24">
        <v>41367</v>
      </c>
      <c r="B141" s="10">
        <v>5672.8999020000001</v>
      </c>
      <c r="C141" s="10">
        <f t="shared" si="8"/>
        <v>5747.9500732499991</v>
      </c>
      <c r="D141" s="10">
        <f t="shared" si="5"/>
        <v>101.34296397950264</v>
      </c>
      <c r="E141" s="10">
        <f t="shared" si="6"/>
        <v>5950.6360012090045</v>
      </c>
      <c r="F141" s="10">
        <f t="shared" si="7"/>
        <v>5545.2641452909938</v>
      </c>
    </row>
    <row r="142" spans="1:6" s="10" customFormat="1" x14ac:dyDescent="0.3">
      <c r="A142" s="24">
        <v>41368</v>
      </c>
      <c r="B142" s="10">
        <v>5574.75</v>
      </c>
      <c r="C142" s="10">
        <f t="shared" si="8"/>
        <v>5740.7025635</v>
      </c>
      <c r="D142" s="10">
        <f t="shared" si="5"/>
        <v>108.40645067619684</v>
      </c>
      <c r="E142" s="10">
        <f t="shared" si="6"/>
        <v>5957.515464852394</v>
      </c>
      <c r="F142" s="10">
        <f t="shared" si="7"/>
        <v>5523.889662147606</v>
      </c>
    </row>
    <row r="143" spans="1:6" s="10" customFormat="1" x14ac:dyDescent="0.3">
      <c r="A143" s="24">
        <v>41369</v>
      </c>
      <c r="B143" s="10">
        <v>5553.25</v>
      </c>
      <c r="C143" s="10">
        <f t="shared" si="8"/>
        <v>5732.3800537500001</v>
      </c>
      <c r="D143" s="10">
        <f t="shared" si="5"/>
        <v>116.21198713542921</v>
      </c>
      <c r="E143" s="10">
        <f t="shared" si="6"/>
        <v>5964.8040280208588</v>
      </c>
      <c r="F143" s="10">
        <f t="shared" si="7"/>
        <v>5499.9560794791414</v>
      </c>
    </row>
    <row r="144" spans="1:6" s="10" customFormat="1" x14ac:dyDescent="0.3">
      <c r="A144" s="24">
        <v>41372</v>
      </c>
      <c r="B144" s="10">
        <v>5542.9501950000003</v>
      </c>
      <c r="C144" s="10">
        <f t="shared" si="8"/>
        <v>5723.5425537499996</v>
      </c>
      <c r="D144" s="10">
        <f t="shared" si="5"/>
        <v>123.70596666213737</v>
      </c>
      <c r="E144" s="10">
        <f t="shared" si="6"/>
        <v>5970.9544870742739</v>
      </c>
      <c r="F144" s="10">
        <f t="shared" si="7"/>
        <v>5476.1306204257253</v>
      </c>
    </row>
    <row r="145" spans="1:6" s="10" customFormat="1" x14ac:dyDescent="0.3">
      <c r="A145" s="24">
        <v>41373</v>
      </c>
      <c r="B145" s="10">
        <v>5495.1000979999999</v>
      </c>
      <c r="C145" s="10">
        <f t="shared" si="8"/>
        <v>5701.1800537500003</v>
      </c>
      <c r="D145" s="10">
        <f t="shared" si="5"/>
        <v>122.48904217624791</v>
      </c>
      <c r="E145" s="10">
        <f t="shared" si="6"/>
        <v>5946.1581381024962</v>
      </c>
      <c r="F145" s="10">
        <f t="shared" si="7"/>
        <v>5456.2019693975044</v>
      </c>
    </row>
    <row r="146" spans="1:6" s="10" customFormat="1" x14ac:dyDescent="0.3">
      <c r="A146" s="24">
        <v>41374</v>
      </c>
      <c r="B146" s="10">
        <v>5558.7001950000003</v>
      </c>
      <c r="C146" s="10">
        <f t="shared" si="8"/>
        <v>5683.4100586000004</v>
      </c>
      <c r="D146" s="10">
        <f t="shared" si="5"/>
        <v>115.55765340870825</v>
      </c>
      <c r="E146" s="10">
        <f t="shared" si="6"/>
        <v>5914.5253654174167</v>
      </c>
      <c r="F146" s="10">
        <f t="shared" si="7"/>
        <v>5452.2947517825842</v>
      </c>
    </row>
    <row r="147" spans="1:6" s="10" customFormat="1" x14ac:dyDescent="0.3">
      <c r="A147" s="24">
        <v>41375</v>
      </c>
      <c r="B147" s="10">
        <v>5594</v>
      </c>
      <c r="C147" s="10">
        <f t="shared" si="8"/>
        <v>5670.5500488500002</v>
      </c>
      <c r="D147" s="10">
        <f t="shared" si="5"/>
        <v>110.08391193122168</v>
      </c>
      <c r="E147" s="10">
        <f t="shared" si="6"/>
        <v>5890.7178727124438</v>
      </c>
      <c r="F147" s="10">
        <f t="shared" si="7"/>
        <v>5450.3822249875566</v>
      </c>
    </row>
    <row r="148" spans="1:6" s="10" customFormat="1" x14ac:dyDescent="0.3">
      <c r="A148" s="24">
        <v>41376</v>
      </c>
      <c r="B148" s="10">
        <v>5528.5498049999997</v>
      </c>
      <c r="C148" s="10">
        <f t="shared" si="8"/>
        <v>5651.5300293500004</v>
      </c>
      <c r="D148" s="10">
        <f t="shared" si="5"/>
        <v>99.03351436682776</v>
      </c>
      <c r="E148" s="10">
        <f t="shared" si="6"/>
        <v>5849.5970580836556</v>
      </c>
      <c r="F148" s="10">
        <f t="shared" si="7"/>
        <v>5453.4630006163452</v>
      </c>
    </row>
    <row r="149" spans="1:6" s="10" customFormat="1" x14ac:dyDescent="0.3">
      <c r="A149" s="24">
        <v>41379</v>
      </c>
      <c r="B149" s="10">
        <v>5568.3999020000001</v>
      </c>
      <c r="C149" s="10">
        <f t="shared" si="8"/>
        <v>5636.3200195500003</v>
      </c>
      <c r="D149" s="10">
        <f t="shared" ref="D149:D212" si="9">_xlfn.STDEV.S(B130:B149)</f>
        <v>85.764934942163904</v>
      </c>
      <c r="E149" s="10">
        <f t="shared" si="6"/>
        <v>5807.8498894343284</v>
      </c>
      <c r="F149" s="10">
        <f t="shared" si="7"/>
        <v>5464.7901496656723</v>
      </c>
    </row>
    <row r="150" spans="1:6" s="10" customFormat="1" x14ac:dyDescent="0.3">
      <c r="A150" s="24">
        <v>41380</v>
      </c>
      <c r="B150" s="10">
        <v>5688.9501950000003</v>
      </c>
      <c r="C150" s="10">
        <f t="shared" si="8"/>
        <v>5629.0050293000004</v>
      </c>
      <c r="D150" s="10">
        <f t="shared" si="9"/>
        <v>73.227645716321589</v>
      </c>
      <c r="E150" s="10">
        <f t="shared" ref="E150:E213" si="10">C150+2*D150</f>
        <v>5775.4603207326436</v>
      </c>
      <c r="F150" s="10">
        <f t="shared" ref="F150:F213" si="11">C150-2*D150</f>
        <v>5482.5497378673572</v>
      </c>
    </row>
    <row r="151" spans="1:6" s="10" customFormat="1" x14ac:dyDescent="0.3">
      <c r="A151" s="24">
        <v>41381</v>
      </c>
      <c r="B151" s="10">
        <v>5688.7001950000003</v>
      </c>
      <c r="C151" s="10">
        <f t="shared" si="8"/>
        <v>5626.1425293000002</v>
      </c>
      <c r="D151" s="10">
        <f t="shared" si="9"/>
        <v>69.436429369564948</v>
      </c>
      <c r="E151" s="10">
        <f t="shared" si="10"/>
        <v>5765.0153880391299</v>
      </c>
      <c r="F151" s="10">
        <f t="shared" si="11"/>
        <v>5487.2696705608705</v>
      </c>
    </row>
    <row r="152" spans="1:6" s="10" customFormat="1" x14ac:dyDescent="0.3">
      <c r="A152" s="24">
        <v>41382</v>
      </c>
      <c r="B152" s="10">
        <v>5783.1000979999999</v>
      </c>
      <c r="C152" s="10">
        <f t="shared" si="8"/>
        <v>5630.5775390999997</v>
      </c>
      <c r="D152" s="10">
        <f t="shared" si="9"/>
        <v>76.499109026144041</v>
      </c>
      <c r="E152" s="10">
        <f t="shared" si="10"/>
        <v>5783.5757571522881</v>
      </c>
      <c r="F152" s="10">
        <f t="shared" si="11"/>
        <v>5477.5793210477113</v>
      </c>
    </row>
    <row r="153" spans="1:6" s="10" customFormat="1" x14ac:dyDescent="0.3">
      <c r="A153" s="24">
        <v>41383</v>
      </c>
      <c r="B153" s="10">
        <v>5783.1000979999999</v>
      </c>
      <c r="C153" s="10">
        <f t="shared" si="8"/>
        <v>5636.7950439999995</v>
      </c>
      <c r="D153" s="10">
        <f t="shared" si="9"/>
        <v>83.630281606697508</v>
      </c>
      <c r="E153" s="10">
        <f t="shared" si="10"/>
        <v>5804.055607213395</v>
      </c>
      <c r="F153" s="10">
        <f t="shared" si="11"/>
        <v>5469.534480786604</v>
      </c>
    </row>
    <row r="154" spans="1:6" s="10" customFormat="1" x14ac:dyDescent="0.3">
      <c r="A154" s="24">
        <v>41386</v>
      </c>
      <c r="B154" s="10">
        <v>5834.3999020000001</v>
      </c>
      <c r="C154" s="10">
        <f t="shared" si="8"/>
        <v>5645.9475341999996</v>
      </c>
      <c r="D154" s="10">
        <f t="shared" si="9"/>
        <v>94.603584220998172</v>
      </c>
      <c r="E154" s="10">
        <f t="shared" si="10"/>
        <v>5835.1547026419958</v>
      </c>
      <c r="F154" s="10">
        <f t="shared" si="11"/>
        <v>5456.7403657580035</v>
      </c>
    </row>
    <row r="155" spans="1:6" s="10" customFormat="1" x14ac:dyDescent="0.3">
      <c r="A155" s="24">
        <v>41387</v>
      </c>
      <c r="B155" s="10">
        <v>5836.8999020000001</v>
      </c>
      <c r="C155" s="10">
        <f t="shared" si="8"/>
        <v>5656.1000244000006</v>
      </c>
      <c r="D155" s="10">
        <f t="shared" si="9"/>
        <v>103.69538447382715</v>
      </c>
      <c r="E155" s="10">
        <f t="shared" si="10"/>
        <v>5863.4907933476552</v>
      </c>
      <c r="F155" s="10">
        <f t="shared" si="11"/>
        <v>5448.709255452346</v>
      </c>
    </row>
    <row r="156" spans="1:6" s="10" customFormat="1" x14ac:dyDescent="0.3">
      <c r="A156" s="24">
        <v>41388</v>
      </c>
      <c r="B156" s="10">
        <v>5836.8999020000001</v>
      </c>
      <c r="C156" s="10">
        <f t="shared" si="8"/>
        <v>5665.8650146</v>
      </c>
      <c r="D156" s="10">
        <f t="shared" si="9"/>
        <v>111.18338802100777</v>
      </c>
      <c r="E156" s="10">
        <f t="shared" si="10"/>
        <v>5888.2317906420158</v>
      </c>
      <c r="F156" s="10">
        <f t="shared" si="11"/>
        <v>5443.4982385579842</v>
      </c>
    </row>
    <row r="157" spans="1:6" s="10" customFormat="1" x14ac:dyDescent="0.3">
      <c r="A157" s="24">
        <v>41389</v>
      </c>
      <c r="B157" s="10">
        <v>5916.2998049999997</v>
      </c>
      <c r="C157" s="10">
        <f t="shared" si="8"/>
        <v>5679.59999995</v>
      </c>
      <c r="D157" s="10">
        <f t="shared" si="9"/>
        <v>124.2300436750437</v>
      </c>
      <c r="E157" s="10">
        <f t="shared" si="10"/>
        <v>5928.0600873000876</v>
      </c>
      <c r="F157" s="10">
        <f t="shared" si="11"/>
        <v>5431.1399125999123</v>
      </c>
    </row>
    <row r="158" spans="1:6" s="10" customFormat="1" x14ac:dyDescent="0.3">
      <c r="A158" s="24">
        <v>41390</v>
      </c>
      <c r="B158" s="10">
        <v>5871.4501950000003</v>
      </c>
      <c r="C158" s="10">
        <f t="shared" si="8"/>
        <v>5689.0450194499999</v>
      </c>
      <c r="D158" s="10">
        <f t="shared" si="9"/>
        <v>131.4379179853893</v>
      </c>
      <c r="E158" s="10">
        <f t="shared" si="10"/>
        <v>5951.9208554207789</v>
      </c>
      <c r="F158" s="10">
        <f t="shared" si="11"/>
        <v>5426.1691834792209</v>
      </c>
    </row>
    <row r="159" spans="1:6" s="10" customFormat="1" x14ac:dyDescent="0.3">
      <c r="A159" s="24">
        <v>41393</v>
      </c>
      <c r="B159" s="10">
        <v>5904.1000979999999</v>
      </c>
      <c r="C159" s="10">
        <f t="shared" si="8"/>
        <v>5699.0300292499996</v>
      </c>
      <c r="D159" s="10">
        <f t="shared" si="9"/>
        <v>139.9739647559023</v>
      </c>
      <c r="E159" s="10">
        <f t="shared" si="10"/>
        <v>5978.9779587618041</v>
      </c>
      <c r="F159" s="10">
        <f t="shared" si="11"/>
        <v>5419.0820997381952</v>
      </c>
    </row>
    <row r="160" spans="1:6" s="10" customFormat="1" x14ac:dyDescent="0.3">
      <c r="A160" s="24">
        <v>41394</v>
      </c>
      <c r="B160" s="10">
        <v>5930.2001950000003</v>
      </c>
      <c r="C160" s="10">
        <f t="shared" si="8"/>
        <v>5708.1350340999998</v>
      </c>
      <c r="D160" s="10">
        <f t="shared" si="9"/>
        <v>148.96754450473387</v>
      </c>
      <c r="E160" s="10">
        <f t="shared" si="10"/>
        <v>6006.0701231094672</v>
      </c>
      <c r="F160" s="10">
        <f t="shared" si="11"/>
        <v>5410.1999450905323</v>
      </c>
    </row>
    <row r="161" spans="1:6" s="10" customFormat="1" x14ac:dyDescent="0.3">
      <c r="A161" s="24">
        <v>41395</v>
      </c>
      <c r="B161" s="10">
        <v>5930.2001950000003</v>
      </c>
      <c r="C161" s="10">
        <f t="shared" si="8"/>
        <v>5721.0000487500001</v>
      </c>
      <c r="D161" s="10">
        <f t="shared" si="9"/>
        <v>156.67541138359766</v>
      </c>
      <c r="E161" s="10">
        <f t="shared" si="10"/>
        <v>6034.3508715171956</v>
      </c>
      <c r="F161" s="10">
        <f t="shared" si="11"/>
        <v>5407.6492259828046</v>
      </c>
    </row>
    <row r="162" spans="1:6" s="10" customFormat="1" x14ac:dyDescent="0.3">
      <c r="A162" s="24">
        <v>41396</v>
      </c>
      <c r="B162" s="10">
        <v>5999.3500979999999</v>
      </c>
      <c r="C162" s="10">
        <f t="shared" si="8"/>
        <v>5742.2300536499997</v>
      </c>
      <c r="D162" s="10">
        <f t="shared" si="9"/>
        <v>164.39232872183851</v>
      </c>
      <c r="E162" s="10">
        <f t="shared" si="10"/>
        <v>6071.0147110936769</v>
      </c>
      <c r="F162" s="10">
        <f t="shared" si="11"/>
        <v>5413.4453962063226</v>
      </c>
    </row>
    <row r="163" spans="1:6" s="10" customFormat="1" x14ac:dyDescent="0.3">
      <c r="A163" s="24">
        <v>41397</v>
      </c>
      <c r="B163" s="10">
        <v>5944</v>
      </c>
      <c r="C163" s="10">
        <f t="shared" si="8"/>
        <v>5761.7675536499992</v>
      </c>
      <c r="D163" s="10">
        <f t="shared" si="9"/>
        <v>163.96971632410086</v>
      </c>
      <c r="E163" s="10">
        <f t="shared" si="10"/>
        <v>6089.7069862982007</v>
      </c>
      <c r="F163" s="10">
        <f t="shared" si="11"/>
        <v>5433.8281210017976</v>
      </c>
    </row>
    <row r="164" spans="1:6" s="10" customFormat="1" x14ac:dyDescent="0.3">
      <c r="A164" s="24">
        <v>41400</v>
      </c>
      <c r="B164" s="10">
        <v>5971.0498049999997</v>
      </c>
      <c r="C164" s="10">
        <f t="shared" si="8"/>
        <v>5783.1725341499996</v>
      </c>
      <c r="D164" s="10">
        <f t="shared" si="9"/>
        <v>161.82997088174955</v>
      </c>
      <c r="E164" s="10">
        <f t="shared" si="10"/>
        <v>6106.8324759134985</v>
      </c>
      <c r="F164" s="10">
        <f t="shared" si="11"/>
        <v>5459.5125923865007</v>
      </c>
    </row>
    <row r="165" spans="1:6" s="10" customFormat="1" x14ac:dyDescent="0.3">
      <c r="A165" s="24">
        <v>41401</v>
      </c>
      <c r="B165" s="10">
        <v>6043.5498049999997</v>
      </c>
      <c r="C165" s="10">
        <f t="shared" si="8"/>
        <v>5810.5950194999987</v>
      </c>
      <c r="D165" s="10">
        <f t="shared" si="9"/>
        <v>156.83725904775662</v>
      </c>
      <c r="E165" s="10">
        <f t="shared" si="10"/>
        <v>6124.2695375955118</v>
      </c>
      <c r="F165" s="10">
        <f t="shared" si="11"/>
        <v>5496.9205014044855</v>
      </c>
    </row>
    <row r="166" spans="1:6" s="10" customFormat="1" x14ac:dyDescent="0.3">
      <c r="A166" s="24">
        <v>41402</v>
      </c>
      <c r="B166" s="10">
        <v>6069.2998049999997</v>
      </c>
      <c r="C166" s="10">
        <f t="shared" si="8"/>
        <v>5836.125</v>
      </c>
      <c r="D166" s="10">
        <f t="shared" si="9"/>
        <v>155.22516006565507</v>
      </c>
      <c r="E166" s="10">
        <f t="shared" si="10"/>
        <v>6146.57532013131</v>
      </c>
      <c r="F166" s="10">
        <f t="shared" si="11"/>
        <v>5525.67467986869</v>
      </c>
    </row>
    <row r="167" spans="1:6" s="10" customFormat="1" x14ac:dyDescent="0.3">
      <c r="A167" s="24">
        <v>41403</v>
      </c>
      <c r="B167" s="10">
        <v>6050.1499020000001</v>
      </c>
      <c r="C167" s="10">
        <f t="shared" si="8"/>
        <v>5858.9324950999999</v>
      </c>
      <c r="D167" s="10">
        <f t="shared" si="9"/>
        <v>151.23711992607326</v>
      </c>
      <c r="E167" s="10">
        <f t="shared" si="10"/>
        <v>6161.4067349521465</v>
      </c>
      <c r="F167" s="10">
        <f t="shared" si="11"/>
        <v>5556.4582552478532</v>
      </c>
    </row>
    <row r="168" spans="1:6" s="10" customFormat="1" x14ac:dyDescent="0.3">
      <c r="A168" s="24">
        <v>41404</v>
      </c>
      <c r="B168" s="10">
        <v>6094.75</v>
      </c>
      <c r="C168" s="10">
        <f t="shared" si="8"/>
        <v>5887.2425048499999</v>
      </c>
      <c r="D168" s="10">
        <f t="shared" si="9"/>
        <v>138.60369537979832</v>
      </c>
      <c r="E168" s="10">
        <f t="shared" si="10"/>
        <v>6164.4498956095968</v>
      </c>
      <c r="F168" s="10">
        <f t="shared" si="11"/>
        <v>5610.0351140904031</v>
      </c>
    </row>
    <row r="169" spans="1:6" s="10" customFormat="1" x14ac:dyDescent="0.3">
      <c r="A169" s="24">
        <v>41407</v>
      </c>
      <c r="B169" s="10">
        <v>5980.4501950000003</v>
      </c>
      <c r="C169" s="10">
        <f t="shared" si="8"/>
        <v>5907.8450195000005</v>
      </c>
      <c r="D169" s="10">
        <f t="shared" si="9"/>
        <v>117.77465078848651</v>
      </c>
      <c r="E169" s="10">
        <f t="shared" si="10"/>
        <v>6143.3943210769739</v>
      </c>
      <c r="F169" s="10">
        <f t="shared" si="11"/>
        <v>5672.295717923027</v>
      </c>
    </row>
    <row r="170" spans="1:6" s="10" customFormat="1" x14ac:dyDescent="0.3">
      <c r="A170" s="24">
        <v>41408</v>
      </c>
      <c r="B170" s="10">
        <v>5995.3999020000001</v>
      </c>
      <c r="C170" s="10">
        <f t="shared" si="8"/>
        <v>5923.167504850001</v>
      </c>
      <c r="D170" s="10">
        <f t="shared" si="9"/>
        <v>107.263041437328</v>
      </c>
      <c r="E170" s="10">
        <f t="shared" si="10"/>
        <v>6137.6935877246569</v>
      </c>
      <c r="F170" s="10">
        <f t="shared" si="11"/>
        <v>5708.6414219753451</v>
      </c>
    </row>
    <row r="171" spans="1:6" s="10" customFormat="1" x14ac:dyDescent="0.3">
      <c r="A171" s="24">
        <v>41409</v>
      </c>
      <c r="B171" s="10">
        <v>6146.75</v>
      </c>
      <c r="C171" s="10">
        <f t="shared" si="8"/>
        <v>5946.0699951000006</v>
      </c>
      <c r="D171" s="10">
        <f t="shared" si="9"/>
        <v>103.39641973479645</v>
      </c>
      <c r="E171" s="10">
        <f t="shared" si="10"/>
        <v>6152.8628345695934</v>
      </c>
      <c r="F171" s="10">
        <f t="shared" si="11"/>
        <v>5739.2771556304078</v>
      </c>
    </row>
    <row r="172" spans="1:6" s="10" customFormat="1" x14ac:dyDescent="0.3">
      <c r="A172" s="24">
        <v>41410</v>
      </c>
      <c r="B172" s="10">
        <v>6169.8999020000001</v>
      </c>
      <c r="C172" s="10">
        <f t="shared" si="8"/>
        <v>5965.4099853000007</v>
      </c>
      <c r="D172" s="10">
        <f t="shared" si="9"/>
        <v>107.40614216212614</v>
      </c>
      <c r="E172" s="10">
        <f t="shared" si="10"/>
        <v>6180.2222696242534</v>
      </c>
      <c r="F172" s="10">
        <f t="shared" si="11"/>
        <v>5750.597700975748</v>
      </c>
    </row>
    <row r="173" spans="1:6" s="10" customFormat="1" x14ac:dyDescent="0.3">
      <c r="A173" s="24">
        <v>41411</v>
      </c>
      <c r="B173" s="10">
        <v>6187.2998049999997</v>
      </c>
      <c r="C173" s="10">
        <f t="shared" si="8"/>
        <v>5985.6199706500011</v>
      </c>
      <c r="D173" s="10">
        <f t="shared" si="9"/>
        <v>109.30758991104955</v>
      </c>
      <c r="E173" s="10">
        <f t="shared" si="10"/>
        <v>6204.2351504721</v>
      </c>
      <c r="F173" s="10">
        <f t="shared" si="11"/>
        <v>5767.0047908279021</v>
      </c>
    </row>
    <row r="174" spans="1:6" s="10" customFormat="1" x14ac:dyDescent="0.3">
      <c r="A174" s="24">
        <v>41414</v>
      </c>
      <c r="B174" s="10">
        <v>6156.8999020000001</v>
      </c>
      <c r="C174" s="10">
        <f t="shared" si="8"/>
        <v>6001.7449706500011</v>
      </c>
      <c r="D174" s="10">
        <f t="shared" si="9"/>
        <v>109.61267412595937</v>
      </c>
      <c r="E174" s="10">
        <f t="shared" si="10"/>
        <v>6220.9703189019201</v>
      </c>
      <c r="F174" s="10">
        <f t="shared" si="11"/>
        <v>5782.519622398082</v>
      </c>
    </row>
    <row r="175" spans="1:6" s="10" customFormat="1" x14ac:dyDescent="0.3">
      <c r="A175" s="24">
        <v>41415</v>
      </c>
      <c r="B175" s="10">
        <v>6114.1000979999999</v>
      </c>
      <c r="C175" s="10">
        <f t="shared" si="8"/>
        <v>6015.6049804500017</v>
      </c>
      <c r="D175" s="10">
        <f t="shared" si="9"/>
        <v>105.10436137035197</v>
      </c>
      <c r="E175" s="10">
        <f t="shared" si="10"/>
        <v>6225.8137031907054</v>
      </c>
      <c r="F175" s="10">
        <f t="shared" si="11"/>
        <v>5805.396257709298</v>
      </c>
    </row>
    <row r="176" spans="1:6" s="10" customFormat="1" x14ac:dyDescent="0.3">
      <c r="A176" s="24">
        <v>41416</v>
      </c>
      <c r="B176" s="10">
        <v>6094.5</v>
      </c>
      <c r="C176" s="10">
        <f t="shared" si="8"/>
        <v>6028.4849853500009</v>
      </c>
      <c r="D176" s="10">
        <f t="shared" si="9"/>
        <v>97.565804331936036</v>
      </c>
      <c r="E176" s="10">
        <f t="shared" si="10"/>
        <v>6223.6165940138726</v>
      </c>
      <c r="F176" s="10">
        <f t="shared" si="11"/>
        <v>5833.3533766861292</v>
      </c>
    </row>
    <row r="177" spans="1:6" s="10" customFormat="1" x14ac:dyDescent="0.3">
      <c r="A177" s="24">
        <v>41417</v>
      </c>
      <c r="B177" s="10">
        <v>5967.0498049999997</v>
      </c>
      <c r="C177" s="10">
        <f t="shared" si="8"/>
        <v>6031.0224853500004</v>
      </c>
      <c r="D177" s="10">
        <f t="shared" si="9"/>
        <v>95.1239152765569</v>
      </c>
      <c r="E177" s="10">
        <f t="shared" si="10"/>
        <v>6221.2703159031144</v>
      </c>
      <c r="F177" s="10">
        <f t="shared" si="11"/>
        <v>5840.7746547968864</v>
      </c>
    </row>
    <row r="178" spans="1:6" s="10" customFormat="1" x14ac:dyDescent="0.3">
      <c r="A178" s="24">
        <v>41418</v>
      </c>
      <c r="B178" s="10">
        <v>5983.5498049999997</v>
      </c>
      <c r="C178" s="10">
        <f t="shared" si="8"/>
        <v>6036.6274658500015</v>
      </c>
      <c r="D178" s="10">
        <f t="shared" si="9"/>
        <v>88.283231195859798</v>
      </c>
      <c r="E178" s="10">
        <f t="shared" si="10"/>
        <v>6213.1939282417206</v>
      </c>
      <c r="F178" s="10">
        <f t="shared" si="11"/>
        <v>5860.0610034582824</v>
      </c>
    </row>
    <row r="179" spans="1:6" s="10" customFormat="1" x14ac:dyDescent="0.3">
      <c r="A179" s="24">
        <v>41421</v>
      </c>
      <c r="B179" s="10">
        <v>6083.1499020000001</v>
      </c>
      <c r="C179" s="10">
        <f t="shared" ref="C179:C242" si="12">AVERAGE(B160:B179)</f>
        <v>6045.5799560500009</v>
      </c>
      <c r="D179" s="10">
        <f t="shared" si="9"/>
        <v>83.060707512704766</v>
      </c>
      <c r="E179" s="10">
        <f t="shared" si="10"/>
        <v>6211.7013710754109</v>
      </c>
      <c r="F179" s="10">
        <f t="shared" si="11"/>
        <v>5879.4585410245909</v>
      </c>
    </row>
    <row r="180" spans="1:6" s="10" customFormat="1" x14ac:dyDescent="0.3">
      <c r="A180" s="24">
        <v>41422</v>
      </c>
      <c r="B180" s="10">
        <v>6111.25</v>
      </c>
      <c r="C180" s="10">
        <f t="shared" si="12"/>
        <v>6054.6324463000001</v>
      </c>
      <c r="D180" s="10">
        <f t="shared" si="9"/>
        <v>79.618714850884857</v>
      </c>
      <c r="E180" s="10">
        <f t="shared" si="10"/>
        <v>6213.8698760017696</v>
      </c>
      <c r="F180" s="10">
        <f t="shared" si="11"/>
        <v>5895.3950165982305</v>
      </c>
    </row>
    <row r="181" spans="1:6" s="10" customFormat="1" x14ac:dyDescent="0.3">
      <c r="A181" s="24">
        <v>41423</v>
      </c>
      <c r="B181" s="10">
        <v>6104.2998049999997</v>
      </c>
      <c r="C181" s="10">
        <f t="shared" si="12"/>
        <v>6063.3374267999998</v>
      </c>
      <c r="D181" s="10">
        <f t="shared" si="9"/>
        <v>74.661193676276994</v>
      </c>
      <c r="E181" s="10">
        <f t="shared" si="10"/>
        <v>6212.6598141525537</v>
      </c>
      <c r="F181" s="10">
        <f t="shared" si="11"/>
        <v>5914.0150394474458</v>
      </c>
    </row>
    <row r="182" spans="1:6" s="10" customFormat="1" x14ac:dyDescent="0.3">
      <c r="A182" s="24">
        <v>41424</v>
      </c>
      <c r="B182" s="10">
        <v>6124.0498049999997</v>
      </c>
      <c r="C182" s="10">
        <f t="shared" si="12"/>
        <v>6069.5724121500007</v>
      </c>
      <c r="D182" s="10">
        <f t="shared" si="9"/>
        <v>74.242028370802757</v>
      </c>
      <c r="E182" s="10">
        <f t="shared" si="10"/>
        <v>6218.0564688916065</v>
      </c>
      <c r="F182" s="10">
        <f t="shared" si="11"/>
        <v>5921.0883554083948</v>
      </c>
    </row>
    <row r="183" spans="1:6" s="10" customFormat="1" x14ac:dyDescent="0.3">
      <c r="A183" s="24">
        <v>41425</v>
      </c>
      <c r="B183" s="10">
        <v>5985.9501950000003</v>
      </c>
      <c r="C183" s="10">
        <f t="shared" si="12"/>
        <v>6071.6699219000002</v>
      </c>
      <c r="D183" s="10">
        <f t="shared" si="9"/>
        <v>71.030738461189372</v>
      </c>
      <c r="E183" s="10">
        <f t="shared" si="10"/>
        <v>6213.7313988223787</v>
      </c>
      <c r="F183" s="10">
        <f t="shared" si="11"/>
        <v>5929.6084449776217</v>
      </c>
    </row>
    <row r="184" spans="1:6" s="10" customFormat="1" x14ac:dyDescent="0.3">
      <c r="A184" s="24">
        <v>41428</v>
      </c>
      <c r="B184" s="10">
        <v>5939.2998049999997</v>
      </c>
      <c r="C184" s="10">
        <f t="shared" si="12"/>
        <v>6070.0824219000006</v>
      </c>
      <c r="D184" s="10">
        <f t="shared" si="9"/>
        <v>73.702455546697635</v>
      </c>
      <c r="E184" s="10">
        <f t="shared" si="10"/>
        <v>6217.4873329933962</v>
      </c>
      <c r="F184" s="10">
        <f t="shared" si="11"/>
        <v>5922.6775108066049</v>
      </c>
    </row>
    <row r="185" spans="1:6" s="10" customFormat="1" x14ac:dyDescent="0.3">
      <c r="A185" s="24">
        <v>41429</v>
      </c>
      <c r="B185" s="10">
        <v>5919.4501950000003</v>
      </c>
      <c r="C185" s="10">
        <f t="shared" si="12"/>
        <v>6063.8774414000009</v>
      </c>
      <c r="D185" s="10">
        <f t="shared" si="9"/>
        <v>80.923953736900771</v>
      </c>
      <c r="E185" s="10">
        <f t="shared" si="10"/>
        <v>6225.7253488738024</v>
      </c>
      <c r="F185" s="10">
        <f t="shared" si="11"/>
        <v>5902.0295339261993</v>
      </c>
    </row>
    <row r="186" spans="1:6" s="10" customFormat="1" x14ac:dyDescent="0.3">
      <c r="A186" s="24">
        <v>41430</v>
      </c>
      <c r="B186" s="10">
        <v>5923.8500979999999</v>
      </c>
      <c r="C186" s="10">
        <f t="shared" si="12"/>
        <v>6056.6049560500005</v>
      </c>
      <c r="D186" s="10">
        <f t="shared" si="9"/>
        <v>86.737812275713281</v>
      </c>
      <c r="E186" s="10">
        <f t="shared" si="10"/>
        <v>6230.0805806014268</v>
      </c>
      <c r="F186" s="10">
        <f t="shared" si="11"/>
        <v>5883.1293314985742</v>
      </c>
    </row>
    <row r="187" spans="1:6" s="10" customFormat="1" x14ac:dyDescent="0.3">
      <c r="A187" s="24">
        <v>41431</v>
      </c>
      <c r="B187" s="10">
        <v>5921.3999020000001</v>
      </c>
      <c r="C187" s="10">
        <f t="shared" si="12"/>
        <v>6050.1674560500005</v>
      </c>
      <c r="D187" s="10">
        <f t="shared" si="9"/>
        <v>91.868161910091132</v>
      </c>
      <c r="E187" s="10">
        <f t="shared" si="10"/>
        <v>6233.9037798701829</v>
      </c>
      <c r="F187" s="10">
        <f t="shared" si="11"/>
        <v>5866.4311322298181</v>
      </c>
    </row>
    <row r="188" spans="1:6" s="10" customFormat="1" x14ac:dyDescent="0.3">
      <c r="A188" s="24">
        <v>41432</v>
      </c>
      <c r="B188" s="10">
        <v>5881</v>
      </c>
      <c r="C188" s="10">
        <f t="shared" si="12"/>
        <v>6039.4799560500005</v>
      </c>
      <c r="D188" s="10">
        <f t="shared" si="9"/>
        <v>98.595664503383304</v>
      </c>
      <c r="E188" s="10">
        <f t="shared" si="10"/>
        <v>6236.6712850567674</v>
      </c>
      <c r="F188" s="10">
        <f t="shared" si="11"/>
        <v>5842.2886270432336</v>
      </c>
    </row>
    <row r="189" spans="1:6" s="10" customFormat="1" x14ac:dyDescent="0.3">
      <c r="A189" s="24">
        <v>41435</v>
      </c>
      <c r="B189" s="10">
        <v>5878</v>
      </c>
      <c r="C189" s="10">
        <f t="shared" si="12"/>
        <v>6034.3574463000004</v>
      </c>
      <c r="D189" s="10">
        <f t="shared" si="9"/>
        <v>104.31921090472959</v>
      </c>
      <c r="E189" s="10">
        <f t="shared" si="10"/>
        <v>6242.9958681094595</v>
      </c>
      <c r="F189" s="10">
        <f t="shared" si="11"/>
        <v>5825.7190244905414</v>
      </c>
    </row>
    <row r="190" spans="1:6" s="10" customFormat="1" x14ac:dyDescent="0.3">
      <c r="A190" s="24">
        <v>41436</v>
      </c>
      <c r="B190" s="10">
        <v>5788.7998049999997</v>
      </c>
      <c r="C190" s="10">
        <f t="shared" si="12"/>
        <v>6024.02744145</v>
      </c>
      <c r="D190" s="10">
        <f t="shared" si="9"/>
        <v>117.74507307847126</v>
      </c>
      <c r="E190" s="10">
        <f t="shared" si="10"/>
        <v>6259.5175876069425</v>
      </c>
      <c r="F190" s="10">
        <f t="shared" si="11"/>
        <v>5788.5372952930575</v>
      </c>
    </row>
    <row r="191" spans="1:6" s="10" customFormat="1" x14ac:dyDescent="0.3">
      <c r="A191" s="24">
        <v>41437</v>
      </c>
      <c r="B191" s="10">
        <v>5760.2001950000003</v>
      </c>
      <c r="C191" s="10">
        <f t="shared" si="12"/>
        <v>6004.6999512000002</v>
      </c>
      <c r="D191" s="10">
        <f t="shared" si="9"/>
        <v>127.83358722962527</v>
      </c>
      <c r="E191" s="10">
        <f t="shared" si="10"/>
        <v>6260.3671256592506</v>
      </c>
      <c r="F191" s="10">
        <f t="shared" si="11"/>
        <v>5749.0327767407498</v>
      </c>
    </row>
    <row r="192" spans="1:6" s="10" customFormat="1" x14ac:dyDescent="0.3">
      <c r="A192" s="24">
        <v>41438</v>
      </c>
      <c r="B192" s="10">
        <v>5699.1000979999999</v>
      </c>
      <c r="C192" s="10">
        <f t="shared" si="12"/>
        <v>5981.1599609999994</v>
      </c>
      <c r="D192" s="10">
        <f t="shared" si="9"/>
        <v>138.697838600225</v>
      </c>
      <c r="E192" s="10">
        <f t="shared" si="10"/>
        <v>6258.5556382004497</v>
      </c>
      <c r="F192" s="10">
        <f t="shared" si="11"/>
        <v>5703.764283799549</v>
      </c>
    </row>
    <row r="193" spans="1:6" s="10" customFormat="1" x14ac:dyDescent="0.3">
      <c r="A193" s="24">
        <v>41439</v>
      </c>
      <c r="B193" s="10">
        <v>5808.3999020000001</v>
      </c>
      <c r="C193" s="10">
        <f t="shared" si="12"/>
        <v>5962.2149658500002</v>
      </c>
      <c r="D193" s="10">
        <f t="shared" si="9"/>
        <v>134.88374411278383</v>
      </c>
      <c r="E193" s="10">
        <f t="shared" si="10"/>
        <v>6231.9824540755681</v>
      </c>
      <c r="F193" s="10">
        <f t="shared" si="11"/>
        <v>5692.4474776244324</v>
      </c>
    </row>
    <row r="194" spans="1:6" s="10" customFormat="1" x14ac:dyDescent="0.3">
      <c r="A194" s="24">
        <v>41442</v>
      </c>
      <c r="B194" s="10">
        <v>5850.0498049999997</v>
      </c>
      <c r="C194" s="10">
        <f t="shared" si="12"/>
        <v>5946.8724610000008</v>
      </c>
      <c r="D194" s="10">
        <f t="shared" si="9"/>
        <v>128.89200169850631</v>
      </c>
      <c r="E194" s="10">
        <f t="shared" si="10"/>
        <v>6204.6564643970132</v>
      </c>
      <c r="F194" s="10">
        <f t="shared" si="11"/>
        <v>5689.0884576029885</v>
      </c>
    </row>
    <row r="195" spans="1:6" s="10" customFormat="1" x14ac:dyDescent="0.3">
      <c r="A195" s="24">
        <v>41443</v>
      </c>
      <c r="B195" s="10">
        <v>5813.6000979999999</v>
      </c>
      <c r="C195" s="10">
        <f t="shared" si="12"/>
        <v>5931.8474609999994</v>
      </c>
      <c r="D195" s="10">
        <f t="shared" si="9"/>
        <v>125.85104846563807</v>
      </c>
      <c r="E195" s="10">
        <f t="shared" si="10"/>
        <v>6183.5495579312756</v>
      </c>
      <c r="F195" s="10">
        <f t="shared" si="11"/>
        <v>5680.1453640687232</v>
      </c>
    </row>
    <row r="196" spans="1:6" s="10" customFormat="1" x14ac:dyDescent="0.3">
      <c r="A196" s="24">
        <v>41444</v>
      </c>
      <c r="B196" s="10">
        <v>5822.25</v>
      </c>
      <c r="C196" s="10">
        <f t="shared" si="12"/>
        <v>5918.2349610000001</v>
      </c>
      <c r="D196" s="10">
        <f t="shared" si="9"/>
        <v>121.99676300442678</v>
      </c>
      <c r="E196" s="10">
        <f t="shared" si="10"/>
        <v>6162.2284870088533</v>
      </c>
      <c r="F196" s="10">
        <f t="shared" si="11"/>
        <v>5674.2414349911469</v>
      </c>
    </row>
    <row r="197" spans="1:6" s="10" customFormat="1" x14ac:dyDescent="0.3">
      <c r="A197" s="24">
        <v>41445</v>
      </c>
      <c r="B197" s="10">
        <v>5655.8999020000001</v>
      </c>
      <c r="C197" s="10">
        <f t="shared" si="12"/>
        <v>5902.6774658499999</v>
      </c>
      <c r="D197" s="10">
        <f t="shared" si="9"/>
        <v>134.62952569073846</v>
      </c>
      <c r="E197" s="10">
        <f t="shared" si="10"/>
        <v>6171.9365172314765</v>
      </c>
      <c r="F197" s="10">
        <f t="shared" si="11"/>
        <v>5633.4184144685232</v>
      </c>
    </row>
    <row r="198" spans="1:6" s="10" customFormat="1" x14ac:dyDescent="0.3">
      <c r="A198" s="24">
        <v>41446</v>
      </c>
      <c r="B198" s="10">
        <v>5667.6499020000001</v>
      </c>
      <c r="C198" s="10">
        <f t="shared" si="12"/>
        <v>5886.8824707000003</v>
      </c>
      <c r="D198" s="10">
        <f t="shared" si="9"/>
        <v>142.91791123071383</v>
      </c>
      <c r="E198" s="10">
        <f t="shared" si="10"/>
        <v>6172.7182931614279</v>
      </c>
      <c r="F198" s="10">
        <f t="shared" si="11"/>
        <v>5601.0466482385727</v>
      </c>
    </row>
    <row r="199" spans="1:6" s="10" customFormat="1" x14ac:dyDescent="0.3">
      <c r="A199" s="24">
        <v>41449</v>
      </c>
      <c r="B199" s="10">
        <v>5590.25</v>
      </c>
      <c r="C199" s="10">
        <f t="shared" si="12"/>
        <v>5862.2374755999999</v>
      </c>
      <c r="D199" s="10">
        <f t="shared" si="9"/>
        <v>149.63243739161555</v>
      </c>
      <c r="E199" s="10">
        <f t="shared" si="10"/>
        <v>6161.5023503832308</v>
      </c>
      <c r="F199" s="10">
        <f t="shared" si="11"/>
        <v>5562.972600816769</v>
      </c>
    </row>
    <row r="200" spans="1:6" s="10" customFormat="1" x14ac:dyDescent="0.3">
      <c r="A200" s="24">
        <v>41450</v>
      </c>
      <c r="B200" s="10">
        <v>5609.1000979999999</v>
      </c>
      <c r="C200" s="10">
        <f t="shared" si="12"/>
        <v>5837.1299804999999</v>
      </c>
      <c r="D200" s="10">
        <f t="shared" si="9"/>
        <v>147.76778163576958</v>
      </c>
      <c r="E200" s="10">
        <f t="shared" si="10"/>
        <v>6132.665543771539</v>
      </c>
      <c r="F200" s="10">
        <f t="shared" si="11"/>
        <v>5541.5944172284608</v>
      </c>
    </row>
    <row r="201" spans="1:6" s="10" customFormat="1" x14ac:dyDescent="0.3">
      <c r="A201" s="24">
        <v>41451</v>
      </c>
      <c r="B201" s="10">
        <v>5588.7001950000003</v>
      </c>
      <c r="C201" s="10">
        <f t="shared" si="12"/>
        <v>5811.35</v>
      </c>
      <c r="D201" s="10">
        <f t="shared" si="9"/>
        <v>143.6216747698401</v>
      </c>
      <c r="E201" s="10">
        <f t="shared" si="10"/>
        <v>6098.5933495396803</v>
      </c>
      <c r="F201" s="10">
        <f t="shared" si="11"/>
        <v>5524.1066504603205</v>
      </c>
    </row>
    <row r="202" spans="1:6" s="10" customFormat="1" x14ac:dyDescent="0.3">
      <c r="A202" s="24">
        <v>41452</v>
      </c>
      <c r="B202" s="10">
        <v>5682.3500979999999</v>
      </c>
      <c r="C202" s="10">
        <f t="shared" si="12"/>
        <v>5789.26501465</v>
      </c>
      <c r="D202" s="10">
        <f t="shared" si="9"/>
        <v>125.86989919021822</v>
      </c>
      <c r="E202" s="10">
        <f t="shared" si="10"/>
        <v>6041.0048130304367</v>
      </c>
      <c r="F202" s="10">
        <f t="shared" si="11"/>
        <v>5537.5252162695633</v>
      </c>
    </row>
    <row r="203" spans="1:6" s="10" customFormat="1" x14ac:dyDescent="0.3">
      <c r="A203" s="24">
        <v>41453</v>
      </c>
      <c r="B203" s="10">
        <v>5842.2001950000003</v>
      </c>
      <c r="C203" s="10">
        <f t="shared" si="12"/>
        <v>5782.07751465</v>
      </c>
      <c r="D203" s="10">
        <f t="shared" si="9"/>
        <v>117.89943728836145</v>
      </c>
      <c r="E203" s="10">
        <f t="shared" si="10"/>
        <v>6017.8763892267225</v>
      </c>
      <c r="F203" s="10">
        <f t="shared" si="11"/>
        <v>5546.2786400732775</v>
      </c>
    </row>
    <row r="204" spans="1:6" s="10" customFormat="1" x14ac:dyDescent="0.3">
      <c r="A204" s="24">
        <v>41456</v>
      </c>
      <c r="B204" s="10">
        <v>5898.8500979999999</v>
      </c>
      <c r="C204" s="10">
        <f t="shared" si="12"/>
        <v>5780.0550292999997</v>
      </c>
      <c r="D204" s="10">
        <f t="shared" si="9"/>
        <v>115.38047988807497</v>
      </c>
      <c r="E204" s="10">
        <f t="shared" si="10"/>
        <v>6010.8159890761499</v>
      </c>
      <c r="F204" s="10">
        <f t="shared" si="11"/>
        <v>5549.2940695238494</v>
      </c>
    </row>
    <row r="205" spans="1:6" s="10" customFormat="1" x14ac:dyDescent="0.3">
      <c r="A205" s="24">
        <v>41457</v>
      </c>
      <c r="B205" s="10">
        <v>5857.5498049999997</v>
      </c>
      <c r="C205" s="10">
        <f t="shared" si="12"/>
        <v>5776.9600097999992</v>
      </c>
      <c r="D205" s="10">
        <f t="shared" si="9"/>
        <v>112.23173694379483</v>
      </c>
      <c r="E205" s="10">
        <f t="shared" si="10"/>
        <v>6001.4234836875885</v>
      </c>
      <c r="F205" s="10">
        <f t="shared" si="11"/>
        <v>5552.4965359124099</v>
      </c>
    </row>
    <row r="206" spans="1:6" s="10" customFormat="1" x14ac:dyDescent="0.3">
      <c r="A206" s="24">
        <v>41458</v>
      </c>
      <c r="B206" s="10">
        <v>5770.8999020000001</v>
      </c>
      <c r="C206" s="10">
        <f t="shared" si="12"/>
        <v>5769.3124999999991</v>
      </c>
      <c r="D206" s="10">
        <f t="shared" si="9"/>
        <v>106.77414223326092</v>
      </c>
      <c r="E206" s="10">
        <f t="shared" si="10"/>
        <v>5982.8607844665212</v>
      </c>
      <c r="F206" s="10">
        <f t="shared" si="11"/>
        <v>5555.764215533477</v>
      </c>
    </row>
    <row r="207" spans="1:6" s="10" customFormat="1" x14ac:dyDescent="0.3">
      <c r="A207" s="24">
        <v>41459</v>
      </c>
      <c r="B207" s="10">
        <v>5836.9501950000003</v>
      </c>
      <c r="C207" s="10">
        <f t="shared" si="12"/>
        <v>5765.0900146499989</v>
      </c>
      <c r="D207" s="10">
        <f t="shared" si="9"/>
        <v>102.00653328676864</v>
      </c>
      <c r="E207" s="10">
        <f t="shared" si="10"/>
        <v>5969.1030812235358</v>
      </c>
      <c r="F207" s="10">
        <f t="shared" si="11"/>
        <v>5561.076948076462</v>
      </c>
    </row>
    <row r="208" spans="1:6" s="10" customFormat="1" x14ac:dyDescent="0.3">
      <c r="A208" s="24">
        <v>41460</v>
      </c>
      <c r="B208" s="10">
        <v>5867.8999020000001</v>
      </c>
      <c r="C208" s="10">
        <f t="shared" si="12"/>
        <v>5764.4350097500001</v>
      </c>
      <c r="D208" s="10">
        <f t="shared" si="9"/>
        <v>101.26242391227858</v>
      </c>
      <c r="E208" s="10">
        <f t="shared" si="10"/>
        <v>5966.9598575745576</v>
      </c>
      <c r="F208" s="10">
        <f t="shared" si="11"/>
        <v>5561.9101619254425</v>
      </c>
    </row>
    <row r="209" spans="1:6" s="10" customFormat="1" x14ac:dyDescent="0.3">
      <c r="A209" s="24">
        <v>41463</v>
      </c>
      <c r="B209" s="10">
        <v>5811.5498049999997</v>
      </c>
      <c r="C209" s="10">
        <f t="shared" si="12"/>
        <v>5761.1125000000002</v>
      </c>
      <c r="D209" s="10">
        <f t="shared" si="9"/>
        <v>98.389533818496446</v>
      </c>
      <c r="E209" s="10">
        <f t="shared" si="10"/>
        <v>5957.8915676369934</v>
      </c>
      <c r="F209" s="10">
        <f t="shared" si="11"/>
        <v>5564.333432363007</v>
      </c>
    </row>
    <row r="210" spans="1:6" s="10" customFormat="1" x14ac:dyDescent="0.3">
      <c r="A210" s="24">
        <v>41464</v>
      </c>
      <c r="B210" s="10">
        <v>5859</v>
      </c>
      <c r="C210" s="10">
        <f t="shared" si="12"/>
        <v>5764.6225097500001</v>
      </c>
      <c r="D210" s="10">
        <f t="shared" si="9"/>
        <v>100.65534717006113</v>
      </c>
      <c r="E210" s="10">
        <f t="shared" si="10"/>
        <v>5965.9332040901227</v>
      </c>
      <c r="F210" s="10">
        <f t="shared" si="11"/>
        <v>5563.3118154098775</v>
      </c>
    </row>
    <row r="211" spans="1:6" s="10" customFormat="1" x14ac:dyDescent="0.3">
      <c r="A211" s="24">
        <v>41465</v>
      </c>
      <c r="B211" s="10">
        <v>5816.7001950000003</v>
      </c>
      <c r="C211" s="10">
        <f t="shared" si="12"/>
        <v>5767.4475097499999</v>
      </c>
      <c r="D211" s="10">
        <f t="shared" si="9"/>
        <v>101.31540000825851</v>
      </c>
      <c r="E211" s="10">
        <f t="shared" si="10"/>
        <v>5970.0783097665171</v>
      </c>
      <c r="F211" s="10">
        <f t="shared" si="11"/>
        <v>5564.8167097334826</v>
      </c>
    </row>
    <row r="212" spans="1:6" s="10" customFormat="1" x14ac:dyDescent="0.3">
      <c r="A212" s="24">
        <v>41466</v>
      </c>
      <c r="B212" s="10">
        <v>5935.1000979999999</v>
      </c>
      <c r="C212" s="10">
        <f t="shared" si="12"/>
        <v>5779.2475097500001</v>
      </c>
      <c r="D212" s="10">
        <f t="shared" si="9"/>
        <v>106.54443524499781</v>
      </c>
      <c r="E212" s="10">
        <f t="shared" si="10"/>
        <v>5992.3363802399954</v>
      </c>
      <c r="F212" s="10">
        <f t="shared" si="11"/>
        <v>5566.1586392600047</v>
      </c>
    </row>
    <row r="213" spans="1:6" s="10" customFormat="1" x14ac:dyDescent="0.3">
      <c r="A213" s="24">
        <v>41467</v>
      </c>
      <c r="B213" s="10">
        <v>6009</v>
      </c>
      <c r="C213" s="10">
        <f t="shared" si="12"/>
        <v>5789.2775146500007</v>
      </c>
      <c r="D213" s="10">
        <f t="shared" ref="D213:D276" si="13">_xlfn.STDEV.S(B194:B213)</f>
        <v>118.23414365440813</v>
      </c>
      <c r="E213" s="10">
        <f t="shared" si="10"/>
        <v>6025.7458019588166</v>
      </c>
      <c r="F213" s="10">
        <f t="shared" si="11"/>
        <v>5552.8092273411849</v>
      </c>
    </row>
    <row r="214" spans="1:6" s="10" customFormat="1" x14ac:dyDescent="0.3">
      <c r="A214" s="24">
        <v>41470</v>
      </c>
      <c r="B214" s="10">
        <v>6030.7998049999997</v>
      </c>
      <c r="C214" s="10">
        <f t="shared" si="12"/>
        <v>5798.3150146500002</v>
      </c>
      <c r="D214" s="10">
        <f t="shared" si="13"/>
        <v>129.49561242814329</v>
      </c>
      <c r="E214" s="10">
        <f t="shared" ref="E214:E277" si="14">C214+2*D214</f>
        <v>6057.3062395062871</v>
      </c>
      <c r="F214" s="10">
        <f t="shared" ref="F214:F277" si="15">C214-2*D214</f>
        <v>5539.3237897937133</v>
      </c>
    </row>
    <row r="215" spans="1:6" s="10" customFormat="1" x14ac:dyDescent="0.3">
      <c r="A215" s="24">
        <v>41471</v>
      </c>
      <c r="B215" s="10">
        <v>5955.25</v>
      </c>
      <c r="C215" s="10">
        <f t="shared" si="12"/>
        <v>5805.3975097500006</v>
      </c>
      <c r="D215" s="10">
        <f t="shared" si="13"/>
        <v>134.16503588797596</v>
      </c>
      <c r="E215" s="10">
        <f t="shared" si="14"/>
        <v>6073.7275815259527</v>
      </c>
      <c r="F215" s="10">
        <f t="shared" si="15"/>
        <v>5537.0674379740485</v>
      </c>
    </row>
    <row r="216" spans="1:6" s="10" customFormat="1" x14ac:dyDescent="0.3">
      <c r="A216" s="24">
        <v>41472</v>
      </c>
      <c r="B216" s="10">
        <v>5973.2998049999997</v>
      </c>
      <c r="C216" s="10">
        <f t="shared" si="12"/>
        <v>5812.95</v>
      </c>
      <c r="D216" s="10">
        <f t="shared" si="13"/>
        <v>139.31623481634952</v>
      </c>
      <c r="E216" s="10">
        <f t="shared" si="14"/>
        <v>6091.582469632699</v>
      </c>
      <c r="F216" s="10">
        <f t="shared" si="15"/>
        <v>5534.3175303673006</v>
      </c>
    </row>
    <row r="217" spans="1:6" s="10" customFormat="1" x14ac:dyDescent="0.3">
      <c r="A217" s="24">
        <v>41473</v>
      </c>
      <c r="B217" s="10">
        <v>6038.0498049999997</v>
      </c>
      <c r="C217" s="10">
        <f t="shared" si="12"/>
        <v>5832.0574951500002</v>
      </c>
      <c r="D217" s="10">
        <f t="shared" si="13"/>
        <v>142.80544621336426</v>
      </c>
      <c r="E217" s="10">
        <f t="shared" si="14"/>
        <v>6117.6683875767285</v>
      </c>
      <c r="F217" s="10">
        <f t="shared" si="15"/>
        <v>5546.446602723272</v>
      </c>
    </row>
    <row r="218" spans="1:6" s="10" customFormat="1" x14ac:dyDescent="0.3">
      <c r="A218" s="24">
        <v>41474</v>
      </c>
      <c r="B218" s="10">
        <v>6029.2001950000003</v>
      </c>
      <c r="C218" s="10">
        <f t="shared" si="12"/>
        <v>5850.1350098000003</v>
      </c>
      <c r="D218" s="10">
        <f t="shared" si="13"/>
        <v>143.77869884618104</v>
      </c>
      <c r="E218" s="10">
        <f t="shared" si="14"/>
        <v>6137.6924074923627</v>
      </c>
      <c r="F218" s="10">
        <f t="shared" si="15"/>
        <v>5562.5776121076378</v>
      </c>
    </row>
    <row r="219" spans="1:6" s="10" customFormat="1" x14ac:dyDescent="0.3">
      <c r="A219" s="24">
        <v>41477</v>
      </c>
      <c r="B219" s="10">
        <v>6031.7998049999997</v>
      </c>
      <c r="C219" s="10">
        <f t="shared" si="12"/>
        <v>5872.21250005</v>
      </c>
      <c r="D219" s="10">
        <f t="shared" si="13"/>
        <v>135.43060731911274</v>
      </c>
      <c r="E219" s="10">
        <f t="shared" si="14"/>
        <v>6143.0737146882257</v>
      </c>
      <c r="F219" s="10">
        <f t="shared" si="15"/>
        <v>5601.3512854117744</v>
      </c>
    </row>
    <row r="220" spans="1:6" s="10" customFormat="1" x14ac:dyDescent="0.3">
      <c r="A220" s="24">
        <v>41478</v>
      </c>
      <c r="B220" s="10">
        <v>6077.7998049999997</v>
      </c>
      <c r="C220" s="10">
        <f t="shared" si="12"/>
        <v>5895.6474853999998</v>
      </c>
      <c r="D220" s="10">
        <f t="shared" si="13"/>
        <v>127.8448013999045</v>
      </c>
      <c r="E220" s="10">
        <f t="shared" si="14"/>
        <v>6151.3370881998089</v>
      </c>
      <c r="F220" s="10">
        <f t="shared" si="15"/>
        <v>5639.9578826001907</v>
      </c>
    </row>
    <row r="221" spans="1:6" s="10" customFormat="1" x14ac:dyDescent="0.3">
      <c r="A221" s="24">
        <v>41479</v>
      </c>
      <c r="B221" s="10">
        <v>5990.5</v>
      </c>
      <c r="C221" s="10">
        <f t="shared" si="12"/>
        <v>5915.7374756500012</v>
      </c>
      <c r="D221" s="10">
        <f t="shared" si="13"/>
        <v>106.93081332578879</v>
      </c>
      <c r="E221" s="10">
        <f t="shared" si="14"/>
        <v>6129.5991023015786</v>
      </c>
      <c r="F221" s="10">
        <f t="shared" si="15"/>
        <v>5701.8758489984239</v>
      </c>
    </row>
    <row r="222" spans="1:6" s="10" customFormat="1" x14ac:dyDescent="0.3">
      <c r="A222" s="24">
        <v>41480</v>
      </c>
      <c r="B222" s="10">
        <v>5907.5</v>
      </c>
      <c r="C222" s="10">
        <f t="shared" si="12"/>
        <v>5926.99497075</v>
      </c>
      <c r="D222" s="10">
        <f t="shared" si="13"/>
        <v>91.856106570631553</v>
      </c>
      <c r="E222" s="10">
        <f t="shared" si="14"/>
        <v>6110.7071838912634</v>
      </c>
      <c r="F222" s="10">
        <f t="shared" si="15"/>
        <v>5743.2827576087366</v>
      </c>
    </row>
    <row r="223" spans="1:6" s="10" customFormat="1" x14ac:dyDescent="0.3">
      <c r="A223" s="24">
        <v>41481</v>
      </c>
      <c r="B223" s="10">
        <v>5886.2001950000003</v>
      </c>
      <c r="C223" s="10">
        <f t="shared" si="12"/>
        <v>5929.1949707500007</v>
      </c>
      <c r="D223" s="10">
        <f t="shared" si="13"/>
        <v>90.230873962877553</v>
      </c>
      <c r="E223" s="10">
        <f t="shared" si="14"/>
        <v>6109.6567186757557</v>
      </c>
      <c r="F223" s="10">
        <f t="shared" si="15"/>
        <v>5748.7332228242458</v>
      </c>
    </row>
    <row r="224" spans="1:6" s="10" customFormat="1" x14ac:dyDescent="0.3">
      <c r="A224" s="24">
        <v>41484</v>
      </c>
      <c r="B224" s="10">
        <v>5831.6499020000001</v>
      </c>
      <c r="C224" s="10">
        <f t="shared" si="12"/>
        <v>5925.8349609500001</v>
      </c>
      <c r="D224" s="10">
        <f t="shared" si="13"/>
        <v>92.639379350961519</v>
      </c>
      <c r="E224" s="10">
        <f t="shared" si="14"/>
        <v>6111.113719651923</v>
      </c>
      <c r="F224" s="10">
        <f t="shared" si="15"/>
        <v>5740.5562022480772</v>
      </c>
    </row>
    <row r="225" spans="1:6" s="10" customFormat="1" x14ac:dyDescent="0.3">
      <c r="A225" s="24">
        <v>41485</v>
      </c>
      <c r="B225" s="10">
        <v>5755.0498049999997</v>
      </c>
      <c r="C225" s="10">
        <f t="shared" si="12"/>
        <v>5920.709960950001</v>
      </c>
      <c r="D225" s="10">
        <f t="shared" si="13"/>
        <v>99.217579085946738</v>
      </c>
      <c r="E225" s="10">
        <f t="shared" si="14"/>
        <v>6119.1451191218948</v>
      </c>
      <c r="F225" s="10">
        <f t="shared" si="15"/>
        <v>5722.2748027781072</v>
      </c>
    </row>
    <row r="226" spans="1:6" s="10" customFormat="1" x14ac:dyDescent="0.3">
      <c r="A226" s="24">
        <v>41486</v>
      </c>
      <c r="B226" s="10">
        <v>5742</v>
      </c>
      <c r="C226" s="10">
        <f t="shared" si="12"/>
        <v>5919.2649658500013</v>
      </c>
      <c r="D226" s="10">
        <f t="shared" si="13"/>
        <v>101.69377876671383</v>
      </c>
      <c r="E226" s="10">
        <f t="shared" si="14"/>
        <v>6122.6525233834291</v>
      </c>
      <c r="F226" s="10">
        <f t="shared" si="15"/>
        <v>5715.8774083165736</v>
      </c>
    </row>
    <row r="227" spans="1:6" s="10" customFormat="1" x14ac:dyDescent="0.3">
      <c r="A227" s="24">
        <v>41487</v>
      </c>
      <c r="B227" s="10">
        <v>5727.8500979999999</v>
      </c>
      <c r="C227" s="10">
        <f t="shared" si="12"/>
        <v>5913.8099610000008</v>
      </c>
      <c r="D227" s="10">
        <f t="shared" si="13"/>
        <v>109.00498702567599</v>
      </c>
      <c r="E227" s="10">
        <f t="shared" si="14"/>
        <v>6131.8199350513532</v>
      </c>
      <c r="F227" s="10">
        <f t="shared" si="15"/>
        <v>5695.7999869486484</v>
      </c>
    </row>
    <row r="228" spans="1:6" s="10" customFormat="1" x14ac:dyDescent="0.3">
      <c r="A228" s="24">
        <v>41488</v>
      </c>
      <c r="B228" s="10">
        <v>5677.8999020000001</v>
      </c>
      <c r="C228" s="10">
        <f t="shared" si="12"/>
        <v>5904.3099610000008</v>
      </c>
      <c r="D228" s="10">
        <f t="shared" si="13"/>
        <v>120.85234121219078</v>
      </c>
      <c r="E228" s="10">
        <f t="shared" si="14"/>
        <v>6146.0146434243825</v>
      </c>
      <c r="F228" s="10">
        <f t="shared" si="15"/>
        <v>5662.6052785756192</v>
      </c>
    </row>
    <row r="229" spans="1:6" s="10" customFormat="1" x14ac:dyDescent="0.3">
      <c r="A229" s="24">
        <v>41491</v>
      </c>
      <c r="B229" s="10">
        <v>5685.3999020000001</v>
      </c>
      <c r="C229" s="10">
        <f t="shared" si="12"/>
        <v>5898.0024658500006</v>
      </c>
      <c r="D229" s="10">
        <f t="shared" si="13"/>
        <v>128.96795943215417</v>
      </c>
      <c r="E229" s="10">
        <f t="shared" si="14"/>
        <v>6155.938384714309</v>
      </c>
      <c r="F229" s="10">
        <f t="shared" si="15"/>
        <v>5640.0665469856922</v>
      </c>
    </row>
    <row r="230" spans="1:6" s="10" customFormat="1" x14ac:dyDescent="0.3">
      <c r="A230" s="24">
        <v>41492</v>
      </c>
      <c r="B230" s="10">
        <v>5542.25</v>
      </c>
      <c r="C230" s="10">
        <f t="shared" si="12"/>
        <v>5882.164965850001</v>
      </c>
      <c r="D230" s="10">
        <f t="shared" si="13"/>
        <v>151.49154104103366</v>
      </c>
      <c r="E230" s="10">
        <f t="shared" si="14"/>
        <v>6185.148047932068</v>
      </c>
      <c r="F230" s="10">
        <f t="shared" si="15"/>
        <v>5579.1818837679339</v>
      </c>
    </row>
    <row r="231" spans="1:6" s="10" customFormat="1" x14ac:dyDescent="0.3">
      <c r="A231" s="24">
        <v>41493</v>
      </c>
      <c r="B231" s="10">
        <v>5519.1000979999999</v>
      </c>
      <c r="C231" s="10">
        <f t="shared" si="12"/>
        <v>5867.2849610000003</v>
      </c>
      <c r="D231" s="10">
        <f t="shared" si="13"/>
        <v>171.54809426767193</v>
      </c>
      <c r="E231" s="10">
        <f t="shared" si="14"/>
        <v>6210.3811495353439</v>
      </c>
      <c r="F231" s="10">
        <f t="shared" si="15"/>
        <v>5524.1887724646567</v>
      </c>
    </row>
    <row r="232" spans="1:6" s="10" customFormat="1" x14ac:dyDescent="0.3">
      <c r="A232" s="24">
        <v>41494</v>
      </c>
      <c r="B232" s="10">
        <v>5565.6499020000001</v>
      </c>
      <c r="C232" s="10">
        <f t="shared" si="12"/>
        <v>5848.8124512000013</v>
      </c>
      <c r="D232" s="10">
        <f t="shared" si="13"/>
        <v>183.34700605192873</v>
      </c>
      <c r="E232" s="10">
        <f t="shared" si="14"/>
        <v>6215.5064633038592</v>
      </c>
      <c r="F232" s="10">
        <f t="shared" si="15"/>
        <v>5482.1184390961434</v>
      </c>
    </row>
    <row r="233" spans="1:6" s="10" customFormat="1" x14ac:dyDescent="0.3">
      <c r="A233" s="24">
        <v>41495</v>
      </c>
      <c r="B233" s="10">
        <v>5565.6499020000001</v>
      </c>
      <c r="C233" s="10">
        <f t="shared" si="12"/>
        <v>5826.6449463000008</v>
      </c>
      <c r="D233" s="10">
        <f t="shared" si="13"/>
        <v>189.65333762100803</v>
      </c>
      <c r="E233" s="10">
        <f t="shared" si="14"/>
        <v>6205.9516215420172</v>
      </c>
      <c r="F233" s="10">
        <f t="shared" si="15"/>
        <v>5447.3382710579845</v>
      </c>
    </row>
    <row r="234" spans="1:6" s="10" customFormat="1" x14ac:dyDescent="0.3">
      <c r="A234" s="24">
        <v>41498</v>
      </c>
      <c r="B234" s="10">
        <v>5612.3999020000001</v>
      </c>
      <c r="C234" s="10">
        <f t="shared" si="12"/>
        <v>5805.7249511500004</v>
      </c>
      <c r="D234" s="10">
        <f t="shared" si="13"/>
        <v>189.02355599233277</v>
      </c>
      <c r="E234" s="10">
        <f t="shared" si="14"/>
        <v>6183.7720631346656</v>
      </c>
      <c r="F234" s="10">
        <f t="shared" si="15"/>
        <v>5427.6778391653352</v>
      </c>
    </row>
    <row r="235" spans="1:6" s="10" customFormat="1" x14ac:dyDescent="0.3">
      <c r="A235" s="24">
        <v>41499</v>
      </c>
      <c r="B235" s="10">
        <v>5699.2998049999997</v>
      </c>
      <c r="C235" s="10">
        <f t="shared" si="12"/>
        <v>5792.927441400001</v>
      </c>
      <c r="D235" s="10">
        <f t="shared" si="13"/>
        <v>187.0211409472725</v>
      </c>
      <c r="E235" s="10">
        <f t="shared" si="14"/>
        <v>6166.9697232945464</v>
      </c>
      <c r="F235" s="10">
        <f t="shared" si="15"/>
        <v>5418.8851595054557</v>
      </c>
    </row>
    <row r="236" spans="1:6" s="10" customFormat="1" x14ac:dyDescent="0.3">
      <c r="A236" s="24">
        <v>41500</v>
      </c>
      <c r="B236" s="10">
        <v>5742.2998049999997</v>
      </c>
      <c r="C236" s="10">
        <f t="shared" si="12"/>
        <v>5781.3774414000009</v>
      </c>
      <c r="D236" s="10">
        <f t="shared" si="13"/>
        <v>182.37066853266498</v>
      </c>
      <c r="E236" s="10">
        <f t="shared" si="14"/>
        <v>6146.1187784653312</v>
      </c>
      <c r="F236" s="10">
        <f t="shared" si="15"/>
        <v>5416.6361043346706</v>
      </c>
    </row>
    <row r="237" spans="1:6" s="10" customFormat="1" x14ac:dyDescent="0.3">
      <c r="A237" s="24">
        <v>41501</v>
      </c>
      <c r="B237" s="10">
        <v>5742.2998049999997</v>
      </c>
      <c r="C237" s="10">
        <f t="shared" si="12"/>
        <v>5766.5899414000005</v>
      </c>
      <c r="D237" s="10">
        <f t="shared" si="13"/>
        <v>172.16808041861336</v>
      </c>
      <c r="E237" s="10">
        <f t="shared" si="14"/>
        <v>6110.9261022372275</v>
      </c>
      <c r="F237" s="10">
        <f t="shared" si="15"/>
        <v>5422.2537805627735</v>
      </c>
    </row>
    <row r="238" spans="1:6" s="10" customFormat="1" x14ac:dyDescent="0.3">
      <c r="A238" s="24">
        <v>41502</v>
      </c>
      <c r="B238" s="10">
        <v>5507.8500979999999</v>
      </c>
      <c r="C238" s="10">
        <f t="shared" si="12"/>
        <v>5740.5224365500007</v>
      </c>
      <c r="D238" s="10">
        <f t="shared" si="13"/>
        <v>169.76562411163977</v>
      </c>
      <c r="E238" s="10">
        <f t="shared" si="14"/>
        <v>6080.0536847732801</v>
      </c>
      <c r="F238" s="10">
        <f t="shared" si="15"/>
        <v>5400.9911883267214</v>
      </c>
    </row>
    <row r="239" spans="1:6" s="10" customFormat="1" x14ac:dyDescent="0.3">
      <c r="A239" s="24">
        <v>41505</v>
      </c>
      <c r="B239" s="10">
        <v>5414.75</v>
      </c>
      <c r="C239" s="10">
        <f t="shared" si="12"/>
        <v>5709.6699463000004</v>
      </c>
      <c r="D239" s="10">
        <f t="shared" si="13"/>
        <v>170.1136814050374</v>
      </c>
      <c r="E239" s="10">
        <f t="shared" si="14"/>
        <v>6049.8973091100752</v>
      </c>
      <c r="F239" s="10">
        <f t="shared" si="15"/>
        <v>5369.4425834899257</v>
      </c>
    </row>
    <row r="240" spans="1:6" s="10" customFormat="1" x14ac:dyDescent="0.3">
      <c r="A240" s="24">
        <v>41506</v>
      </c>
      <c r="B240" s="10">
        <v>5401.4501950000003</v>
      </c>
      <c r="C240" s="10">
        <f t="shared" si="12"/>
        <v>5675.8524658000006</v>
      </c>
      <c r="D240" s="10">
        <f t="shared" si="13"/>
        <v>160.00690937382592</v>
      </c>
      <c r="E240" s="10">
        <f t="shared" si="14"/>
        <v>5995.866284547652</v>
      </c>
      <c r="F240" s="10">
        <f t="shared" si="15"/>
        <v>5355.8386470523492</v>
      </c>
    </row>
    <row r="241" spans="1:6" s="10" customFormat="1" x14ac:dyDescent="0.3">
      <c r="A241" s="24">
        <v>41507</v>
      </c>
      <c r="B241" s="10">
        <v>5302.5498049999997</v>
      </c>
      <c r="C241" s="10">
        <f t="shared" si="12"/>
        <v>5641.45495605</v>
      </c>
      <c r="D241" s="10">
        <f t="shared" si="13"/>
        <v>162.72838883794969</v>
      </c>
      <c r="E241" s="10">
        <f t="shared" si="14"/>
        <v>5966.9117337258995</v>
      </c>
      <c r="F241" s="10">
        <f t="shared" si="15"/>
        <v>5315.9981783741005</v>
      </c>
    </row>
    <row r="242" spans="1:6" s="10" customFormat="1" x14ac:dyDescent="0.3">
      <c r="A242" s="24">
        <v>41508</v>
      </c>
      <c r="B242" s="10">
        <v>5408.4501950000003</v>
      </c>
      <c r="C242" s="10">
        <f t="shared" si="12"/>
        <v>5616.5024657999993</v>
      </c>
      <c r="D242" s="10">
        <f t="shared" si="13"/>
        <v>157.97880604192099</v>
      </c>
      <c r="E242" s="10">
        <f t="shared" si="14"/>
        <v>5932.4600778838412</v>
      </c>
      <c r="F242" s="10">
        <f t="shared" si="15"/>
        <v>5300.5448537161574</v>
      </c>
    </row>
    <row r="243" spans="1:6" s="10" customFormat="1" x14ac:dyDescent="0.3">
      <c r="A243" s="24">
        <v>41509</v>
      </c>
      <c r="B243" s="10">
        <v>5471.75</v>
      </c>
      <c r="C243" s="10">
        <f t="shared" ref="C243:C306" si="16">AVERAGE(B224:B243)</f>
        <v>5595.7799560499998</v>
      </c>
      <c r="D243" s="10">
        <f t="shared" si="13"/>
        <v>147.57990218022192</v>
      </c>
      <c r="E243" s="10">
        <f t="shared" si="14"/>
        <v>5890.9397604104433</v>
      </c>
      <c r="F243" s="10">
        <f t="shared" si="15"/>
        <v>5300.6201516895562</v>
      </c>
    </row>
    <row r="244" spans="1:6" s="10" customFormat="1" x14ac:dyDescent="0.3">
      <c r="A244" s="24">
        <v>41512</v>
      </c>
      <c r="B244" s="10">
        <v>5476.5</v>
      </c>
      <c r="C244" s="10">
        <f t="shared" si="16"/>
        <v>5578.0224609499992</v>
      </c>
      <c r="D244" s="10">
        <f t="shared" si="13"/>
        <v>138.81135000068809</v>
      </c>
      <c r="E244" s="10">
        <f t="shared" si="14"/>
        <v>5855.6451609513751</v>
      </c>
      <c r="F244" s="10">
        <f t="shared" si="15"/>
        <v>5300.3997609486232</v>
      </c>
    </row>
    <row r="245" spans="1:6" s="10" customFormat="1" x14ac:dyDescent="0.3">
      <c r="A245" s="24">
        <v>41513</v>
      </c>
      <c r="B245" s="10">
        <v>5287.4501950000003</v>
      </c>
      <c r="C245" s="10">
        <f t="shared" si="16"/>
        <v>5554.6424804499993</v>
      </c>
      <c r="D245" s="10">
        <f t="shared" si="13"/>
        <v>146.58647857611487</v>
      </c>
      <c r="E245" s="10">
        <f t="shared" si="14"/>
        <v>5847.8154376022294</v>
      </c>
      <c r="F245" s="10">
        <f t="shared" si="15"/>
        <v>5261.4695232977692</v>
      </c>
    </row>
    <row r="246" spans="1:6" s="10" customFormat="1" x14ac:dyDescent="0.3">
      <c r="A246" s="24">
        <v>41514</v>
      </c>
      <c r="B246" s="10">
        <v>5285</v>
      </c>
      <c r="C246" s="10">
        <f t="shared" si="16"/>
        <v>5531.7924804499999</v>
      </c>
      <c r="D246" s="10">
        <f t="shared" si="13"/>
        <v>151.38415676279544</v>
      </c>
      <c r="E246" s="10">
        <f t="shared" si="14"/>
        <v>5834.560793975591</v>
      </c>
      <c r="F246" s="10">
        <f t="shared" si="15"/>
        <v>5229.0241669244087</v>
      </c>
    </row>
    <row r="247" spans="1:6" s="10" customFormat="1" x14ac:dyDescent="0.3">
      <c r="A247" s="24">
        <v>41515</v>
      </c>
      <c r="B247" s="10">
        <v>5409.0498049999997</v>
      </c>
      <c r="C247" s="10">
        <f t="shared" si="16"/>
        <v>5515.8524658000006</v>
      </c>
      <c r="D247" s="10">
        <f t="shared" si="13"/>
        <v>146.35421866382362</v>
      </c>
      <c r="E247" s="10">
        <f t="shared" si="14"/>
        <v>5808.5609031276481</v>
      </c>
      <c r="F247" s="10">
        <f t="shared" si="15"/>
        <v>5223.1440284723531</v>
      </c>
    </row>
    <row r="248" spans="1:6" s="10" customFormat="1" x14ac:dyDescent="0.3">
      <c r="A248" s="24">
        <v>41516</v>
      </c>
      <c r="B248" s="10">
        <v>5471.7998049999997</v>
      </c>
      <c r="C248" s="10">
        <f t="shared" si="16"/>
        <v>5505.5474609500006</v>
      </c>
      <c r="D248" s="10">
        <f t="shared" si="13"/>
        <v>141.51975721072415</v>
      </c>
      <c r="E248" s="10">
        <f t="shared" si="14"/>
        <v>5788.5869753714487</v>
      </c>
      <c r="F248" s="10">
        <f t="shared" si="15"/>
        <v>5222.5079465285526</v>
      </c>
    </row>
    <row r="249" spans="1:6" s="10" customFormat="1" x14ac:dyDescent="0.3">
      <c r="A249" s="24">
        <v>41519</v>
      </c>
      <c r="B249" s="10">
        <v>5550.75</v>
      </c>
      <c r="C249" s="10">
        <f t="shared" si="16"/>
        <v>5498.8149658500006</v>
      </c>
      <c r="D249" s="10">
        <f t="shared" si="13"/>
        <v>135.59204120374363</v>
      </c>
      <c r="E249" s="10">
        <f t="shared" si="14"/>
        <v>5769.9990482574876</v>
      </c>
      <c r="F249" s="10">
        <f t="shared" si="15"/>
        <v>5227.6308834425136</v>
      </c>
    </row>
    <row r="250" spans="1:6" s="10" customFormat="1" x14ac:dyDescent="0.3">
      <c r="A250" s="24">
        <v>41520</v>
      </c>
      <c r="B250" s="10">
        <v>5341.4501950000003</v>
      </c>
      <c r="C250" s="10">
        <f t="shared" si="16"/>
        <v>5488.7749756000003</v>
      </c>
      <c r="D250" s="10">
        <f t="shared" si="13"/>
        <v>139.58205885820558</v>
      </c>
      <c r="E250" s="10">
        <f t="shared" si="14"/>
        <v>5767.9390933164113</v>
      </c>
      <c r="F250" s="10">
        <f t="shared" si="15"/>
        <v>5209.6108578835892</v>
      </c>
    </row>
    <row r="251" spans="1:6" s="10" customFormat="1" x14ac:dyDescent="0.3">
      <c r="A251" s="24">
        <v>41521</v>
      </c>
      <c r="B251" s="10">
        <v>5448.1000979999999</v>
      </c>
      <c r="C251" s="10">
        <f t="shared" si="16"/>
        <v>5485.2249756000001</v>
      </c>
      <c r="D251" s="10">
        <f t="shared" si="13"/>
        <v>139.67304953580847</v>
      </c>
      <c r="E251" s="10">
        <f t="shared" si="14"/>
        <v>5764.5710746716168</v>
      </c>
      <c r="F251" s="10">
        <f t="shared" si="15"/>
        <v>5205.8788765283834</v>
      </c>
    </row>
    <row r="252" spans="1:6" s="10" customFormat="1" x14ac:dyDescent="0.3">
      <c r="A252" s="24">
        <v>41522</v>
      </c>
      <c r="B252" s="10">
        <v>5592.9501950000003</v>
      </c>
      <c r="C252" s="10">
        <f t="shared" si="16"/>
        <v>5486.5899902499996</v>
      </c>
      <c r="D252" s="10">
        <f t="shared" si="13"/>
        <v>140.63052438261462</v>
      </c>
      <c r="E252" s="10">
        <f t="shared" si="14"/>
        <v>5767.8510390152287</v>
      </c>
      <c r="F252" s="10">
        <f t="shared" si="15"/>
        <v>5205.3289414847704</v>
      </c>
    </row>
    <row r="253" spans="1:6" s="10" customFormat="1" x14ac:dyDescent="0.3">
      <c r="A253" s="24">
        <v>41523</v>
      </c>
      <c r="B253" s="10">
        <v>5680.3999020000001</v>
      </c>
      <c r="C253" s="10">
        <f t="shared" si="16"/>
        <v>5492.3274902499998</v>
      </c>
      <c r="D253" s="10">
        <f t="shared" si="13"/>
        <v>146.25417267931002</v>
      </c>
      <c r="E253" s="10">
        <f t="shared" si="14"/>
        <v>5784.8358356086201</v>
      </c>
      <c r="F253" s="10">
        <f t="shared" si="15"/>
        <v>5199.8191448913794</v>
      </c>
    </row>
    <row r="254" spans="1:6" s="10" customFormat="1" x14ac:dyDescent="0.3">
      <c r="A254" s="24">
        <v>41526</v>
      </c>
      <c r="B254" s="10">
        <v>5680.3999020000001</v>
      </c>
      <c r="C254" s="10">
        <f t="shared" si="16"/>
        <v>5495.7274902500003</v>
      </c>
      <c r="D254" s="10">
        <f t="shared" si="13"/>
        <v>149.93648225236814</v>
      </c>
      <c r="E254" s="10">
        <f t="shared" si="14"/>
        <v>5795.6004547547363</v>
      </c>
      <c r="F254" s="10">
        <f t="shared" si="15"/>
        <v>5195.8545257452643</v>
      </c>
    </row>
    <row r="255" spans="1:6" s="10" customFormat="1" x14ac:dyDescent="0.3">
      <c r="A255" s="24">
        <v>41527</v>
      </c>
      <c r="B255" s="10">
        <v>5896.75</v>
      </c>
      <c r="C255" s="10">
        <f t="shared" si="16"/>
        <v>5505.6</v>
      </c>
      <c r="D255" s="10">
        <f t="shared" si="13"/>
        <v>169.29669728371741</v>
      </c>
      <c r="E255" s="10">
        <f t="shared" si="14"/>
        <v>5844.1933945674355</v>
      </c>
      <c r="F255" s="10">
        <f t="shared" si="15"/>
        <v>5167.0066054325653</v>
      </c>
    </row>
    <row r="256" spans="1:6" s="10" customFormat="1" x14ac:dyDescent="0.3">
      <c r="A256" s="24">
        <v>41528</v>
      </c>
      <c r="B256" s="10">
        <v>5913.1499020000001</v>
      </c>
      <c r="C256" s="10">
        <f t="shared" si="16"/>
        <v>5514.1425048500005</v>
      </c>
      <c r="D256" s="10">
        <f t="shared" si="13"/>
        <v>185.41230011762329</v>
      </c>
      <c r="E256" s="10">
        <f t="shared" si="14"/>
        <v>5884.9671050852467</v>
      </c>
      <c r="F256" s="10">
        <f t="shared" si="15"/>
        <v>5143.3179046147543</v>
      </c>
    </row>
    <row r="257" spans="1:6" s="10" customFormat="1" x14ac:dyDescent="0.3">
      <c r="A257" s="24">
        <v>41529</v>
      </c>
      <c r="B257" s="10">
        <v>5850.7001950000003</v>
      </c>
      <c r="C257" s="10">
        <f t="shared" si="16"/>
        <v>5519.5625243500008</v>
      </c>
      <c r="D257" s="10">
        <f t="shared" si="13"/>
        <v>193.82635916323116</v>
      </c>
      <c r="E257" s="10">
        <f t="shared" si="14"/>
        <v>5907.2152426764633</v>
      </c>
      <c r="F257" s="10">
        <f t="shared" si="15"/>
        <v>5131.9098060235383</v>
      </c>
    </row>
    <row r="258" spans="1:6" s="10" customFormat="1" x14ac:dyDescent="0.3">
      <c r="A258" s="24">
        <v>41530</v>
      </c>
      <c r="B258" s="10">
        <v>5850.6000979999999</v>
      </c>
      <c r="C258" s="10">
        <f t="shared" si="16"/>
        <v>5536.7000243500006</v>
      </c>
      <c r="D258" s="10">
        <f t="shared" si="13"/>
        <v>207.41254450402877</v>
      </c>
      <c r="E258" s="10">
        <f t="shared" si="14"/>
        <v>5951.5251133580578</v>
      </c>
      <c r="F258" s="10">
        <f t="shared" si="15"/>
        <v>5121.8749353419435</v>
      </c>
    </row>
    <row r="259" spans="1:6" s="10" customFormat="1" x14ac:dyDescent="0.3">
      <c r="A259" s="24">
        <v>41533</v>
      </c>
      <c r="B259" s="10">
        <v>5840.5498049999997</v>
      </c>
      <c r="C259" s="10">
        <f t="shared" si="16"/>
        <v>5557.9900146000009</v>
      </c>
      <c r="D259" s="10">
        <f t="shared" si="13"/>
        <v>215.91505588519905</v>
      </c>
      <c r="E259" s="10">
        <f t="shared" si="14"/>
        <v>5989.8201263703986</v>
      </c>
      <c r="F259" s="10">
        <f t="shared" si="15"/>
        <v>5126.1599028296032</v>
      </c>
    </row>
    <row r="260" spans="1:6" s="10" customFormat="1" x14ac:dyDescent="0.3">
      <c r="A260" s="24">
        <v>41534</v>
      </c>
      <c r="B260" s="10">
        <v>5850.2001950000003</v>
      </c>
      <c r="C260" s="10">
        <f t="shared" si="16"/>
        <v>5580.4275146</v>
      </c>
      <c r="D260" s="10">
        <f t="shared" si="13"/>
        <v>222.02182942511996</v>
      </c>
      <c r="E260" s="10">
        <f t="shared" si="14"/>
        <v>6024.4711734502398</v>
      </c>
      <c r="F260" s="10">
        <f t="shared" si="15"/>
        <v>5136.3838557497602</v>
      </c>
    </row>
    <row r="261" spans="1:6" s="10" customFormat="1" x14ac:dyDescent="0.3">
      <c r="A261" s="24">
        <v>41535</v>
      </c>
      <c r="B261" s="10">
        <v>5899.4501950000003</v>
      </c>
      <c r="C261" s="10">
        <f t="shared" si="16"/>
        <v>5610.2725340999996</v>
      </c>
      <c r="D261" s="10">
        <f t="shared" si="13"/>
        <v>222.81985967217355</v>
      </c>
      <c r="E261" s="10">
        <f t="shared" si="14"/>
        <v>6055.9122534443468</v>
      </c>
      <c r="F261" s="10">
        <f t="shared" si="15"/>
        <v>5164.6328147556524</v>
      </c>
    </row>
    <row r="262" spans="1:6" s="10" customFormat="1" x14ac:dyDescent="0.3">
      <c r="A262" s="24">
        <v>41536</v>
      </c>
      <c r="B262" s="10">
        <v>6115.5498049999997</v>
      </c>
      <c r="C262" s="10">
        <f t="shared" si="16"/>
        <v>5645.6275145999998</v>
      </c>
      <c r="D262" s="10">
        <f t="shared" si="13"/>
        <v>244.18483922370902</v>
      </c>
      <c r="E262" s="10">
        <f t="shared" si="14"/>
        <v>6133.9971930474176</v>
      </c>
      <c r="F262" s="10">
        <f t="shared" si="15"/>
        <v>5157.2578361525821</v>
      </c>
    </row>
    <row r="263" spans="1:6" s="10" customFormat="1" x14ac:dyDescent="0.3">
      <c r="A263" s="24">
        <v>41537</v>
      </c>
      <c r="B263" s="10">
        <v>6012.1000979999999</v>
      </c>
      <c r="C263" s="10">
        <f t="shared" si="16"/>
        <v>5672.6450194999989</v>
      </c>
      <c r="D263" s="10">
        <f t="shared" si="13"/>
        <v>253.64379616298521</v>
      </c>
      <c r="E263" s="10">
        <f t="shared" si="14"/>
        <v>6179.9326118259696</v>
      </c>
      <c r="F263" s="10">
        <f t="shared" si="15"/>
        <v>5165.3574271740281</v>
      </c>
    </row>
    <row r="264" spans="1:6" s="10" customFormat="1" x14ac:dyDescent="0.3">
      <c r="A264" s="24">
        <v>41540</v>
      </c>
      <c r="B264" s="10">
        <v>5889.75</v>
      </c>
      <c r="C264" s="10">
        <f t="shared" si="16"/>
        <v>5693.3075194999992</v>
      </c>
      <c r="D264" s="10">
        <f t="shared" si="13"/>
        <v>253.6565495088191</v>
      </c>
      <c r="E264" s="10">
        <f t="shared" si="14"/>
        <v>6200.620618517637</v>
      </c>
      <c r="F264" s="10">
        <f t="shared" si="15"/>
        <v>5185.9944204823614</v>
      </c>
    </row>
    <row r="265" spans="1:6" s="10" customFormat="1" x14ac:dyDescent="0.3">
      <c r="A265" s="24">
        <v>41541</v>
      </c>
      <c r="B265" s="10">
        <v>5892.4501950000003</v>
      </c>
      <c r="C265" s="10">
        <f t="shared" si="16"/>
        <v>5723.5575194999992</v>
      </c>
      <c r="D265" s="10">
        <f t="shared" si="13"/>
        <v>238.31951622058727</v>
      </c>
      <c r="E265" s="10">
        <f t="shared" si="14"/>
        <v>6200.1965519411733</v>
      </c>
      <c r="F265" s="10">
        <f t="shared" si="15"/>
        <v>5246.9184870588251</v>
      </c>
    </row>
    <row r="266" spans="1:6" s="10" customFormat="1" x14ac:dyDescent="0.3">
      <c r="A266" s="24">
        <v>41542</v>
      </c>
      <c r="B266" s="10">
        <v>5873.8500979999999</v>
      </c>
      <c r="C266" s="10">
        <f t="shared" si="16"/>
        <v>5753.0000243999984</v>
      </c>
      <c r="D266" s="10">
        <f t="shared" si="13"/>
        <v>216.67895044671818</v>
      </c>
      <c r="E266" s="10">
        <f t="shared" si="14"/>
        <v>6186.3579252934351</v>
      </c>
      <c r="F266" s="10">
        <f t="shared" si="15"/>
        <v>5319.6421235065618</v>
      </c>
    </row>
    <row r="267" spans="1:6" s="10" customFormat="1" x14ac:dyDescent="0.3">
      <c r="A267" s="24">
        <v>41543</v>
      </c>
      <c r="B267" s="10">
        <v>5882.25</v>
      </c>
      <c r="C267" s="10">
        <f t="shared" si="16"/>
        <v>5776.6600341499989</v>
      </c>
      <c r="D267" s="10">
        <f t="shared" si="13"/>
        <v>202.5175061058109</v>
      </c>
      <c r="E267" s="10">
        <f t="shared" si="14"/>
        <v>6181.6950463616204</v>
      </c>
      <c r="F267" s="10">
        <f t="shared" si="15"/>
        <v>5371.6250219383774</v>
      </c>
    </row>
    <row r="268" spans="1:6" s="10" customFormat="1" x14ac:dyDescent="0.3">
      <c r="A268" s="24">
        <v>41544</v>
      </c>
      <c r="B268" s="10">
        <v>5833.2001950000003</v>
      </c>
      <c r="C268" s="10">
        <f t="shared" si="16"/>
        <v>5794.7300536499988</v>
      </c>
      <c r="D268" s="10">
        <f t="shared" si="13"/>
        <v>189.59513424857542</v>
      </c>
      <c r="E268" s="10">
        <f t="shared" si="14"/>
        <v>6173.9203221471498</v>
      </c>
      <c r="F268" s="10">
        <f t="shared" si="15"/>
        <v>5415.5397851528478</v>
      </c>
    </row>
    <row r="269" spans="1:6" s="10" customFormat="1" x14ac:dyDescent="0.3">
      <c r="A269" s="24">
        <v>41547</v>
      </c>
      <c r="B269" s="10">
        <v>5735.2998049999997</v>
      </c>
      <c r="C269" s="10">
        <f t="shared" si="16"/>
        <v>5803.9575438999991</v>
      </c>
      <c r="D269" s="10">
        <f t="shared" si="13"/>
        <v>181.41008212468856</v>
      </c>
      <c r="E269" s="10">
        <f t="shared" si="14"/>
        <v>6166.7777081493759</v>
      </c>
      <c r="F269" s="10">
        <f t="shared" si="15"/>
        <v>5441.1373796506223</v>
      </c>
    </row>
    <row r="270" spans="1:6" s="10" customFormat="1" x14ac:dyDescent="0.3">
      <c r="A270" s="24">
        <v>41548</v>
      </c>
      <c r="B270" s="10">
        <v>5780.0498049999997</v>
      </c>
      <c r="C270" s="10">
        <f t="shared" si="16"/>
        <v>5825.8875243999992</v>
      </c>
      <c r="D270" s="10">
        <f t="shared" si="13"/>
        <v>145.51592268300425</v>
      </c>
      <c r="E270" s="10">
        <f t="shared" si="14"/>
        <v>6116.9193697660075</v>
      </c>
      <c r="F270" s="10">
        <f t="shared" si="15"/>
        <v>5534.8556790339908</v>
      </c>
    </row>
    <row r="271" spans="1:6" s="10" customFormat="1" x14ac:dyDescent="0.3">
      <c r="A271" s="24">
        <v>41550</v>
      </c>
      <c r="B271" s="10">
        <v>5909.7001950000003</v>
      </c>
      <c r="C271" s="10">
        <f t="shared" si="16"/>
        <v>5848.9675292499996</v>
      </c>
      <c r="D271" s="10">
        <f t="shared" si="13"/>
        <v>116.06946265538434</v>
      </c>
      <c r="E271" s="10">
        <f t="shared" si="14"/>
        <v>6081.1064545607687</v>
      </c>
      <c r="F271" s="10">
        <f t="shared" si="15"/>
        <v>5616.8286039392306</v>
      </c>
    </row>
    <row r="272" spans="1:6" s="10" customFormat="1" x14ac:dyDescent="0.3">
      <c r="A272" s="24">
        <v>41551</v>
      </c>
      <c r="B272" s="10">
        <v>5907.2998049999997</v>
      </c>
      <c r="C272" s="10">
        <f t="shared" si="16"/>
        <v>5864.685009750001</v>
      </c>
      <c r="D272" s="10">
        <f t="shared" si="13"/>
        <v>99.706748479154953</v>
      </c>
      <c r="E272" s="10">
        <f t="shared" si="14"/>
        <v>6064.0985067083111</v>
      </c>
      <c r="F272" s="10">
        <f t="shared" si="15"/>
        <v>5665.2715127916908</v>
      </c>
    </row>
    <row r="273" spans="1:6" s="10" customFormat="1" x14ac:dyDescent="0.3">
      <c r="A273" s="24">
        <v>41554</v>
      </c>
      <c r="B273" s="10">
        <v>5906.1499020000001</v>
      </c>
      <c r="C273" s="10">
        <f t="shared" si="16"/>
        <v>5875.9725097500004</v>
      </c>
      <c r="D273" s="10">
        <f t="shared" si="13"/>
        <v>90.057718737338817</v>
      </c>
      <c r="E273" s="10">
        <f t="shared" si="14"/>
        <v>6056.0879472246779</v>
      </c>
      <c r="F273" s="10">
        <f t="shared" si="15"/>
        <v>5695.8570722753229</v>
      </c>
    </row>
    <row r="274" spans="1:6" s="10" customFormat="1" x14ac:dyDescent="0.3">
      <c r="A274" s="24">
        <v>41555</v>
      </c>
      <c r="B274" s="10">
        <v>5928.3999020000001</v>
      </c>
      <c r="C274" s="10">
        <f t="shared" si="16"/>
        <v>5888.372509750001</v>
      </c>
      <c r="D274" s="10">
        <f t="shared" si="13"/>
        <v>77.975113416936807</v>
      </c>
      <c r="E274" s="10">
        <f t="shared" si="14"/>
        <v>6044.3227365838748</v>
      </c>
      <c r="F274" s="10">
        <f t="shared" si="15"/>
        <v>5732.4222829161272</v>
      </c>
    </row>
    <row r="275" spans="1:6" s="10" customFormat="1" x14ac:dyDescent="0.3">
      <c r="A275" s="24">
        <v>41556</v>
      </c>
      <c r="B275" s="10">
        <v>6007.4501950000003</v>
      </c>
      <c r="C275" s="10">
        <f t="shared" si="16"/>
        <v>5893.9075195000014</v>
      </c>
      <c r="D275" s="10">
        <f t="shared" si="13"/>
        <v>82.404277500834539</v>
      </c>
      <c r="E275" s="10">
        <f t="shared" si="14"/>
        <v>6058.7160745016708</v>
      </c>
      <c r="F275" s="10">
        <f t="shared" si="15"/>
        <v>5729.098964498332</v>
      </c>
    </row>
    <row r="276" spans="1:6" s="10" customFormat="1" x14ac:dyDescent="0.3">
      <c r="A276" s="24">
        <v>41557</v>
      </c>
      <c r="B276" s="10">
        <v>6020.9501950000003</v>
      </c>
      <c r="C276" s="10">
        <f t="shared" si="16"/>
        <v>5899.2975341500005</v>
      </c>
      <c r="D276" s="10">
        <f t="shared" si="13"/>
        <v>87.119808918412716</v>
      </c>
      <c r="E276" s="10">
        <f t="shared" si="14"/>
        <v>6073.5371519868258</v>
      </c>
      <c r="F276" s="10">
        <f t="shared" si="15"/>
        <v>5725.0579163131752</v>
      </c>
    </row>
    <row r="277" spans="1:6" s="10" customFormat="1" x14ac:dyDescent="0.3">
      <c r="A277" s="24">
        <v>41558</v>
      </c>
      <c r="B277" s="10">
        <v>6096.2001950000003</v>
      </c>
      <c r="C277" s="10">
        <f t="shared" si="16"/>
        <v>5911.5725341500001</v>
      </c>
      <c r="D277" s="10">
        <f t="shared" ref="D277:D340" si="17">_xlfn.STDEV.S(B258:B277)</f>
        <v>96.682552987377562</v>
      </c>
      <c r="E277" s="10">
        <f t="shared" si="14"/>
        <v>6104.9376401247555</v>
      </c>
      <c r="F277" s="10">
        <f t="shared" si="15"/>
        <v>5718.2074281752448</v>
      </c>
    </row>
    <row r="278" spans="1:6" s="10" customFormat="1" x14ac:dyDescent="0.3">
      <c r="A278" s="24">
        <v>41561</v>
      </c>
      <c r="B278" s="10">
        <v>6112.7001950000003</v>
      </c>
      <c r="C278" s="10">
        <f t="shared" si="16"/>
        <v>5924.6775389999993</v>
      </c>
      <c r="D278" s="10">
        <f t="shared" si="17"/>
        <v>105.35720691696532</v>
      </c>
      <c r="E278" s="10">
        <f t="shared" ref="E278:E341" si="18">C278+2*D278</f>
        <v>6135.3919528339302</v>
      </c>
      <c r="F278" s="10">
        <f t="shared" ref="F278:F341" si="19">C278-2*D278</f>
        <v>5713.9631251660685</v>
      </c>
    </row>
    <row r="279" spans="1:6" s="10" customFormat="1" x14ac:dyDescent="0.3">
      <c r="A279" s="24">
        <v>41562</v>
      </c>
      <c r="B279" s="10">
        <v>6089.0498049999997</v>
      </c>
      <c r="C279" s="10">
        <f t="shared" si="16"/>
        <v>5937.1025390000004</v>
      </c>
      <c r="D279" s="10">
        <f t="shared" si="17"/>
        <v>109.4858399014374</v>
      </c>
      <c r="E279" s="10">
        <f t="shared" si="18"/>
        <v>6156.0742188028753</v>
      </c>
      <c r="F279" s="10">
        <f t="shared" si="19"/>
        <v>5718.1308591971256</v>
      </c>
    </row>
    <row r="280" spans="1:6" s="10" customFormat="1" x14ac:dyDescent="0.3">
      <c r="A280" s="24">
        <v>41564</v>
      </c>
      <c r="B280" s="10">
        <v>6045.8500979999999</v>
      </c>
      <c r="C280" s="10">
        <f t="shared" si="16"/>
        <v>5946.8850341500001</v>
      </c>
      <c r="D280" s="10">
        <f t="shared" si="17"/>
        <v>110.0516394598246</v>
      </c>
      <c r="E280" s="10">
        <f t="shared" si="18"/>
        <v>6166.9883130696489</v>
      </c>
      <c r="F280" s="10">
        <f t="shared" si="19"/>
        <v>5726.7817552303513</v>
      </c>
    </row>
    <row r="281" spans="1:6" s="10" customFormat="1" x14ac:dyDescent="0.3">
      <c r="A281" s="24">
        <v>41565</v>
      </c>
      <c r="B281" s="10">
        <v>6189.3500979999999</v>
      </c>
      <c r="C281" s="10">
        <f t="shared" si="16"/>
        <v>5961.3800292999995</v>
      </c>
      <c r="D281" s="10">
        <f t="shared" si="17"/>
        <v>121.92600196381774</v>
      </c>
      <c r="E281" s="10">
        <f t="shared" si="18"/>
        <v>6205.2320332276349</v>
      </c>
      <c r="F281" s="10">
        <f t="shared" si="19"/>
        <v>5717.528025372364</v>
      </c>
    </row>
    <row r="282" spans="1:6" s="10" customFormat="1" x14ac:dyDescent="0.3">
      <c r="A282" s="24">
        <v>41568</v>
      </c>
      <c r="B282" s="10">
        <v>6204.9501950000003</v>
      </c>
      <c r="C282" s="10">
        <f t="shared" si="16"/>
        <v>5965.8500487999991</v>
      </c>
      <c r="D282" s="10">
        <f t="shared" si="17"/>
        <v>129.29190423954518</v>
      </c>
      <c r="E282" s="10">
        <f t="shared" si="18"/>
        <v>6224.4338572790894</v>
      </c>
      <c r="F282" s="10">
        <f t="shared" si="19"/>
        <v>5707.2662403209088</v>
      </c>
    </row>
    <row r="283" spans="1:6" s="10" customFormat="1" x14ac:dyDescent="0.3">
      <c r="A283" s="24">
        <v>41569</v>
      </c>
      <c r="B283" s="10">
        <v>6202.7998049999997</v>
      </c>
      <c r="C283" s="10">
        <f t="shared" si="16"/>
        <v>5975.3850341499992</v>
      </c>
      <c r="D283" s="10">
        <f t="shared" si="17"/>
        <v>139.51029664614447</v>
      </c>
      <c r="E283" s="10">
        <f t="shared" si="18"/>
        <v>6254.4056274422883</v>
      </c>
      <c r="F283" s="10">
        <f t="shared" si="19"/>
        <v>5696.3644408577102</v>
      </c>
    </row>
    <row r="284" spans="1:6" s="10" customFormat="1" x14ac:dyDescent="0.3">
      <c r="A284" s="24">
        <v>41570</v>
      </c>
      <c r="B284" s="10">
        <v>6178.3500979999999</v>
      </c>
      <c r="C284" s="10">
        <f t="shared" si="16"/>
        <v>5989.8150390499995</v>
      </c>
      <c r="D284" s="10">
        <f t="shared" si="17"/>
        <v>145.00386415488012</v>
      </c>
      <c r="E284" s="10">
        <f t="shared" si="18"/>
        <v>6279.8227673597594</v>
      </c>
      <c r="F284" s="10">
        <f t="shared" si="19"/>
        <v>5699.8073107402397</v>
      </c>
    </row>
    <row r="285" spans="1:6" s="10" customFormat="1" x14ac:dyDescent="0.3">
      <c r="A285" s="24">
        <v>41571</v>
      </c>
      <c r="B285" s="10">
        <v>6164.3500979999999</v>
      </c>
      <c r="C285" s="10">
        <f t="shared" si="16"/>
        <v>6003.4100341999983</v>
      </c>
      <c r="D285" s="10">
        <f t="shared" si="17"/>
        <v>148.10778220790149</v>
      </c>
      <c r="E285" s="10">
        <f t="shared" si="18"/>
        <v>6299.6255986158012</v>
      </c>
      <c r="F285" s="10">
        <f t="shared" si="19"/>
        <v>5707.1944697841955</v>
      </c>
    </row>
    <row r="286" spans="1:6" s="10" customFormat="1" x14ac:dyDescent="0.3">
      <c r="A286" s="24">
        <v>41572</v>
      </c>
      <c r="B286" s="10">
        <v>6144.8999020000001</v>
      </c>
      <c r="C286" s="10">
        <f t="shared" si="16"/>
        <v>6016.962524399999</v>
      </c>
      <c r="D286" s="10">
        <f t="shared" si="17"/>
        <v>148.02961895473766</v>
      </c>
      <c r="E286" s="10">
        <f t="shared" si="18"/>
        <v>6313.0217623094741</v>
      </c>
      <c r="F286" s="10">
        <f t="shared" si="19"/>
        <v>5720.9032864905239</v>
      </c>
    </row>
    <row r="287" spans="1:6" s="10" customFormat="1" x14ac:dyDescent="0.3">
      <c r="A287" s="24">
        <v>41575</v>
      </c>
      <c r="B287" s="10">
        <v>6101.1000979999999</v>
      </c>
      <c r="C287" s="10">
        <f t="shared" si="16"/>
        <v>6027.9050292999982</v>
      </c>
      <c r="D287" s="10">
        <f t="shared" si="17"/>
        <v>145.61656435222284</v>
      </c>
      <c r="E287" s="10">
        <f t="shared" si="18"/>
        <v>6319.1381580044435</v>
      </c>
      <c r="F287" s="10">
        <f t="shared" si="19"/>
        <v>5736.6719005955529</v>
      </c>
    </row>
    <row r="288" spans="1:6" s="10" customFormat="1" x14ac:dyDescent="0.3">
      <c r="A288" s="24">
        <v>41576</v>
      </c>
      <c r="B288" s="10">
        <v>6220.8999020000001</v>
      </c>
      <c r="C288" s="10">
        <f t="shared" si="16"/>
        <v>6047.2900146499987</v>
      </c>
      <c r="D288" s="10">
        <f t="shared" si="17"/>
        <v>144.13096889716232</v>
      </c>
      <c r="E288" s="10">
        <f t="shared" si="18"/>
        <v>6335.5519524443234</v>
      </c>
      <c r="F288" s="10">
        <f t="shared" si="19"/>
        <v>5759.028076855674</v>
      </c>
    </row>
    <row r="289" spans="1:6" s="10" customFormat="1" x14ac:dyDescent="0.3">
      <c r="A289" s="24">
        <v>41577</v>
      </c>
      <c r="B289" s="10">
        <v>6251.7001950000003</v>
      </c>
      <c r="C289" s="10">
        <f t="shared" si="16"/>
        <v>6073.1100341499996</v>
      </c>
      <c r="D289" s="10">
        <f t="shared" si="17"/>
        <v>130.95060347987419</v>
      </c>
      <c r="E289" s="10">
        <f t="shared" si="18"/>
        <v>6335.011241109748</v>
      </c>
      <c r="F289" s="10">
        <f t="shared" si="19"/>
        <v>5811.2088271902512</v>
      </c>
    </row>
    <row r="290" spans="1:6" s="10" customFormat="1" x14ac:dyDescent="0.3">
      <c r="A290" s="24">
        <v>41578</v>
      </c>
      <c r="B290" s="10">
        <v>6299.1499020000001</v>
      </c>
      <c r="C290" s="10">
        <f t="shared" si="16"/>
        <v>6099.0650390000001</v>
      </c>
      <c r="D290" s="10">
        <f t="shared" si="17"/>
        <v>120.8630431730686</v>
      </c>
      <c r="E290" s="10">
        <f t="shared" si="18"/>
        <v>6340.7911253461371</v>
      </c>
      <c r="F290" s="10">
        <f t="shared" si="19"/>
        <v>5857.3389526538631</v>
      </c>
    </row>
    <row r="291" spans="1:6" s="10" customFormat="1" x14ac:dyDescent="0.3">
      <c r="A291" s="24">
        <v>41579</v>
      </c>
      <c r="B291" s="10">
        <v>6307.2001950000003</v>
      </c>
      <c r="C291" s="10">
        <f t="shared" si="16"/>
        <v>6118.9400390000001</v>
      </c>
      <c r="D291" s="10">
        <f t="shared" si="17"/>
        <v>120.76739613515556</v>
      </c>
      <c r="E291" s="10">
        <f t="shared" si="18"/>
        <v>6360.4748312703114</v>
      </c>
      <c r="F291" s="10">
        <f t="shared" si="19"/>
        <v>5877.4052467296888</v>
      </c>
    </row>
    <row r="292" spans="1:6" s="10" customFormat="1" x14ac:dyDescent="0.3">
      <c r="A292" s="24">
        <v>41583</v>
      </c>
      <c r="B292" s="10">
        <v>6253.1499020000001</v>
      </c>
      <c r="C292" s="10">
        <f t="shared" si="16"/>
        <v>6136.2325438500002</v>
      </c>
      <c r="D292" s="10">
        <f t="shared" si="17"/>
        <v>113.40439971396367</v>
      </c>
      <c r="E292" s="10">
        <f t="shared" si="18"/>
        <v>6363.0413432779278</v>
      </c>
      <c r="F292" s="10">
        <f t="shared" si="19"/>
        <v>5909.4237444220726</v>
      </c>
    </row>
    <row r="293" spans="1:6" s="10" customFormat="1" x14ac:dyDescent="0.3">
      <c r="A293" s="24">
        <v>41584</v>
      </c>
      <c r="B293" s="10">
        <v>6215.1499020000001</v>
      </c>
      <c r="C293" s="10">
        <f t="shared" si="16"/>
        <v>6151.6825438500009</v>
      </c>
      <c r="D293" s="10">
        <f t="shared" si="17"/>
        <v>100.75151218713776</v>
      </c>
      <c r="E293" s="10">
        <f t="shared" si="18"/>
        <v>6353.1855682242767</v>
      </c>
      <c r="F293" s="10">
        <f t="shared" si="19"/>
        <v>5950.1795194757251</v>
      </c>
    </row>
    <row r="294" spans="1:6" s="10" customFormat="1" x14ac:dyDescent="0.3">
      <c r="A294" s="24">
        <v>41585</v>
      </c>
      <c r="B294" s="10">
        <v>6187.25</v>
      </c>
      <c r="C294" s="10">
        <f t="shared" si="16"/>
        <v>6164.625048750001</v>
      </c>
      <c r="D294" s="10">
        <f t="shared" si="17"/>
        <v>86.122988579564691</v>
      </c>
      <c r="E294" s="10">
        <f t="shared" si="18"/>
        <v>6336.8710259091304</v>
      </c>
      <c r="F294" s="10">
        <f t="shared" si="19"/>
        <v>5992.3790715908717</v>
      </c>
    </row>
    <row r="295" spans="1:6" s="10" customFormat="1" x14ac:dyDescent="0.3">
      <c r="A295" s="24">
        <v>41586</v>
      </c>
      <c r="B295" s="10">
        <v>6140.75</v>
      </c>
      <c r="C295" s="10">
        <f t="shared" si="16"/>
        <v>6171.2900390000013</v>
      </c>
      <c r="D295" s="10">
        <f t="shared" si="17"/>
        <v>78.103795809257605</v>
      </c>
      <c r="E295" s="10">
        <f t="shared" si="18"/>
        <v>6327.4976306185163</v>
      </c>
      <c r="F295" s="10">
        <f t="shared" si="19"/>
        <v>6015.0824473814864</v>
      </c>
    </row>
    <row r="296" spans="1:6" s="10" customFormat="1" x14ac:dyDescent="0.3">
      <c r="A296" s="24">
        <v>41589</v>
      </c>
      <c r="B296" s="10">
        <v>6078.7998049999997</v>
      </c>
      <c r="C296" s="10">
        <f t="shared" si="16"/>
        <v>6174.182519500001</v>
      </c>
      <c r="D296" s="10">
        <f t="shared" si="17"/>
        <v>73.157688842607186</v>
      </c>
      <c r="E296" s="10">
        <f t="shared" si="18"/>
        <v>6320.4978971852152</v>
      </c>
      <c r="F296" s="10">
        <f t="shared" si="19"/>
        <v>6027.8671418147869</v>
      </c>
    </row>
    <row r="297" spans="1:6" s="10" customFormat="1" x14ac:dyDescent="0.3">
      <c r="A297" s="24">
        <v>41590</v>
      </c>
      <c r="B297" s="10">
        <v>6018.0498049999997</v>
      </c>
      <c r="C297" s="10">
        <f t="shared" si="16"/>
        <v>6170.2750000000005</v>
      </c>
      <c r="D297" s="10">
        <f t="shared" si="17"/>
        <v>79.36581152085067</v>
      </c>
      <c r="E297" s="10">
        <f t="shared" si="18"/>
        <v>6329.0066230417015</v>
      </c>
      <c r="F297" s="10">
        <f t="shared" si="19"/>
        <v>6011.5433769582996</v>
      </c>
    </row>
    <row r="298" spans="1:6" s="10" customFormat="1" x14ac:dyDescent="0.3">
      <c r="A298" s="24">
        <v>41591</v>
      </c>
      <c r="B298" s="10">
        <v>5989.6000979999999</v>
      </c>
      <c r="C298" s="10">
        <f t="shared" si="16"/>
        <v>6164.1199951500002</v>
      </c>
      <c r="D298" s="10">
        <f t="shared" si="17"/>
        <v>88.332681284940861</v>
      </c>
      <c r="E298" s="10">
        <f t="shared" si="18"/>
        <v>6340.7853577198821</v>
      </c>
      <c r="F298" s="10">
        <f t="shared" si="19"/>
        <v>5987.4546325801184</v>
      </c>
    </row>
    <row r="299" spans="1:6" s="10" customFormat="1" x14ac:dyDescent="0.3">
      <c r="A299" s="24">
        <v>41592</v>
      </c>
      <c r="B299" s="10">
        <v>6056.1499020000001</v>
      </c>
      <c r="C299" s="10">
        <f t="shared" si="16"/>
        <v>6162.4750000000004</v>
      </c>
      <c r="D299" s="10">
        <f t="shared" si="17"/>
        <v>90.093073646249977</v>
      </c>
      <c r="E299" s="10">
        <f t="shared" si="18"/>
        <v>6342.6611472925006</v>
      </c>
      <c r="F299" s="10">
        <f t="shared" si="19"/>
        <v>5982.2888527075002</v>
      </c>
    </row>
    <row r="300" spans="1:6" s="10" customFormat="1" x14ac:dyDescent="0.3">
      <c r="A300" s="24">
        <v>41596</v>
      </c>
      <c r="B300" s="10">
        <v>6189</v>
      </c>
      <c r="C300" s="10">
        <f t="shared" si="16"/>
        <v>6169.6324951000006</v>
      </c>
      <c r="D300" s="10">
        <f t="shared" si="17"/>
        <v>85.930231674767086</v>
      </c>
      <c r="E300" s="10">
        <f t="shared" si="18"/>
        <v>6341.4929584495349</v>
      </c>
      <c r="F300" s="10">
        <f t="shared" si="19"/>
        <v>5997.7720317504663</v>
      </c>
    </row>
    <row r="301" spans="1:6" s="10" customFormat="1" x14ac:dyDescent="0.3">
      <c r="A301" s="24">
        <v>41597</v>
      </c>
      <c r="B301" s="10">
        <v>6203.3500979999999</v>
      </c>
      <c r="C301" s="10">
        <f t="shared" si="16"/>
        <v>6170.3324950999995</v>
      </c>
      <c r="D301" s="10">
        <f t="shared" si="17"/>
        <v>86.156034238713076</v>
      </c>
      <c r="E301" s="10">
        <f t="shared" si="18"/>
        <v>6342.6445635774253</v>
      </c>
      <c r="F301" s="10">
        <f t="shared" si="19"/>
        <v>5998.0204266225737</v>
      </c>
    </row>
    <row r="302" spans="1:6" s="10" customFormat="1" x14ac:dyDescent="0.3">
      <c r="A302" s="24">
        <v>41598</v>
      </c>
      <c r="B302" s="10">
        <v>6122.8999020000001</v>
      </c>
      <c r="C302" s="10">
        <f t="shared" si="16"/>
        <v>6166.2299804499999</v>
      </c>
      <c r="D302" s="10">
        <f t="shared" si="17"/>
        <v>86.37410543122958</v>
      </c>
      <c r="E302" s="10">
        <f t="shared" si="18"/>
        <v>6338.9781913124589</v>
      </c>
      <c r="F302" s="10">
        <f t="shared" si="19"/>
        <v>5993.4817695875408</v>
      </c>
    </row>
    <row r="303" spans="1:6" s="10" customFormat="1" x14ac:dyDescent="0.3">
      <c r="A303" s="24">
        <v>41599</v>
      </c>
      <c r="B303" s="10">
        <v>5999.0498049999997</v>
      </c>
      <c r="C303" s="10">
        <f t="shared" si="16"/>
        <v>6156.0424804499999</v>
      </c>
      <c r="D303" s="10">
        <f t="shared" si="17"/>
        <v>93.551390763729785</v>
      </c>
      <c r="E303" s="10">
        <f t="shared" si="18"/>
        <v>6343.1452619774591</v>
      </c>
      <c r="F303" s="10">
        <f t="shared" si="19"/>
        <v>5968.9396989225406</v>
      </c>
    </row>
    <row r="304" spans="1:6" s="10" customFormat="1" x14ac:dyDescent="0.3">
      <c r="A304" s="24">
        <v>41600</v>
      </c>
      <c r="B304" s="10">
        <v>5995.4501950000003</v>
      </c>
      <c r="C304" s="10">
        <f t="shared" si="16"/>
        <v>6146.8974853</v>
      </c>
      <c r="D304" s="10">
        <f t="shared" si="17"/>
        <v>99.975003502759805</v>
      </c>
      <c r="E304" s="10">
        <f t="shared" si="18"/>
        <v>6346.8474923055192</v>
      </c>
      <c r="F304" s="10">
        <f t="shared" si="19"/>
        <v>5946.9474782944808</v>
      </c>
    </row>
    <row r="305" spans="1:6" s="10" customFormat="1" x14ac:dyDescent="0.3">
      <c r="A305" s="24">
        <v>41603</v>
      </c>
      <c r="B305" s="10">
        <v>6115.3500979999999</v>
      </c>
      <c r="C305" s="10">
        <f t="shared" si="16"/>
        <v>6144.4474853000002</v>
      </c>
      <c r="D305" s="10">
        <f t="shared" si="17"/>
        <v>100.12508470002591</v>
      </c>
      <c r="E305" s="10">
        <f t="shared" si="18"/>
        <v>6344.6976547000522</v>
      </c>
      <c r="F305" s="10">
        <f t="shared" si="19"/>
        <v>5944.1973158999481</v>
      </c>
    </row>
    <row r="306" spans="1:6" s="10" customFormat="1" x14ac:dyDescent="0.3">
      <c r="A306" s="24">
        <v>41604</v>
      </c>
      <c r="B306" s="10">
        <v>6059.1000979999999</v>
      </c>
      <c r="C306" s="10">
        <f t="shared" si="16"/>
        <v>6140.1574950999993</v>
      </c>
      <c r="D306" s="10">
        <f t="shared" si="17"/>
        <v>101.92657590981949</v>
      </c>
      <c r="E306" s="10">
        <f t="shared" si="18"/>
        <v>6344.010646919638</v>
      </c>
      <c r="F306" s="10">
        <f t="shared" si="19"/>
        <v>5936.3043432803606</v>
      </c>
    </row>
    <row r="307" spans="1:6" s="10" customFormat="1" x14ac:dyDescent="0.3">
      <c r="A307" s="24">
        <v>41605</v>
      </c>
      <c r="B307" s="10">
        <v>6057.1000979999999</v>
      </c>
      <c r="C307" s="10">
        <f t="shared" ref="C307:C370" si="20">AVERAGE(B288:B307)</f>
        <v>6137.9574950999995</v>
      </c>
      <c r="D307" s="10">
        <f t="shared" si="17"/>
        <v>103.27983488971876</v>
      </c>
      <c r="E307" s="10">
        <f t="shared" si="18"/>
        <v>6344.5171648794367</v>
      </c>
      <c r="F307" s="10">
        <f t="shared" si="19"/>
        <v>5931.3978253205623</v>
      </c>
    </row>
    <row r="308" spans="1:6" s="10" customFormat="1" x14ac:dyDescent="0.3">
      <c r="A308" s="24">
        <v>41606</v>
      </c>
      <c r="B308" s="10">
        <v>6091.8500979999999</v>
      </c>
      <c r="C308" s="10">
        <f t="shared" si="20"/>
        <v>6131.5050049000001</v>
      </c>
      <c r="D308" s="10">
        <f t="shared" si="17"/>
        <v>101.84650943853381</v>
      </c>
      <c r="E308" s="10">
        <f t="shared" si="18"/>
        <v>6335.1980237770676</v>
      </c>
      <c r="F308" s="10">
        <f t="shared" si="19"/>
        <v>5927.8119860229326</v>
      </c>
    </row>
    <row r="309" spans="1:6" s="10" customFormat="1" x14ac:dyDescent="0.3">
      <c r="A309" s="24">
        <v>41607</v>
      </c>
      <c r="B309" s="10">
        <v>6176.1000979999999</v>
      </c>
      <c r="C309" s="10">
        <f t="shared" si="20"/>
        <v>6127.7250000499989</v>
      </c>
      <c r="D309" s="10">
        <f t="shared" si="17"/>
        <v>98.498620905001232</v>
      </c>
      <c r="E309" s="10">
        <f t="shared" si="18"/>
        <v>6324.7222418600013</v>
      </c>
      <c r="F309" s="10">
        <f t="shared" si="19"/>
        <v>5930.7277582399965</v>
      </c>
    </row>
    <row r="310" spans="1:6" s="10" customFormat="1" x14ac:dyDescent="0.3">
      <c r="A310" s="24">
        <v>41610</v>
      </c>
      <c r="B310" s="10">
        <v>6217.8500979999999</v>
      </c>
      <c r="C310" s="10">
        <f t="shared" si="20"/>
        <v>6123.6600098499994</v>
      </c>
      <c r="D310" s="10">
        <f t="shared" si="17"/>
        <v>92.549600200724143</v>
      </c>
      <c r="E310" s="10">
        <f t="shared" si="18"/>
        <v>6308.7592102514473</v>
      </c>
      <c r="F310" s="10">
        <f t="shared" si="19"/>
        <v>5938.5608094485515</v>
      </c>
    </row>
    <row r="311" spans="1:6" s="10" customFormat="1" x14ac:dyDescent="0.3">
      <c r="A311" s="24">
        <v>41611</v>
      </c>
      <c r="B311" s="10">
        <v>6201.8500979999999</v>
      </c>
      <c r="C311" s="10">
        <f t="shared" si="20"/>
        <v>6118.392504999998</v>
      </c>
      <c r="D311" s="10">
        <f t="shared" si="17"/>
        <v>84.17241066377629</v>
      </c>
      <c r="E311" s="10">
        <f t="shared" si="18"/>
        <v>6286.7373263275504</v>
      </c>
      <c r="F311" s="10">
        <f t="shared" si="19"/>
        <v>5950.0476836724456</v>
      </c>
    </row>
    <row r="312" spans="1:6" s="10" customFormat="1" x14ac:dyDescent="0.3">
      <c r="A312" s="24">
        <v>41612</v>
      </c>
      <c r="B312" s="10">
        <v>6160.9501950000003</v>
      </c>
      <c r="C312" s="10">
        <f t="shared" si="20"/>
        <v>6113.782519649998</v>
      </c>
      <c r="D312" s="10">
        <f t="shared" si="17"/>
        <v>78.753934322925218</v>
      </c>
      <c r="E312" s="10">
        <f t="shared" si="18"/>
        <v>6271.2903882958481</v>
      </c>
      <c r="F312" s="10">
        <f t="shared" si="19"/>
        <v>5956.2746510041479</v>
      </c>
    </row>
    <row r="313" spans="1:6" s="10" customFormat="1" x14ac:dyDescent="0.3">
      <c r="A313" s="24">
        <v>41613</v>
      </c>
      <c r="B313" s="10">
        <v>6241.1000979999999</v>
      </c>
      <c r="C313" s="10">
        <f t="shared" si="20"/>
        <v>6115.0800294499986</v>
      </c>
      <c r="D313" s="10">
        <f t="shared" si="17"/>
        <v>80.701597901824684</v>
      </c>
      <c r="E313" s="10">
        <f t="shared" si="18"/>
        <v>6276.483225253648</v>
      </c>
      <c r="F313" s="10">
        <f t="shared" si="19"/>
        <v>5953.6768336463492</v>
      </c>
    </row>
    <row r="314" spans="1:6" s="10" customFormat="1" x14ac:dyDescent="0.3">
      <c r="A314" s="24">
        <v>41614</v>
      </c>
      <c r="B314" s="10">
        <v>6259.8999020000001</v>
      </c>
      <c r="C314" s="10">
        <f t="shared" si="20"/>
        <v>6118.7125245499983</v>
      </c>
      <c r="D314" s="10">
        <f t="shared" si="17"/>
        <v>85.60699694639699</v>
      </c>
      <c r="E314" s="10">
        <f t="shared" si="18"/>
        <v>6289.9265184427923</v>
      </c>
      <c r="F314" s="10">
        <f t="shared" si="19"/>
        <v>5947.4985306572044</v>
      </c>
    </row>
    <row r="315" spans="1:6" s="10" customFormat="1" x14ac:dyDescent="0.3">
      <c r="A315" s="24">
        <v>41617</v>
      </c>
      <c r="B315" s="10">
        <v>6363.8999020000001</v>
      </c>
      <c r="C315" s="10">
        <f t="shared" si="20"/>
        <v>6129.8700196499985</v>
      </c>
      <c r="D315" s="10">
        <f t="shared" si="17"/>
        <v>101.66612187265805</v>
      </c>
      <c r="E315" s="10">
        <f t="shared" si="18"/>
        <v>6333.2022633953147</v>
      </c>
      <c r="F315" s="10">
        <f t="shared" si="19"/>
        <v>5926.5377759046823</v>
      </c>
    </row>
    <row r="316" spans="1:6" s="10" customFormat="1" x14ac:dyDescent="0.3">
      <c r="A316" s="24">
        <v>41618</v>
      </c>
      <c r="B316" s="10">
        <v>6332.8500979999999</v>
      </c>
      <c r="C316" s="10">
        <f t="shared" si="20"/>
        <v>6142.5725342999995</v>
      </c>
      <c r="D316" s="10">
        <f t="shared" si="17"/>
        <v>110.44161930268926</v>
      </c>
      <c r="E316" s="10">
        <f t="shared" si="18"/>
        <v>6363.4557729053777</v>
      </c>
      <c r="F316" s="10">
        <f t="shared" si="19"/>
        <v>5921.6892956946213</v>
      </c>
    </row>
    <row r="317" spans="1:6" s="10" customFormat="1" x14ac:dyDescent="0.3">
      <c r="A317" s="24">
        <v>41619</v>
      </c>
      <c r="B317" s="10">
        <v>6307.8999020000001</v>
      </c>
      <c r="C317" s="10">
        <f t="shared" si="20"/>
        <v>6157.0650391500003</v>
      </c>
      <c r="D317" s="10">
        <f t="shared" si="17"/>
        <v>112.24415321112022</v>
      </c>
      <c r="E317" s="10">
        <f t="shared" si="18"/>
        <v>6381.5533455722407</v>
      </c>
      <c r="F317" s="10">
        <f t="shared" si="19"/>
        <v>5932.5767327277599</v>
      </c>
    </row>
    <row r="318" spans="1:6" s="10" customFormat="1" x14ac:dyDescent="0.3">
      <c r="A318" s="24">
        <v>41620</v>
      </c>
      <c r="B318" s="10">
        <v>6237.0498049999997</v>
      </c>
      <c r="C318" s="10">
        <f t="shared" si="20"/>
        <v>6169.4375245000001</v>
      </c>
      <c r="D318" s="10">
        <f t="shared" si="17"/>
        <v>106.29347087205363</v>
      </c>
      <c r="E318" s="10">
        <f t="shared" si="18"/>
        <v>6382.0244662441073</v>
      </c>
      <c r="F318" s="10">
        <f t="shared" si="19"/>
        <v>5956.8505827558929</v>
      </c>
    </row>
    <row r="319" spans="1:6" s="10" customFormat="1" x14ac:dyDescent="0.3">
      <c r="A319" s="24">
        <v>41621</v>
      </c>
      <c r="B319" s="10">
        <v>6168.3999020000001</v>
      </c>
      <c r="C319" s="10">
        <f t="shared" si="20"/>
        <v>6175.0500245000012</v>
      </c>
      <c r="D319" s="10">
        <f t="shared" si="17"/>
        <v>102.90637675865332</v>
      </c>
      <c r="E319" s="10">
        <f t="shared" si="18"/>
        <v>6380.8627780173083</v>
      </c>
      <c r="F319" s="10">
        <f t="shared" si="19"/>
        <v>5969.2372709826941</v>
      </c>
    </row>
    <row r="320" spans="1:6" s="10" customFormat="1" x14ac:dyDescent="0.3">
      <c r="A320" s="24">
        <v>41624</v>
      </c>
      <c r="B320" s="10">
        <v>6154.7001950000003</v>
      </c>
      <c r="C320" s="10">
        <f t="shared" si="20"/>
        <v>6173.3350342500007</v>
      </c>
      <c r="D320" s="10">
        <f t="shared" si="17"/>
        <v>102.9474610733069</v>
      </c>
      <c r="E320" s="10">
        <f t="shared" si="18"/>
        <v>6379.2299563966144</v>
      </c>
      <c r="F320" s="10">
        <f t="shared" si="19"/>
        <v>5967.440112103387</v>
      </c>
    </row>
    <row r="321" spans="1:6" s="10" customFormat="1" x14ac:dyDescent="0.3">
      <c r="A321" s="24">
        <v>41625</v>
      </c>
      <c r="B321" s="10">
        <v>6139.0498049999997</v>
      </c>
      <c r="C321" s="10">
        <f t="shared" si="20"/>
        <v>6170.1200196000009</v>
      </c>
      <c r="D321" s="10">
        <f t="shared" si="17"/>
        <v>102.96480277417616</v>
      </c>
      <c r="E321" s="10">
        <f t="shared" si="18"/>
        <v>6376.0496251483528</v>
      </c>
      <c r="F321" s="10">
        <f t="shared" si="19"/>
        <v>5964.190414051649</v>
      </c>
    </row>
    <row r="322" spans="1:6" s="10" customFormat="1" x14ac:dyDescent="0.3">
      <c r="A322" s="24">
        <v>41626</v>
      </c>
      <c r="B322" s="10">
        <v>6217.1499020000001</v>
      </c>
      <c r="C322" s="10">
        <f t="shared" si="20"/>
        <v>6174.8325196000014</v>
      </c>
      <c r="D322" s="10">
        <f t="shared" si="17"/>
        <v>102.846635644274</v>
      </c>
      <c r="E322" s="10">
        <f t="shared" si="18"/>
        <v>6380.5257908885496</v>
      </c>
      <c r="F322" s="10">
        <f t="shared" si="19"/>
        <v>5969.1392483114532</v>
      </c>
    </row>
    <row r="323" spans="1:6" s="10" customFormat="1" x14ac:dyDescent="0.3">
      <c r="A323" s="24">
        <v>41627</v>
      </c>
      <c r="B323" s="10">
        <v>6166.6499020000001</v>
      </c>
      <c r="C323" s="10">
        <f t="shared" si="20"/>
        <v>6183.2125244500012</v>
      </c>
      <c r="D323" s="10">
        <f t="shared" si="17"/>
        <v>94.237684287208793</v>
      </c>
      <c r="E323" s="10">
        <f t="shared" si="18"/>
        <v>6371.6878930244184</v>
      </c>
      <c r="F323" s="10">
        <f t="shared" si="19"/>
        <v>5994.737155875584</v>
      </c>
    </row>
    <row r="324" spans="1:6" s="10" customFormat="1" x14ac:dyDescent="0.3">
      <c r="A324" s="24">
        <v>41628</v>
      </c>
      <c r="B324" s="10">
        <v>6274.25</v>
      </c>
      <c r="C324" s="10">
        <f t="shared" si="20"/>
        <v>6197.1525147000011</v>
      </c>
      <c r="D324" s="10">
        <f t="shared" si="17"/>
        <v>85.187330626814486</v>
      </c>
      <c r="E324" s="10">
        <f t="shared" si="18"/>
        <v>6367.5271759536299</v>
      </c>
      <c r="F324" s="10">
        <f t="shared" si="19"/>
        <v>6026.7778534463723</v>
      </c>
    </row>
    <row r="325" spans="1:6" s="10" customFormat="1" x14ac:dyDescent="0.3">
      <c r="A325" s="24">
        <v>41631</v>
      </c>
      <c r="B325" s="10">
        <v>6284.5</v>
      </c>
      <c r="C325" s="10">
        <f t="shared" si="20"/>
        <v>6205.6100098000006</v>
      </c>
      <c r="D325" s="10">
        <f t="shared" si="17"/>
        <v>85.035010755652479</v>
      </c>
      <c r="E325" s="10">
        <f t="shared" si="18"/>
        <v>6375.6800313113054</v>
      </c>
      <c r="F325" s="10">
        <f t="shared" si="19"/>
        <v>6035.5399882886959</v>
      </c>
    </row>
    <row r="326" spans="1:6" s="10" customFormat="1" x14ac:dyDescent="0.3">
      <c r="A326" s="24">
        <v>41632</v>
      </c>
      <c r="B326" s="10">
        <v>6268.3999020000001</v>
      </c>
      <c r="C326" s="10">
        <f t="shared" si="20"/>
        <v>6216.0750000000007</v>
      </c>
      <c r="D326" s="10">
        <f t="shared" si="17"/>
        <v>78.698359489083245</v>
      </c>
      <c r="E326" s="10">
        <f t="shared" si="18"/>
        <v>6373.4717189781668</v>
      </c>
      <c r="F326" s="10">
        <f t="shared" si="19"/>
        <v>6058.6782810218347</v>
      </c>
    </row>
    <row r="327" spans="1:6" s="10" customFormat="1" x14ac:dyDescent="0.3">
      <c r="A327" s="24">
        <v>41634</v>
      </c>
      <c r="B327" s="10">
        <v>6278.8999020000001</v>
      </c>
      <c r="C327" s="10">
        <f t="shared" si="20"/>
        <v>6227.1649902000008</v>
      </c>
      <c r="D327" s="10">
        <f t="shared" si="17"/>
        <v>70.29613867207361</v>
      </c>
      <c r="E327" s="10">
        <f t="shared" si="18"/>
        <v>6367.7572675441479</v>
      </c>
      <c r="F327" s="10">
        <f t="shared" si="19"/>
        <v>6086.5727128558538</v>
      </c>
    </row>
    <row r="328" spans="1:6" s="10" customFormat="1" x14ac:dyDescent="0.3">
      <c r="A328" s="24">
        <v>41635</v>
      </c>
      <c r="B328" s="10">
        <v>6313.7998049999997</v>
      </c>
      <c r="C328" s="10">
        <f t="shared" si="20"/>
        <v>6238.262475550001</v>
      </c>
      <c r="D328" s="10">
        <f t="shared" si="17"/>
        <v>65.140246510824213</v>
      </c>
      <c r="E328" s="10">
        <f t="shared" si="18"/>
        <v>6368.542968571649</v>
      </c>
      <c r="F328" s="10">
        <f t="shared" si="19"/>
        <v>6107.981982528353</v>
      </c>
    </row>
    <row r="329" spans="1:6" s="10" customFormat="1" x14ac:dyDescent="0.3">
      <c r="A329" s="24">
        <v>41638</v>
      </c>
      <c r="B329" s="10">
        <v>6291.1000979999999</v>
      </c>
      <c r="C329" s="10">
        <f t="shared" si="20"/>
        <v>6244.012475550001</v>
      </c>
      <c r="D329" s="10">
        <f t="shared" si="17"/>
        <v>64.436090638149238</v>
      </c>
      <c r="E329" s="10">
        <f t="shared" si="18"/>
        <v>6372.8846568262998</v>
      </c>
      <c r="F329" s="10">
        <f t="shared" si="19"/>
        <v>6115.1402942737022</v>
      </c>
    </row>
    <row r="330" spans="1:6" s="10" customFormat="1" x14ac:dyDescent="0.3">
      <c r="A330" s="24">
        <v>41639</v>
      </c>
      <c r="B330" s="10">
        <v>6304</v>
      </c>
      <c r="C330" s="10">
        <f t="shared" si="20"/>
        <v>6248.31997065</v>
      </c>
      <c r="D330" s="10">
        <f t="shared" si="17"/>
        <v>65.466394982330655</v>
      </c>
      <c r="E330" s="10">
        <f t="shared" si="18"/>
        <v>6379.2527606146614</v>
      </c>
      <c r="F330" s="10">
        <f t="shared" si="19"/>
        <v>6117.3871806853385</v>
      </c>
    </row>
    <row r="331" spans="1:6" s="10" customFormat="1" x14ac:dyDescent="0.3">
      <c r="A331" s="24">
        <v>41641</v>
      </c>
      <c r="B331" s="10">
        <v>6221.1499020000001</v>
      </c>
      <c r="C331" s="10">
        <f t="shared" si="20"/>
        <v>6249.284960850001</v>
      </c>
      <c r="D331" s="10">
        <f t="shared" si="17"/>
        <v>64.885027067025746</v>
      </c>
      <c r="E331" s="10">
        <f t="shared" si="18"/>
        <v>6379.0550149840528</v>
      </c>
      <c r="F331" s="10">
        <f t="shared" si="19"/>
        <v>6119.5149067159491</v>
      </c>
    </row>
    <row r="332" spans="1:6" s="10" customFormat="1" x14ac:dyDescent="0.3">
      <c r="A332" s="24">
        <v>41642</v>
      </c>
      <c r="B332" s="10">
        <v>6211.1499020000001</v>
      </c>
      <c r="C332" s="10">
        <f t="shared" si="20"/>
        <v>6251.7949462000006</v>
      </c>
      <c r="D332" s="10">
        <f t="shared" si="17"/>
        <v>62.203621209049352</v>
      </c>
      <c r="E332" s="10">
        <f t="shared" si="18"/>
        <v>6376.2021886180992</v>
      </c>
      <c r="F332" s="10">
        <f t="shared" si="19"/>
        <v>6127.387703781902</v>
      </c>
    </row>
    <row r="333" spans="1:6" s="10" customFormat="1" x14ac:dyDescent="0.3">
      <c r="A333" s="24">
        <v>41645</v>
      </c>
      <c r="B333" s="10">
        <v>6191.4501950000003</v>
      </c>
      <c r="C333" s="10">
        <f t="shared" si="20"/>
        <v>6249.3124510500002</v>
      </c>
      <c r="D333" s="10">
        <f t="shared" si="17"/>
        <v>63.627357950240381</v>
      </c>
      <c r="E333" s="10">
        <f t="shared" si="18"/>
        <v>6376.5671669504809</v>
      </c>
      <c r="F333" s="10">
        <f t="shared" si="19"/>
        <v>6122.0577351495194</v>
      </c>
    </row>
    <row r="334" spans="1:6" s="10" customFormat="1" x14ac:dyDescent="0.3">
      <c r="A334" s="24">
        <v>41646</v>
      </c>
      <c r="B334" s="10">
        <v>6162.25</v>
      </c>
      <c r="C334" s="10">
        <f t="shared" si="20"/>
        <v>6244.4299559500014</v>
      </c>
      <c r="D334" s="10">
        <f t="shared" si="17"/>
        <v>66.455910992895312</v>
      </c>
      <c r="E334" s="10">
        <f t="shared" si="18"/>
        <v>6377.3417779357924</v>
      </c>
      <c r="F334" s="10">
        <f t="shared" si="19"/>
        <v>6111.5181339642104</v>
      </c>
    </row>
    <row r="335" spans="1:6" s="10" customFormat="1" x14ac:dyDescent="0.3">
      <c r="A335" s="24">
        <v>41647</v>
      </c>
      <c r="B335" s="10">
        <v>6174.6000979999999</v>
      </c>
      <c r="C335" s="10">
        <f t="shared" si="20"/>
        <v>6234.9649657499995</v>
      </c>
      <c r="D335" s="10">
        <f t="shared" si="17"/>
        <v>61.866917557992849</v>
      </c>
      <c r="E335" s="10">
        <f t="shared" si="18"/>
        <v>6358.6988008659855</v>
      </c>
      <c r="F335" s="10">
        <f t="shared" si="19"/>
        <v>6111.2311306340134</v>
      </c>
    </row>
    <row r="336" spans="1:6" s="10" customFormat="1" x14ac:dyDescent="0.3">
      <c r="A336" s="24">
        <v>41648</v>
      </c>
      <c r="B336" s="10">
        <v>6168.3500979999999</v>
      </c>
      <c r="C336" s="10">
        <f t="shared" si="20"/>
        <v>6226.73996575</v>
      </c>
      <c r="D336" s="10">
        <f t="shared" si="17"/>
        <v>59.038713108288107</v>
      </c>
      <c r="E336" s="10">
        <f t="shared" si="18"/>
        <v>6344.817391966576</v>
      </c>
      <c r="F336" s="10">
        <f t="shared" si="19"/>
        <v>6108.662539533424</v>
      </c>
    </row>
    <row r="337" spans="1:6" s="10" customFormat="1" x14ac:dyDescent="0.3">
      <c r="A337" s="24">
        <v>41649</v>
      </c>
      <c r="B337" s="10">
        <v>6171.4501950000003</v>
      </c>
      <c r="C337" s="10">
        <f t="shared" si="20"/>
        <v>6219.9174803999995</v>
      </c>
      <c r="D337" s="10">
        <f t="shared" si="17"/>
        <v>57.015658345403772</v>
      </c>
      <c r="E337" s="10">
        <f t="shared" si="18"/>
        <v>6333.9487970908067</v>
      </c>
      <c r="F337" s="10">
        <f t="shared" si="19"/>
        <v>6105.8861637091923</v>
      </c>
    </row>
    <row r="338" spans="1:6" s="10" customFormat="1" x14ac:dyDescent="0.3">
      <c r="A338" s="24">
        <v>41652</v>
      </c>
      <c r="B338" s="10">
        <v>6272.75</v>
      </c>
      <c r="C338" s="10">
        <f t="shared" si="20"/>
        <v>6221.702490149999</v>
      </c>
      <c r="D338" s="10">
        <f t="shared" si="17"/>
        <v>58.128240269420054</v>
      </c>
      <c r="E338" s="10">
        <f t="shared" si="18"/>
        <v>6337.9589706888391</v>
      </c>
      <c r="F338" s="10">
        <f t="shared" si="19"/>
        <v>6105.4460096111588</v>
      </c>
    </row>
    <row r="339" spans="1:6" s="10" customFormat="1" x14ac:dyDescent="0.3">
      <c r="A339" s="24">
        <v>41653</v>
      </c>
      <c r="B339" s="10">
        <v>6241.8500979999999</v>
      </c>
      <c r="C339" s="10">
        <f t="shared" si="20"/>
        <v>6225.3749999499996</v>
      </c>
      <c r="D339" s="10">
        <f t="shared" si="17"/>
        <v>56.890461532176047</v>
      </c>
      <c r="E339" s="10">
        <f t="shared" si="18"/>
        <v>6339.1559230143521</v>
      </c>
      <c r="F339" s="10">
        <f t="shared" si="19"/>
        <v>6111.5940768856472</v>
      </c>
    </row>
    <row r="340" spans="1:6" s="10" customFormat="1" x14ac:dyDescent="0.3">
      <c r="A340" s="24">
        <v>41654</v>
      </c>
      <c r="B340" s="10">
        <v>6320.8999020000001</v>
      </c>
      <c r="C340" s="10">
        <f t="shared" si="20"/>
        <v>6233.6849853000003</v>
      </c>
      <c r="D340" s="10">
        <f t="shared" si="17"/>
        <v>58.148145365787066</v>
      </c>
      <c r="E340" s="10">
        <f t="shared" si="18"/>
        <v>6349.9812760315745</v>
      </c>
      <c r="F340" s="10">
        <f t="shared" si="19"/>
        <v>6117.3886945684262</v>
      </c>
    </row>
    <row r="341" spans="1:6" s="10" customFormat="1" x14ac:dyDescent="0.3">
      <c r="A341" s="24">
        <v>41655</v>
      </c>
      <c r="B341" s="10">
        <v>6318.8999020000001</v>
      </c>
      <c r="C341" s="10">
        <f t="shared" si="20"/>
        <v>6242.6774901500003</v>
      </c>
      <c r="D341" s="10">
        <f t="shared" ref="D341:D404" si="21">_xlfn.STDEV.S(B322:B341)</f>
        <v>56.629632929264851</v>
      </c>
      <c r="E341" s="10">
        <f t="shared" si="18"/>
        <v>6355.9367560085302</v>
      </c>
      <c r="F341" s="10">
        <f t="shared" si="19"/>
        <v>6129.4182242914703</v>
      </c>
    </row>
    <row r="342" spans="1:6" s="10" customFormat="1" x14ac:dyDescent="0.3">
      <c r="A342" s="24">
        <v>41656</v>
      </c>
      <c r="B342" s="10">
        <v>6261.6499020000001</v>
      </c>
      <c r="C342" s="10">
        <f t="shared" si="20"/>
        <v>6244.9024901499997</v>
      </c>
      <c r="D342" s="10">
        <f t="shared" si="21"/>
        <v>56.447774345669245</v>
      </c>
      <c r="E342" s="10">
        <f t="shared" ref="E342:E405" si="22">C342+2*D342</f>
        <v>6357.798038841338</v>
      </c>
      <c r="F342" s="10">
        <f t="shared" ref="F342:F405" si="23">C342-2*D342</f>
        <v>6132.0069414586615</v>
      </c>
    </row>
    <row r="343" spans="1:6" s="10" customFormat="1" x14ac:dyDescent="0.3">
      <c r="A343" s="24">
        <v>41659</v>
      </c>
      <c r="B343" s="10">
        <v>6303.9501950000003</v>
      </c>
      <c r="C343" s="10">
        <f t="shared" si="20"/>
        <v>6251.7675047999992</v>
      </c>
      <c r="D343" s="10">
        <f t="shared" si="21"/>
        <v>54.753643818181409</v>
      </c>
      <c r="E343" s="10">
        <f t="shared" si="22"/>
        <v>6361.2747924363621</v>
      </c>
      <c r="F343" s="10">
        <f t="shared" si="23"/>
        <v>6142.2602171636363</v>
      </c>
    </row>
    <row r="344" spans="1:6" s="10" customFormat="1" x14ac:dyDescent="0.3">
      <c r="A344" s="24">
        <v>41660</v>
      </c>
      <c r="B344" s="10">
        <v>6313.7998049999997</v>
      </c>
      <c r="C344" s="10">
        <f t="shared" si="20"/>
        <v>6253.7449950499995</v>
      </c>
      <c r="D344" s="10">
        <f t="shared" si="21"/>
        <v>56.300697873540081</v>
      </c>
      <c r="E344" s="10">
        <f t="shared" si="22"/>
        <v>6366.3463907970799</v>
      </c>
      <c r="F344" s="10">
        <f t="shared" si="23"/>
        <v>6141.143599302919</v>
      </c>
    </row>
    <row r="345" spans="1:6" s="10" customFormat="1" x14ac:dyDescent="0.3">
      <c r="A345" s="24">
        <v>41661</v>
      </c>
      <c r="B345" s="10">
        <v>6338.9501950000003</v>
      </c>
      <c r="C345" s="10">
        <f t="shared" si="20"/>
        <v>6256.4675047999999</v>
      </c>
      <c r="D345" s="10">
        <f t="shared" si="21"/>
        <v>59.112478699586944</v>
      </c>
      <c r="E345" s="10">
        <f t="shared" si="22"/>
        <v>6374.6924621991739</v>
      </c>
      <c r="F345" s="10">
        <f t="shared" si="23"/>
        <v>6138.242547400826</v>
      </c>
    </row>
    <row r="346" spans="1:6" s="10" customFormat="1" x14ac:dyDescent="0.3">
      <c r="A346" s="24">
        <v>41662</v>
      </c>
      <c r="B346" s="10">
        <v>6345.6499020000001</v>
      </c>
      <c r="C346" s="10">
        <f t="shared" si="20"/>
        <v>6260.3300048000001</v>
      </c>
      <c r="D346" s="10">
        <f t="shared" si="21"/>
        <v>62.367399279369337</v>
      </c>
      <c r="E346" s="10">
        <f t="shared" si="22"/>
        <v>6385.0648033587386</v>
      </c>
      <c r="F346" s="10">
        <f t="shared" si="23"/>
        <v>6135.5952062412616</v>
      </c>
    </row>
    <row r="347" spans="1:6" s="10" customFormat="1" x14ac:dyDescent="0.3">
      <c r="A347" s="24">
        <v>41663</v>
      </c>
      <c r="B347" s="10">
        <v>6266.75</v>
      </c>
      <c r="C347" s="10">
        <f t="shared" si="20"/>
        <v>6259.722509700001</v>
      </c>
      <c r="D347" s="10">
        <f t="shared" si="21"/>
        <v>62.236032723898141</v>
      </c>
      <c r="E347" s="10">
        <f t="shared" si="22"/>
        <v>6384.194575147797</v>
      </c>
      <c r="F347" s="10">
        <f t="shared" si="23"/>
        <v>6135.2504442522049</v>
      </c>
    </row>
    <row r="348" spans="1:6" s="10" customFormat="1" x14ac:dyDescent="0.3">
      <c r="A348" s="24">
        <v>41666</v>
      </c>
      <c r="B348" s="10">
        <v>6135.8500979999999</v>
      </c>
      <c r="C348" s="10">
        <f t="shared" si="20"/>
        <v>6250.8250243500006</v>
      </c>
      <c r="D348" s="10">
        <f t="shared" si="21"/>
        <v>66.660912249720568</v>
      </c>
      <c r="E348" s="10">
        <f t="shared" si="22"/>
        <v>6384.146848849442</v>
      </c>
      <c r="F348" s="10">
        <f t="shared" si="23"/>
        <v>6117.5031998505592</v>
      </c>
    </row>
    <row r="349" spans="1:6" s="10" customFormat="1" x14ac:dyDescent="0.3">
      <c r="A349" s="24">
        <v>41667</v>
      </c>
      <c r="B349" s="10">
        <v>6126.25</v>
      </c>
      <c r="C349" s="10">
        <f t="shared" si="20"/>
        <v>6242.5825194500012</v>
      </c>
      <c r="D349" s="10">
        <f t="shared" si="21"/>
        <v>71.439317131134629</v>
      </c>
      <c r="E349" s="10">
        <f t="shared" si="22"/>
        <v>6385.4611537122701</v>
      </c>
      <c r="F349" s="10">
        <f t="shared" si="23"/>
        <v>6099.7038851877323</v>
      </c>
    </row>
    <row r="350" spans="1:6" s="10" customFormat="1" x14ac:dyDescent="0.3">
      <c r="A350" s="24">
        <v>41668</v>
      </c>
      <c r="B350" s="10">
        <v>6120.25</v>
      </c>
      <c r="C350" s="10">
        <f t="shared" si="20"/>
        <v>6233.3950194500003</v>
      </c>
      <c r="D350" s="10">
        <f t="shared" si="21"/>
        <v>74.858772253936777</v>
      </c>
      <c r="E350" s="10">
        <f t="shared" si="22"/>
        <v>6383.112563957874</v>
      </c>
      <c r="F350" s="10">
        <f t="shared" si="23"/>
        <v>6083.6774749421265</v>
      </c>
    </row>
    <row r="351" spans="1:6" s="10" customFormat="1" x14ac:dyDescent="0.3">
      <c r="A351" s="24">
        <v>41669</v>
      </c>
      <c r="B351" s="10">
        <v>6073.7001950000003</v>
      </c>
      <c r="C351" s="10">
        <f t="shared" si="20"/>
        <v>6226.0225340999996</v>
      </c>
      <c r="D351" s="10">
        <f t="shared" si="21"/>
        <v>82.951572154132052</v>
      </c>
      <c r="E351" s="10">
        <f t="shared" si="22"/>
        <v>6391.9256784082636</v>
      </c>
      <c r="F351" s="10">
        <f t="shared" si="23"/>
        <v>6060.1193897917356</v>
      </c>
    </row>
    <row r="352" spans="1:6" s="10" customFormat="1" x14ac:dyDescent="0.3">
      <c r="A352" s="24">
        <v>41670</v>
      </c>
      <c r="B352" s="10">
        <v>6089.5</v>
      </c>
      <c r="C352" s="10">
        <f t="shared" si="20"/>
        <v>6219.9400389999992</v>
      </c>
      <c r="D352" s="10">
        <f t="shared" si="21"/>
        <v>88.381819794235781</v>
      </c>
      <c r="E352" s="10">
        <f t="shared" si="22"/>
        <v>6396.7036785884711</v>
      </c>
      <c r="F352" s="10">
        <f t="shared" si="23"/>
        <v>6043.1763994115272</v>
      </c>
    </row>
    <row r="353" spans="1:6" s="10" customFormat="1" x14ac:dyDescent="0.3">
      <c r="A353" s="24">
        <v>41673</v>
      </c>
      <c r="B353" s="10">
        <v>6001.7998049999997</v>
      </c>
      <c r="C353" s="10">
        <f t="shared" si="20"/>
        <v>6210.4575194999989</v>
      </c>
      <c r="D353" s="10">
        <f t="shared" si="21"/>
        <v>100.88834429828786</v>
      </c>
      <c r="E353" s="10">
        <f t="shared" si="22"/>
        <v>6412.2342080965745</v>
      </c>
      <c r="F353" s="10">
        <f t="shared" si="23"/>
        <v>6008.6808309034232</v>
      </c>
    </row>
    <row r="354" spans="1:6" s="10" customFormat="1" x14ac:dyDescent="0.3">
      <c r="A354" s="24">
        <v>41674</v>
      </c>
      <c r="B354" s="10">
        <v>6000.8999020000001</v>
      </c>
      <c r="C354" s="10">
        <f t="shared" si="20"/>
        <v>6202.3900145999996</v>
      </c>
      <c r="D354" s="10">
        <f t="shared" si="21"/>
        <v>110.90048637818704</v>
      </c>
      <c r="E354" s="10">
        <f t="shared" si="22"/>
        <v>6424.1909873563736</v>
      </c>
      <c r="F354" s="10">
        <f t="shared" si="23"/>
        <v>5980.5890418436256</v>
      </c>
    </row>
    <row r="355" spans="1:6" s="10" customFormat="1" x14ac:dyDescent="0.3">
      <c r="A355" s="24">
        <v>41675</v>
      </c>
      <c r="B355" s="10">
        <v>6022.3999020000001</v>
      </c>
      <c r="C355" s="10">
        <f t="shared" si="20"/>
        <v>6194.7800047999999</v>
      </c>
      <c r="D355" s="10">
        <f t="shared" si="21"/>
        <v>117.90838456982614</v>
      </c>
      <c r="E355" s="10">
        <f t="shared" si="22"/>
        <v>6430.5967739396519</v>
      </c>
      <c r="F355" s="10">
        <f t="shared" si="23"/>
        <v>5958.9632356603479</v>
      </c>
    </row>
    <row r="356" spans="1:6" s="10" customFormat="1" x14ac:dyDescent="0.3">
      <c r="A356" s="24">
        <v>41676</v>
      </c>
      <c r="B356" s="10">
        <v>6036.2998049999997</v>
      </c>
      <c r="C356" s="10">
        <f t="shared" si="20"/>
        <v>6188.1774901500003</v>
      </c>
      <c r="D356" s="10">
        <f t="shared" si="21"/>
        <v>123.05132126722282</v>
      </c>
      <c r="E356" s="10">
        <f t="shared" si="22"/>
        <v>6434.2801326844456</v>
      </c>
      <c r="F356" s="10">
        <f t="shared" si="23"/>
        <v>5942.074847615555</v>
      </c>
    </row>
    <row r="357" spans="1:6" s="10" customFormat="1" x14ac:dyDescent="0.3">
      <c r="A357" s="24">
        <v>41677</v>
      </c>
      <c r="B357" s="10">
        <v>6063.2001950000003</v>
      </c>
      <c r="C357" s="10">
        <f t="shared" si="20"/>
        <v>6182.7649901499999</v>
      </c>
      <c r="D357" s="10">
        <f t="shared" si="21"/>
        <v>126.16708729666288</v>
      </c>
      <c r="E357" s="10">
        <f t="shared" si="22"/>
        <v>6435.0991647433257</v>
      </c>
      <c r="F357" s="10">
        <f t="shared" si="23"/>
        <v>5930.4308155566741</v>
      </c>
    </row>
    <row r="358" spans="1:6" s="10" customFormat="1" x14ac:dyDescent="0.3">
      <c r="A358" s="24">
        <v>41680</v>
      </c>
      <c r="B358" s="10">
        <v>6053.4501950000003</v>
      </c>
      <c r="C358" s="10">
        <f t="shared" si="20"/>
        <v>6171.7999999000003</v>
      </c>
      <c r="D358" s="10">
        <f t="shared" si="21"/>
        <v>127.45792668973701</v>
      </c>
      <c r="E358" s="10">
        <f t="shared" si="22"/>
        <v>6426.7158532794747</v>
      </c>
      <c r="F358" s="10">
        <f t="shared" si="23"/>
        <v>5916.884146520526</v>
      </c>
    </row>
    <row r="359" spans="1:6" s="10" customFormat="1" x14ac:dyDescent="0.3">
      <c r="A359" s="24">
        <v>41681</v>
      </c>
      <c r="B359" s="10">
        <v>6062.7001950000003</v>
      </c>
      <c r="C359" s="10">
        <f t="shared" si="20"/>
        <v>6162.8425047500004</v>
      </c>
      <c r="D359" s="10">
        <f t="shared" si="21"/>
        <v>128.56617285376799</v>
      </c>
      <c r="E359" s="10">
        <f t="shared" si="22"/>
        <v>6419.9748504575364</v>
      </c>
      <c r="F359" s="10">
        <f t="shared" si="23"/>
        <v>5905.7101590424645</v>
      </c>
    </row>
    <row r="360" spans="1:6" s="10" customFormat="1" x14ac:dyDescent="0.3">
      <c r="A360" s="24">
        <v>41682</v>
      </c>
      <c r="B360" s="10">
        <v>6084</v>
      </c>
      <c r="C360" s="10">
        <f t="shared" si="20"/>
        <v>6150.9975096500002</v>
      </c>
      <c r="D360" s="10">
        <f t="shared" si="21"/>
        <v>124.07210908314636</v>
      </c>
      <c r="E360" s="10">
        <f t="shared" si="22"/>
        <v>6399.1417278162926</v>
      </c>
      <c r="F360" s="10">
        <f t="shared" si="23"/>
        <v>5902.8532914837078</v>
      </c>
    </row>
    <row r="361" spans="1:6" s="10" customFormat="1" x14ac:dyDescent="0.3">
      <c r="A361" s="24">
        <v>41683</v>
      </c>
      <c r="B361" s="10">
        <v>6001.1000979999999</v>
      </c>
      <c r="C361" s="10">
        <f t="shared" si="20"/>
        <v>6135.1075194499999</v>
      </c>
      <c r="D361" s="10">
        <f t="shared" si="21"/>
        <v>121.76596657130894</v>
      </c>
      <c r="E361" s="10">
        <f t="shared" si="22"/>
        <v>6378.639452592618</v>
      </c>
      <c r="F361" s="10">
        <f t="shared" si="23"/>
        <v>5891.5755863073819</v>
      </c>
    </row>
    <row r="362" spans="1:6" s="10" customFormat="1" x14ac:dyDescent="0.3">
      <c r="A362" s="24">
        <v>41684</v>
      </c>
      <c r="B362" s="10">
        <v>6048.3500979999999</v>
      </c>
      <c r="C362" s="10">
        <f t="shared" si="20"/>
        <v>6124.44252925</v>
      </c>
      <c r="D362" s="10">
        <f t="shared" si="21"/>
        <v>119.41768734412349</v>
      </c>
      <c r="E362" s="10">
        <f t="shared" si="22"/>
        <v>6363.2779039382467</v>
      </c>
      <c r="F362" s="10">
        <f t="shared" si="23"/>
        <v>5885.6071545617533</v>
      </c>
    </row>
    <row r="363" spans="1:6" s="10" customFormat="1" x14ac:dyDescent="0.3">
      <c r="A363" s="24">
        <v>41687</v>
      </c>
      <c r="B363" s="10">
        <v>6073.2998049999997</v>
      </c>
      <c r="C363" s="10">
        <f t="shared" si="20"/>
        <v>6112.9100097499995</v>
      </c>
      <c r="D363" s="10">
        <f t="shared" si="21"/>
        <v>112.0816650159249</v>
      </c>
      <c r="E363" s="10">
        <f t="shared" si="22"/>
        <v>6337.0733397818494</v>
      </c>
      <c r="F363" s="10">
        <f t="shared" si="23"/>
        <v>5888.7466797181496</v>
      </c>
    </row>
    <row r="364" spans="1:6" s="10" customFormat="1" x14ac:dyDescent="0.3">
      <c r="A364" s="24">
        <v>41688</v>
      </c>
      <c r="B364" s="10">
        <v>6127.1000979999999</v>
      </c>
      <c r="C364" s="10">
        <f t="shared" si="20"/>
        <v>6103.5750243999992</v>
      </c>
      <c r="D364" s="10">
        <f t="shared" si="21"/>
        <v>101.76999422365166</v>
      </c>
      <c r="E364" s="10">
        <f t="shared" si="22"/>
        <v>6307.1150128473028</v>
      </c>
      <c r="F364" s="10">
        <f t="shared" si="23"/>
        <v>5900.0350359526956</v>
      </c>
    </row>
    <row r="365" spans="1:6" s="10" customFormat="1" x14ac:dyDescent="0.3">
      <c r="A365" s="24">
        <v>41689</v>
      </c>
      <c r="B365" s="10">
        <v>6152.75</v>
      </c>
      <c r="C365" s="10">
        <f t="shared" si="20"/>
        <v>6094.2650146499991</v>
      </c>
      <c r="D365" s="10">
        <f t="shared" si="21"/>
        <v>86.471377808144723</v>
      </c>
      <c r="E365" s="10">
        <f t="shared" si="22"/>
        <v>6267.2077702662882</v>
      </c>
      <c r="F365" s="10">
        <f t="shared" si="23"/>
        <v>5921.32225903371</v>
      </c>
    </row>
    <row r="366" spans="1:6" s="10" customFormat="1" x14ac:dyDescent="0.3">
      <c r="A366" s="24">
        <v>41690</v>
      </c>
      <c r="B366" s="10">
        <v>6091.4501950000003</v>
      </c>
      <c r="C366" s="10">
        <f t="shared" si="20"/>
        <v>6081.5550292999997</v>
      </c>
      <c r="D366" s="10">
        <f t="shared" si="21"/>
        <v>63.100325918953388</v>
      </c>
      <c r="E366" s="10">
        <f t="shared" si="22"/>
        <v>6207.7556811379063</v>
      </c>
      <c r="F366" s="10">
        <f t="shared" si="23"/>
        <v>5955.354377462093</v>
      </c>
    </row>
    <row r="367" spans="1:6" s="10" customFormat="1" x14ac:dyDescent="0.3">
      <c r="A367" s="24">
        <v>41691</v>
      </c>
      <c r="B367" s="10">
        <v>6155.4501950000003</v>
      </c>
      <c r="C367" s="10">
        <f t="shared" si="20"/>
        <v>6075.9900390499988</v>
      </c>
      <c r="D367" s="10">
        <f t="shared" si="21"/>
        <v>49.30853854855345</v>
      </c>
      <c r="E367" s="10">
        <f t="shared" si="22"/>
        <v>6174.6071161471054</v>
      </c>
      <c r="F367" s="10">
        <f t="shared" si="23"/>
        <v>5977.3729619528922</v>
      </c>
    </row>
    <row r="368" spans="1:6" s="10" customFormat="1" x14ac:dyDescent="0.3">
      <c r="A368" s="24">
        <v>41694</v>
      </c>
      <c r="B368" s="10">
        <v>6186.1000979999999</v>
      </c>
      <c r="C368" s="10">
        <f t="shared" si="20"/>
        <v>6078.5025390499986</v>
      </c>
      <c r="D368" s="10">
        <f t="shared" si="21"/>
        <v>53.611690006429527</v>
      </c>
      <c r="E368" s="10">
        <f t="shared" si="22"/>
        <v>6185.7259190628574</v>
      </c>
      <c r="F368" s="10">
        <f t="shared" si="23"/>
        <v>5971.2791590371398</v>
      </c>
    </row>
    <row r="369" spans="1:6" s="10" customFormat="1" x14ac:dyDescent="0.3">
      <c r="A369" s="24">
        <v>41695</v>
      </c>
      <c r="B369" s="10">
        <v>6200.0498049999997</v>
      </c>
      <c r="C369" s="10">
        <f t="shared" si="20"/>
        <v>6082.1925292999995</v>
      </c>
      <c r="D369" s="10">
        <f t="shared" si="21"/>
        <v>59.308138286592801</v>
      </c>
      <c r="E369" s="10">
        <f t="shared" si="22"/>
        <v>6200.8088058731855</v>
      </c>
      <c r="F369" s="10">
        <f t="shared" si="23"/>
        <v>5963.5762527268134</v>
      </c>
    </row>
    <row r="370" spans="1:6" s="10" customFormat="1" x14ac:dyDescent="0.3">
      <c r="A370" s="24">
        <v>41696</v>
      </c>
      <c r="B370" s="10">
        <v>6238.7998049999997</v>
      </c>
      <c r="C370" s="10">
        <f t="shared" si="20"/>
        <v>6088.1200195499996</v>
      </c>
      <c r="D370" s="10">
        <f t="shared" si="21"/>
        <v>68.520613489368102</v>
      </c>
      <c r="E370" s="10">
        <f t="shared" si="22"/>
        <v>6225.1612465287362</v>
      </c>
      <c r="F370" s="10">
        <f t="shared" si="23"/>
        <v>5951.078792571263</v>
      </c>
    </row>
    <row r="371" spans="1:6" s="10" customFormat="1" x14ac:dyDescent="0.3">
      <c r="A371" s="24">
        <v>41698</v>
      </c>
      <c r="B371" s="10">
        <v>6276.9501950000003</v>
      </c>
      <c r="C371" s="10">
        <f t="shared" ref="C371:C434" si="24">AVERAGE(B352:B371)</f>
        <v>6098.2825195499991</v>
      </c>
      <c r="D371" s="10">
        <f t="shared" si="21"/>
        <v>80.324929171477038</v>
      </c>
      <c r="E371" s="10">
        <f t="shared" si="22"/>
        <v>6258.9323778929529</v>
      </c>
      <c r="F371" s="10">
        <f t="shared" si="23"/>
        <v>5937.6326612070452</v>
      </c>
    </row>
    <row r="372" spans="1:6" s="10" customFormat="1" x14ac:dyDescent="0.3">
      <c r="A372" s="24">
        <v>41701</v>
      </c>
      <c r="B372" s="10">
        <v>6221.4501950000003</v>
      </c>
      <c r="C372" s="10">
        <f t="shared" si="24"/>
        <v>6104.8800292999995</v>
      </c>
      <c r="D372" s="10">
        <f t="shared" si="21"/>
        <v>84.85665672171011</v>
      </c>
      <c r="E372" s="10">
        <f t="shared" si="22"/>
        <v>6274.5933427434193</v>
      </c>
      <c r="F372" s="10">
        <f t="shared" si="23"/>
        <v>5935.1667158565797</v>
      </c>
    </row>
    <row r="373" spans="1:6" s="10" customFormat="1" x14ac:dyDescent="0.3">
      <c r="A373" s="24">
        <v>41702</v>
      </c>
      <c r="B373" s="10">
        <v>6297.9501950000003</v>
      </c>
      <c r="C373" s="10">
        <f t="shared" si="24"/>
        <v>6119.6875487999996</v>
      </c>
      <c r="D373" s="10">
        <f t="shared" si="21"/>
        <v>91.501422242776442</v>
      </c>
      <c r="E373" s="10">
        <f t="shared" si="22"/>
        <v>6302.6903932855521</v>
      </c>
      <c r="F373" s="10">
        <f t="shared" si="23"/>
        <v>5936.6847043144471</v>
      </c>
    </row>
    <row r="374" spans="1:6" s="10" customFormat="1" x14ac:dyDescent="0.3">
      <c r="A374" s="24">
        <v>41703</v>
      </c>
      <c r="B374" s="10">
        <v>6328.6499020000001</v>
      </c>
      <c r="C374" s="10">
        <f t="shared" si="24"/>
        <v>6136.0750487999994</v>
      </c>
      <c r="D374" s="10">
        <f t="shared" si="21"/>
        <v>98.210689758553599</v>
      </c>
      <c r="E374" s="10">
        <f t="shared" si="22"/>
        <v>6332.4964283171066</v>
      </c>
      <c r="F374" s="10">
        <f t="shared" si="23"/>
        <v>5939.6536692828922</v>
      </c>
    </row>
    <row r="375" spans="1:6" s="10" customFormat="1" x14ac:dyDescent="0.3">
      <c r="A375" s="24">
        <v>41704</v>
      </c>
      <c r="B375" s="10">
        <v>6401.1499020000001</v>
      </c>
      <c r="C375" s="10">
        <f t="shared" si="24"/>
        <v>6155.0125488000003</v>
      </c>
      <c r="D375" s="10">
        <f t="shared" si="21"/>
        <v>110.84163970281548</v>
      </c>
      <c r="E375" s="10">
        <f t="shared" si="22"/>
        <v>6376.6958282056312</v>
      </c>
      <c r="F375" s="10">
        <f t="shared" si="23"/>
        <v>5933.3292693943695</v>
      </c>
    </row>
    <row r="376" spans="1:6" s="10" customFormat="1" x14ac:dyDescent="0.3">
      <c r="A376" s="24">
        <v>41705</v>
      </c>
      <c r="B376" s="10">
        <v>6526.6499020000001</v>
      </c>
      <c r="C376" s="10">
        <f t="shared" si="24"/>
        <v>6179.5300536500008</v>
      </c>
      <c r="D376" s="10">
        <f t="shared" si="21"/>
        <v>134.83536913384566</v>
      </c>
      <c r="E376" s="10">
        <f t="shared" si="22"/>
        <v>6449.2007919176922</v>
      </c>
      <c r="F376" s="10">
        <f t="shared" si="23"/>
        <v>5909.8593153823094</v>
      </c>
    </row>
    <row r="377" spans="1:6" s="10" customFormat="1" x14ac:dyDescent="0.3">
      <c r="A377" s="24">
        <v>41708</v>
      </c>
      <c r="B377" s="10">
        <v>6537.25</v>
      </c>
      <c r="C377" s="10">
        <f t="shared" si="24"/>
        <v>6203.2325439000006</v>
      </c>
      <c r="D377" s="10">
        <f t="shared" si="21"/>
        <v>153.66157649743067</v>
      </c>
      <c r="E377" s="10">
        <f t="shared" si="22"/>
        <v>6510.5556968948622</v>
      </c>
      <c r="F377" s="10">
        <f t="shared" si="23"/>
        <v>5895.9093909051389</v>
      </c>
    </row>
    <row r="378" spans="1:6" s="10" customFormat="1" x14ac:dyDescent="0.3">
      <c r="A378" s="24">
        <v>41709</v>
      </c>
      <c r="B378" s="10">
        <v>6511.8999020000001</v>
      </c>
      <c r="C378" s="10">
        <f t="shared" si="24"/>
        <v>6226.1550292500006</v>
      </c>
      <c r="D378" s="10">
        <f t="shared" si="21"/>
        <v>163.98936117030536</v>
      </c>
      <c r="E378" s="10">
        <f t="shared" si="22"/>
        <v>6554.1337515906116</v>
      </c>
      <c r="F378" s="10">
        <f t="shared" si="23"/>
        <v>5898.1763069093895</v>
      </c>
    </row>
    <row r="379" spans="1:6" s="10" customFormat="1" x14ac:dyDescent="0.3">
      <c r="A379" s="24">
        <v>41710</v>
      </c>
      <c r="B379" s="10">
        <v>6516.8999020000001</v>
      </c>
      <c r="C379" s="10">
        <f t="shared" si="24"/>
        <v>6248.8650146000009</v>
      </c>
      <c r="D379" s="10">
        <f t="shared" si="21"/>
        <v>171.44247623015633</v>
      </c>
      <c r="E379" s="10">
        <f t="shared" si="22"/>
        <v>6591.7499670603138</v>
      </c>
      <c r="F379" s="10">
        <f t="shared" si="23"/>
        <v>5905.980062139688</v>
      </c>
    </row>
    <row r="380" spans="1:6" s="10" customFormat="1" x14ac:dyDescent="0.3">
      <c r="A380" s="24">
        <v>41711</v>
      </c>
      <c r="B380" s="10">
        <v>6493.1000979999999</v>
      </c>
      <c r="C380" s="10">
        <f t="shared" si="24"/>
        <v>6269.3200195000009</v>
      </c>
      <c r="D380" s="10">
        <f t="shared" si="21"/>
        <v>175.10299057799531</v>
      </c>
      <c r="E380" s="10">
        <f t="shared" si="22"/>
        <v>6619.5260006559911</v>
      </c>
      <c r="F380" s="10">
        <f t="shared" si="23"/>
        <v>5919.1140383440106</v>
      </c>
    </row>
    <row r="381" spans="1:6" s="10" customFormat="1" x14ac:dyDescent="0.3">
      <c r="A381" s="24">
        <v>41712</v>
      </c>
      <c r="B381" s="10">
        <v>6504.2001950000003</v>
      </c>
      <c r="C381" s="10">
        <f t="shared" si="24"/>
        <v>6294.4750243500011</v>
      </c>
      <c r="D381" s="10">
        <f t="shared" si="21"/>
        <v>170.62291048285508</v>
      </c>
      <c r="E381" s="10">
        <f t="shared" si="22"/>
        <v>6635.7208453157109</v>
      </c>
      <c r="F381" s="10">
        <f t="shared" si="23"/>
        <v>5953.2292033842914</v>
      </c>
    </row>
    <row r="382" spans="1:6" s="10" customFormat="1" x14ac:dyDescent="0.3">
      <c r="A382" s="24">
        <v>41716</v>
      </c>
      <c r="B382" s="10">
        <v>6516.6499020000001</v>
      </c>
      <c r="C382" s="10">
        <f t="shared" si="24"/>
        <v>6317.8900145500011</v>
      </c>
      <c r="D382" s="10">
        <f t="shared" si="21"/>
        <v>167.16684631290485</v>
      </c>
      <c r="E382" s="10">
        <f t="shared" si="22"/>
        <v>6652.2237071758109</v>
      </c>
      <c r="F382" s="10">
        <f t="shared" si="23"/>
        <v>5983.5563219241913</v>
      </c>
    </row>
    <row r="383" spans="1:6" s="10" customFormat="1" x14ac:dyDescent="0.3">
      <c r="A383" s="24">
        <v>41717</v>
      </c>
      <c r="B383" s="10">
        <v>6524.0498049999997</v>
      </c>
      <c r="C383" s="10">
        <f t="shared" si="24"/>
        <v>6340.4275145500014</v>
      </c>
      <c r="D383" s="10">
        <f t="shared" si="21"/>
        <v>162.78320197889283</v>
      </c>
      <c r="E383" s="10">
        <f t="shared" si="22"/>
        <v>6665.9939185077874</v>
      </c>
      <c r="F383" s="10">
        <f t="shared" si="23"/>
        <v>6014.8611105922155</v>
      </c>
    </row>
    <row r="384" spans="1:6" s="10" customFormat="1" x14ac:dyDescent="0.3">
      <c r="A384" s="24">
        <v>41718</v>
      </c>
      <c r="B384" s="10">
        <v>6483.1000979999999</v>
      </c>
      <c r="C384" s="10">
        <f t="shared" si="24"/>
        <v>6358.2275145500007</v>
      </c>
      <c r="D384" s="10">
        <f t="shared" si="21"/>
        <v>157.61029980702054</v>
      </c>
      <c r="E384" s="10">
        <f t="shared" si="22"/>
        <v>6673.4481141640417</v>
      </c>
      <c r="F384" s="10">
        <f t="shared" si="23"/>
        <v>6043.0069149359597</v>
      </c>
    </row>
    <row r="385" spans="1:6" s="10" customFormat="1" x14ac:dyDescent="0.3">
      <c r="A385" s="24">
        <v>41719</v>
      </c>
      <c r="B385" s="10">
        <v>6493.2001950000003</v>
      </c>
      <c r="C385" s="10">
        <f t="shared" si="24"/>
        <v>6375.2500242999995</v>
      </c>
      <c r="D385" s="10">
        <f t="shared" si="21"/>
        <v>152.5537738183792</v>
      </c>
      <c r="E385" s="10">
        <f t="shared" si="22"/>
        <v>6680.3575719367582</v>
      </c>
      <c r="F385" s="10">
        <f t="shared" si="23"/>
        <v>6070.1424766632408</v>
      </c>
    </row>
    <row r="386" spans="1:6" s="10" customFormat="1" x14ac:dyDescent="0.3">
      <c r="A386" s="24">
        <v>41722</v>
      </c>
      <c r="B386" s="10">
        <v>6583.5</v>
      </c>
      <c r="C386" s="10">
        <f t="shared" si="24"/>
        <v>6399.8525145499998</v>
      </c>
      <c r="D386" s="10">
        <f t="shared" si="21"/>
        <v>143.8018525165553</v>
      </c>
      <c r="E386" s="10">
        <f t="shared" si="22"/>
        <v>6687.4562195831104</v>
      </c>
      <c r="F386" s="10">
        <f t="shared" si="23"/>
        <v>6112.2488095168892</v>
      </c>
    </row>
    <row r="387" spans="1:6" s="10" customFormat="1" x14ac:dyDescent="0.3">
      <c r="A387" s="24">
        <v>41723</v>
      </c>
      <c r="B387" s="10">
        <v>6589.75</v>
      </c>
      <c r="C387" s="10">
        <f t="shared" si="24"/>
        <v>6421.5675047999994</v>
      </c>
      <c r="D387" s="10">
        <f t="shared" si="21"/>
        <v>137.61086020949193</v>
      </c>
      <c r="E387" s="10">
        <f t="shared" si="22"/>
        <v>6696.7892252189831</v>
      </c>
      <c r="F387" s="10">
        <f t="shared" si="23"/>
        <v>6146.3457843810156</v>
      </c>
    </row>
    <row r="388" spans="1:6" s="10" customFormat="1" x14ac:dyDescent="0.3">
      <c r="A388" s="24">
        <v>41724</v>
      </c>
      <c r="B388" s="10">
        <v>6601.3999020000001</v>
      </c>
      <c r="C388" s="10">
        <f t="shared" si="24"/>
        <v>6442.3324949999997</v>
      </c>
      <c r="D388" s="10">
        <f t="shared" si="21"/>
        <v>131.40322097345819</v>
      </c>
      <c r="E388" s="10">
        <f t="shared" si="22"/>
        <v>6705.1389369469161</v>
      </c>
      <c r="F388" s="10">
        <f t="shared" si="23"/>
        <v>6179.5260530530832</v>
      </c>
    </row>
    <row r="389" spans="1:6" s="10" customFormat="1" x14ac:dyDescent="0.3">
      <c r="A389" s="24">
        <v>41725</v>
      </c>
      <c r="B389" s="10">
        <v>6641.75</v>
      </c>
      <c r="C389" s="10">
        <f t="shared" si="24"/>
        <v>6464.4175047500003</v>
      </c>
      <c r="D389" s="10">
        <f t="shared" si="21"/>
        <v>125.52643032139883</v>
      </c>
      <c r="E389" s="10">
        <f t="shared" si="22"/>
        <v>6715.4703653927982</v>
      </c>
      <c r="F389" s="10">
        <f t="shared" si="23"/>
        <v>6213.3646441072024</v>
      </c>
    </row>
    <row r="390" spans="1:6" s="10" customFormat="1" x14ac:dyDescent="0.3">
      <c r="A390" s="24">
        <v>41726</v>
      </c>
      <c r="B390" s="10">
        <v>6695.8999020000001</v>
      </c>
      <c r="C390" s="10">
        <f t="shared" si="24"/>
        <v>6487.2725096000004</v>
      </c>
      <c r="D390" s="10">
        <f t="shared" si="21"/>
        <v>123.88758451402667</v>
      </c>
      <c r="E390" s="10">
        <f t="shared" si="22"/>
        <v>6735.0476786280533</v>
      </c>
      <c r="F390" s="10">
        <f t="shared" si="23"/>
        <v>6239.4973405719475</v>
      </c>
    </row>
    <row r="391" spans="1:6" s="10" customFormat="1" x14ac:dyDescent="0.3">
      <c r="A391" s="24">
        <v>41729</v>
      </c>
      <c r="B391" s="10">
        <v>6704.2001950000003</v>
      </c>
      <c r="C391" s="10">
        <f t="shared" si="24"/>
        <v>6508.6350096000006</v>
      </c>
      <c r="D391" s="10">
        <f t="shared" si="21"/>
        <v>122.54098237925442</v>
      </c>
      <c r="E391" s="10">
        <f t="shared" si="22"/>
        <v>6753.7169743585091</v>
      </c>
      <c r="F391" s="10">
        <f t="shared" si="23"/>
        <v>6263.553044841492</v>
      </c>
    </row>
    <row r="392" spans="1:6" s="10" customFormat="1" x14ac:dyDescent="0.3">
      <c r="A392" s="24">
        <v>41730</v>
      </c>
      <c r="B392" s="10">
        <v>6721.0498049999997</v>
      </c>
      <c r="C392" s="10">
        <f t="shared" si="24"/>
        <v>6533.6149900999999</v>
      </c>
      <c r="D392" s="10">
        <f t="shared" si="21"/>
        <v>111.32562336614674</v>
      </c>
      <c r="E392" s="10">
        <f t="shared" si="22"/>
        <v>6756.2662368322935</v>
      </c>
      <c r="F392" s="10">
        <f t="shared" si="23"/>
        <v>6310.9637433677062</v>
      </c>
    </row>
    <row r="393" spans="1:6" s="10" customFormat="1" x14ac:dyDescent="0.3">
      <c r="A393" s="24">
        <v>41731</v>
      </c>
      <c r="B393" s="10">
        <v>6752.5498049999997</v>
      </c>
      <c r="C393" s="10">
        <f t="shared" si="24"/>
        <v>6556.3449706000001</v>
      </c>
      <c r="D393" s="10">
        <f t="shared" si="21"/>
        <v>107.00123245589441</v>
      </c>
      <c r="E393" s="10">
        <f t="shared" si="22"/>
        <v>6770.3474355117887</v>
      </c>
      <c r="F393" s="10">
        <f t="shared" si="23"/>
        <v>6342.3425056882115</v>
      </c>
    </row>
    <row r="394" spans="1:6" s="10" customFormat="1" x14ac:dyDescent="0.3">
      <c r="A394" s="24">
        <v>41732</v>
      </c>
      <c r="B394" s="10">
        <v>6736.1000979999999</v>
      </c>
      <c r="C394" s="10">
        <f t="shared" si="24"/>
        <v>6576.7174804000006</v>
      </c>
      <c r="D394" s="10">
        <f t="shared" si="21"/>
        <v>99.92157178332053</v>
      </c>
      <c r="E394" s="10">
        <f t="shared" si="22"/>
        <v>6776.5606239666413</v>
      </c>
      <c r="F394" s="10">
        <f t="shared" si="23"/>
        <v>6376.8743368333598</v>
      </c>
    </row>
    <row r="395" spans="1:6" s="10" customFormat="1" x14ac:dyDescent="0.3">
      <c r="A395" s="24">
        <v>41733</v>
      </c>
      <c r="B395" s="10">
        <v>6694.3500979999999</v>
      </c>
      <c r="C395" s="10">
        <f t="shared" si="24"/>
        <v>6591.3774902000005</v>
      </c>
      <c r="D395" s="10">
        <f t="shared" si="21"/>
        <v>94.149162177786039</v>
      </c>
      <c r="E395" s="10">
        <f t="shared" si="22"/>
        <v>6779.6758145555723</v>
      </c>
      <c r="F395" s="10">
        <f t="shared" si="23"/>
        <v>6403.0791658444286</v>
      </c>
    </row>
    <row r="396" spans="1:6" s="10" customFormat="1" x14ac:dyDescent="0.3">
      <c r="A396" s="24">
        <v>41736</v>
      </c>
      <c r="B396" s="10">
        <v>6695.0498049999997</v>
      </c>
      <c r="C396" s="10">
        <f t="shared" si="24"/>
        <v>6599.79748535</v>
      </c>
      <c r="D396" s="10">
        <f t="shared" si="21"/>
        <v>95.575154184955679</v>
      </c>
      <c r="E396" s="10">
        <f t="shared" si="22"/>
        <v>6790.9477937199117</v>
      </c>
      <c r="F396" s="10">
        <f t="shared" si="23"/>
        <v>6408.6471769800883</v>
      </c>
    </row>
    <row r="397" spans="1:6" s="10" customFormat="1" x14ac:dyDescent="0.3">
      <c r="A397" s="24">
        <v>41738</v>
      </c>
      <c r="B397" s="10">
        <v>6796.2001950000003</v>
      </c>
      <c r="C397" s="10">
        <f t="shared" si="24"/>
        <v>6612.7449950999999</v>
      </c>
      <c r="D397" s="10">
        <f t="shared" si="21"/>
        <v>103.83860657968717</v>
      </c>
      <c r="E397" s="10">
        <f t="shared" si="22"/>
        <v>6820.4222082593742</v>
      </c>
      <c r="F397" s="10">
        <f t="shared" si="23"/>
        <v>6405.0677819406255</v>
      </c>
    </row>
    <row r="398" spans="1:6" s="10" customFormat="1" x14ac:dyDescent="0.3">
      <c r="A398" s="24">
        <v>41739</v>
      </c>
      <c r="B398" s="10">
        <v>6796.3999020000001</v>
      </c>
      <c r="C398" s="10">
        <f t="shared" si="24"/>
        <v>6626.9699950999984</v>
      </c>
      <c r="D398" s="10">
        <f t="shared" si="21"/>
        <v>108.67117170570123</v>
      </c>
      <c r="E398" s="10">
        <f t="shared" si="22"/>
        <v>6844.3123385114013</v>
      </c>
      <c r="F398" s="10">
        <f t="shared" si="23"/>
        <v>6409.6276516885955</v>
      </c>
    </row>
    <row r="399" spans="1:6" s="10" customFormat="1" x14ac:dyDescent="0.3">
      <c r="A399" s="24">
        <v>41740</v>
      </c>
      <c r="B399" s="10">
        <v>6776.2998049999997</v>
      </c>
      <c r="C399" s="10">
        <f t="shared" si="24"/>
        <v>6639.939990249999</v>
      </c>
      <c r="D399" s="10">
        <f t="shared" si="21"/>
        <v>110.31023211685567</v>
      </c>
      <c r="E399" s="10">
        <f t="shared" si="22"/>
        <v>6860.5604544837106</v>
      </c>
      <c r="F399" s="10">
        <f t="shared" si="23"/>
        <v>6419.3195260162875</v>
      </c>
    </row>
    <row r="400" spans="1:6" s="10" customFormat="1" x14ac:dyDescent="0.3">
      <c r="A400" s="24">
        <v>41744</v>
      </c>
      <c r="B400" s="10">
        <v>6733.1000979999999</v>
      </c>
      <c r="C400" s="10">
        <f t="shared" si="24"/>
        <v>6651.939990249999</v>
      </c>
      <c r="D400" s="10">
        <f t="shared" si="21"/>
        <v>106.48336924852012</v>
      </c>
      <c r="E400" s="10">
        <f t="shared" si="22"/>
        <v>6864.9067287470389</v>
      </c>
      <c r="F400" s="10">
        <f t="shared" si="23"/>
        <v>6438.9732517529592</v>
      </c>
    </row>
    <row r="401" spans="1:6" s="10" customFormat="1" x14ac:dyDescent="0.3">
      <c r="A401" s="24">
        <v>41745</v>
      </c>
      <c r="B401" s="10">
        <v>6675.2998049999997</v>
      </c>
      <c r="C401" s="10">
        <f t="shared" si="24"/>
        <v>6660.49497075</v>
      </c>
      <c r="D401" s="10">
        <f t="shared" si="21"/>
        <v>100.70549313961082</v>
      </c>
      <c r="E401" s="10">
        <f t="shared" si="22"/>
        <v>6861.905957029222</v>
      </c>
      <c r="F401" s="10">
        <f t="shared" si="23"/>
        <v>6459.083984470778</v>
      </c>
    </row>
    <row r="402" spans="1:6" s="10" customFormat="1" x14ac:dyDescent="0.3">
      <c r="A402" s="24">
        <v>41746</v>
      </c>
      <c r="B402" s="10">
        <v>6779.3999020000001</v>
      </c>
      <c r="C402" s="10">
        <f t="shared" si="24"/>
        <v>6673.6324707499998</v>
      </c>
      <c r="D402" s="10">
        <f t="shared" si="21"/>
        <v>98.056222156428646</v>
      </c>
      <c r="E402" s="10">
        <f t="shared" si="22"/>
        <v>6869.7449150628572</v>
      </c>
      <c r="F402" s="10">
        <f t="shared" si="23"/>
        <v>6477.5200264371424</v>
      </c>
    </row>
    <row r="403" spans="1:6" s="10" customFormat="1" x14ac:dyDescent="0.3">
      <c r="A403" s="24">
        <v>41750</v>
      </c>
      <c r="B403" s="10">
        <v>6817.6499020000001</v>
      </c>
      <c r="C403" s="10">
        <f t="shared" si="24"/>
        <v>6688.3124755999988</v>
      </c>
      <c r="D403" s="10">
        <f t="shared" si="21"/>
        <v>96.4478116668826</v>
      </c>
      <c r="E403" s="10">
        <f t="shared" si="22"/>
        <v>6881.2080989337637</v>
      </c>
      <c r="F403" s="10">
        <f t="shared" si="23"/>
        <v>6495.4168522662339</v>
      </c>
    </row>
    <row r="404" spans="1:6" s="10" customFormat="1" x14ac:dyDescent="0.3">
      <c r="A404" s="24">
        <v>41751</v>
      </c>
      <c r="B404" s="10">
        <v>6815.3500979999999</v>
      </c>
      <c r="C404" s="10">
        <f t="shared" si="24"/>
        <v>6704.9249756000008</v>
      </c>
      <c r="D404" s="10">
        <f t="shared" si="21"/>
        <v>87.433692647953322</v>
      </c>
      <c r="E404" s="10">
        <f t="shared" si="22"/>
        <v>6879.7923608959072</v>
      </c>
      <c r="F404" s="10">
        <f t="shared" si="23"/>
        <v>6530.0575903040944</v>
      </c>
    </row>
    <row r="405" spans="1:6" s="10" customFormat="1" x14ac:dyDescent="0.3">
      <c r="A405" s="24">
        <v>41752</v>
      </c>
      <c r="B405" s="10">
        <v>6840.7998049999997</v>
      </c>
      <c r="C405" s="10">
        <f t="shared" si="24"/>
        <v>6722.3049561000007</v>
      </c>
      <c r="D405" s="10">
        <f t="shared" ref="D405:D468" si="25">_xlfn.STDEV.S(B386:B405)</f>
        <v>77.065137756736959</v>
      </c>
      <c r="E405" s="10">
        <f t="shared" si="22"/>
        <v>6876.4352316134746</v>
      </c>
      <c r="F405" s="10">
        <f t="shared" si="23"/>
        <v>6568.1746805865268</v>
      </c>
    </row>
    <row r="406" spans="1:6" s="10" customFormat="1" x14ac:dyDescent="0.3">
      <c r="A406" s="24">
        <v>41754</v>
      </c>
      <c r="B406" s="10">
        <v>6782.75</v>
      </c>
      <c r="C406" s="10">
        <f t="shared" si="24"/>
        <v>6732.2674561000003</v>
      </c>
      <c r="D406" s="10">
        <f t="shared" si="25"/>
        <v>70.801216559939675</v>
      </c>
      <c r="E406" s="10">
        <f t="shared" ref="E406:E469" si="26">C406+2*D406</f>
        <v>6873.86988921988</v>
      </c>
      <c r="F406" s="10">
        <f t="shared" ref="F406:F469" si="27">C406-2*D406</f>
        <v>6590.6650229801207</v>
      </c>
    </row>
    <row r="407" spans="1:6" s="10" customFormat="1" x14ac:dyDescent="0.3">
      <c r="A407" s="24">
        <v>41757</v>
      </c>
      <c r="B407" s="10">
        <v>6761.25</v>
      </c>
      <c r="C407" s="10">
        <f t="shared" si="24"/>
        <v>6740.842456100002</v>
      </c>
      <c r="D407" s="10">
        <f t="shared" si="25"/>
        <v>62.534867376731299</v>
      </c>
      <c r="E407" s="10">
        <f t="shared" si="26"/>
        <v>6865.9121908534644</v>
      </c>
      <c r="F407" s="10">
        <f t="shared" si="27"/>
        <v>6615.7727213465396</v>
      </c>
    </row>
    <row r="408" spans="1:6" s="10" customFormat="1" x14ac:dyDescent="0.3">
      <c r="A408" s="24">
        <v>41758</v>
      </c>
      <c r="B408" s="10">
        <v>6715.25</v>
      </c>
      <c r="C408" s="10">
        <f t="shared" si="24"/>
        <v>6746.5349610000003</v>
      </c>
      <c r="D408" s="10">
        <f t="shared" si="25"/>
        <v>53.736314680430453</v>
      </c>
      <c r="E408" s="10">
        <f t="shared" si="26"/>
        <v>6854.0075903608613</v>
      </c>
      <c r="F408" s="10">
        <f t="shared" si="27"/>
        <v>6639.0623316391393</v>
      </c>
    </row>
    <row r="409" spans="1:6" s="10" customFormat="1" x14ac:dyDescent="0.3">
      <c r="A409" s="24">
        <v>41759</v>
      </c>
      <c r="B409" s="10">
        <v>6696.3999020000001</v>
      </c>
      <c r="C409" s="10">
        <f t="shared" si="24"/>
        <v>6749.2674561000003</v>
      </c>
      <c r="D409" s="10">
        <f t="shared" si="25"/>
        <v>49.336942651090105</v>
      </c>
      <c r="E409" s="10">
        <f t="shared" si="26"/>
        <v>6847.9413414021801</v>
      </c>
      <c r="F409" s="10">
        <f t="shared" si="27"/>
        <v>6650.5935707978206</v>
      </c>
    </row>
    <row r="410" spans="1:6" s="10" customFormat="1" x14ac:dyDescent="0.3">
      <c r="A410" s="24">
        <v>41761</v>
      </c>
      <c r="B410" s="10">
        <v>6694.7998049999997</v>
      </c>
      <c r="C410" s="10">
        <f t="shared" si="24"/>
        <v>6749.2124512499995</v>
      </c>
      <c r="D410" s="10">
        <f t="shared" si="25"/>
        <v>49.400145412127031</v>
      </c>
      <c r="E410" s="10">
        <f t="shared" si="26"/>
        <v>6848.0127420742538</v>
      </c>
      <c r="F410" s="10">
        <f t="shared" si="27"/>
        <v>6650.4121604257452</v>
      </c>
    </row>
    <row r="411" spans="1:6" s="10" customFormat="1" x14ac:dyDescent="0.3">
      <c r="A411" s="24">
        <v>41764</v>
      </c>
      <c r="B411" s="10">
        <v>6699.3500979999999</v>
      </c>
      <c r="C411" s="10">
        <f t="shared" si="24"/>
        <v>6748.9699464000005</v>
      </c>
      <c r="D411" s="10">
        <f t="shared" si="25"/>
        <v>49.644042338756819</v>
      </c>
      <c r="E411" s="10">
        <f t="shared" si="26"/>
        <v>6848.2580310775138</v>
      </c>
      <c r="F411" s="10">
        <f t="shared" si="27"/>
        <v>6649.6818617224872</v>
      </c>
    </row>
    <row r="412" spans="1:6" s="10" customFormat="1" x14ac:dyDescent="0.3">
      <c r="A412" s="24">
        <v>41765</v>
      </c>
      <c r="B412" s="10">
        <v>6715.2998049999997</v>
      </c>
      <c r="C412" s="10">
        <f t="shared" si="24"/>
        <v>6748.6824464000001</v>
      </c>
      <c r="D412" s="10">
        <f t="shared" si="25"/>
        <v>49.830543822889503</v>
      </c>
      <c r="E412" s="10">
        <f t="shared" si="26"/>
        <v>6848.3435340457791</v>
      </c>
      <c r="F412" s="10">
        <f t="shared" si="27"/>
        <v>6649.0213587542212</v>
      </c>
    </row>
    <row r="413" spans="1:6" s="10" customFormat="1" x14ac:dyDescent="0.3">
      <c r="A413" s="24">
        <v>41766</v>
      </c>
      <c r="B413" s="10">
        <v>6652.5498049999997</v>
      </c>
      <c r="C413" s="10">
        <f t="shared" si="24"/>
        <v>6743.6824464000001</v>
      </c>
      <c r="D413" s="10">
        <f t="shared" si="25"/>
        <v>54.243654557839086</v>
      </c>
      <c r="E413" s="10">
        <f t="shared" si="26"/>
        <v>6852.1697555156779</v>
      </c>
      <c r="F413" s="10">
        <f t="shared" si="27"/>
        <v>6635.1951372843223</v>
      </c>
    </row>
    <row r="414" spans="1:6" s="10" customFormat="1" x14ac:dyDescent="0.3">
      <c r="A414" s="24">
        <v>41767</v>
      </c>
      <c r="B414" s="10">
        <v>6659.8500979999999</v>
      </c>
      <c r="C414" s="10">
        <f t="shared" si="24"/>
        <v>6739.8699464000001</v>
      </c>
      <c r="D414" s="10">
        <f t="shared" si="25"/>
        <v>57.392817559990796</v>
      </c>
      <c r="E414" s="10">
        <f t="shared" si="26"/>
        <v>6854.6555815199818</v>
      </c>
      <c r="F414" s="10">
        <f t="shared" si="27"/>
        <v>6625.0843112800185</v>
      </c>
    </row>
    <row r="415" spans="1:6" s="10" customFormat="1" x14ac:dyDescent="0.3">
      <c r="A415" s="24">
        <v>41768</v>
      </c>
      <c r="B415" s="10">
        <v>6858.7998049999997</v>
      </c>
      <c r="C415" s="10">
        <f t="shared" si="24"/>
        <v>6748.0924317500003</v>
      </c>
      <c r="D415" s="10">
        <f t="shared" si="25"/>
        <v>62.114005541445202</v>
      </c>
      <c r="E415" s="10">
        <f t="shared" si="26"/>
        <v>6872.3204428328909</v>
      </c>
      <c r="F415" s="10">
        <f t="shared" si="27"/>
        <v>6623.8644206671097</v>
      </c>
    </row>
    <row r="416" spans="1:6" s="10" customFormat="1" x14ac:dyDescent="0.3">
      <c r="A416" s="24">
        <v>41771</v>
      </c>
      <c r="B416" s="10">
        <v>7014.25</v>
      </c>
      <c r="C416" s="10">
        <f t="shared" si="24"/>
        <v>6764.0524415000009</v>
      </c>
      <c r="D416" s="10">
        <f t="shared" si="25"/>
        <v>84.677946132596304</v>
      </c>
      <c r="E416" s="10">
        <f t="shared" si="26"/>
        <v>6933.4083337651937</v>
      </c>
      <c r="F416" s="10">
        <f t="shared" si="27"/>
        <v>6594.6965492348081</v>
      </c>
    </row>
    <row r="417" spans="1:6" s="10" customFormat="1" x14ac:dyDescent="0.3">
      <c r="A417" s="24">
        <v>41772</v>
      </c>
      <c r="B417" s="10">
        <v>7108.75</v>
      </c>
      <c r="C417" s="10">
        <f t="shared" si="24"/>
        <v>6779.6799317499999</v>
      </c>
      <c r="D417" s="10">
        <f t="shared" si="25"/>
        <v>114.50931849324247</v>
      </c>
      <c r="E417" s="10">
        <f t="shared" si="26"/>
        <v>7008.698568736485</v>
      </c>
      <c r="F417" s="10">
        <f t="shared" si="27"/>
        <v>6550.6612947635149</v>
      </c>
    </row>
    <row r="418" spans="1:6" s="10" customFormat="1" x14ac:dyDescent="0.3">
      <c r="A418" s="24">
        <v>41773</v>
      </c>
      <c r="B418" s="10">
        <v>7108.75</v>
      </c>
      <c r="C418" s="10">
        <f t="shared" si="24"/>
        <v>6795.2974366500011</v>
      </c>
      <c r="D418" s="10">
        <f t="shared" si="25"/>
        <v>136.16258077074016</v>
      </c>
      <c r="E418" s="10">
        <f t="shared" si="26"/>
        <v>7067.6225981914813</v>
      </c>
      <c r="F418" s="10">
        <f t="shared" si="27"/>
        <v>6522.972275108521</v>
      </c>
    </row>
    <row r="419" spans="1:6" s="10" customFormat="1" x14ac:dyDescent="0.3">
      <c r="A419" s="24">
        <v>41774</v>
      </c>
      <c r="B419" s="10">
        <v>7123.1499020000001</v>
      </c>
      <c r="C419" s="10">
        <f t="shared" si="24"/>
        <v>6812.6399415000005</v>
      </c>
      <c r="D419" s="10">
        <f t="shared" si="25"/>
        <v>154.47292373527148</v>
      </c>
      <c r="E419" s="10">
        <f t="shared" si="26"/>
        <v>7121.5857889705439</v>
      </c>
      <c r="F419" s="10">
        <f t="shared" si="27"/>
        <v>6503.6940940294571</v>
      </c>
    </row>
    <row r="420" spans="1:6" s="10" customFormat="1" x14ac:dyDescent="0.3">
      <c r="A420" s="24">
        <v>41775</v>
      </c>
      <c r="B420" s="10">
        <v>7203</v>
      </c>
      <c r="C420" s="10">
        <f t="shared" si="24"/>
        <v>6836.1349366000013</v>
      </c>
      <c r="D420" s="10">
        <f t="shared" si="25"/>
        <v>175.97695600520146</v>
      </c>
      <c r="E420" s="10">
        <f t="shared" si="26"/>
        <v>7188.0888486104041</v>
      </c>
      <c r="F420" s="10">
        <f t="shared" si="27"/>
        <v>6484.1810245895986</v>
      </c>
    </row>
    <row r="421" spans="1:6" s="10" customFormat="1" x14ac:dyDescent="0.3">
      <c r="A421" s="24">
        <v>41778</v>
      </c>
      <c r="B421" s="10">
        <v>7263.5498049999997</v>
      </c>
      <c r="C421" s="10">
        <f t="shared" si="24"/>
        <v>6865.5474365999999</v>
      </c>
      <c r="D421" s="10">
        <f t="shared" si="25"/>
        <v>195.73122265250902</v>
      </c>
      <c r="E421" s="10">
        <f t="shared" si="26"/>
        <v>7257.0098819050181</v>
      </c>
      <c r="F421" s="10">
        <f t="shared" si="27"/>
        <v>6474.0849912949816</v>
      </c>
    </row>
    <row r="422" spans="1:6" s="10" customFormat="1" x14ac:dyDescent="0.3">
      <c r="A422" s="24">
        <v>41779</v>
      </c>
      <c r="B422" s="10">
        <v>7275.5</v>
      </c>
      <c r="C422" s="10">
        <f t="shared" si="24"/>
        <v>6890.3524415000011</v>
      </c>
      <c r="D422" s="10">
        <f t="shared" si="25"/>
        <v>214.75046229454165</v>
      </c>
      <c r="E422" s="10">
        <f t="shared" si="26"/>
        <v>7319.8533660890844</v>
      </c>
      <c r="F422" s="10">
        <f t="shared" si="27"/>
        <v>6460.8515169109178</v>
      </c>
    </row>
    <row r="423" spans="1:6" s="10" customFormat="1" x14ac:dyDescent="0.3">
      <c r="A423" s="24">
        <v>41780</v>
      </c>
      <c r="B423" s="10">
        <v>7252.8999020000001</v>
      </c>
      <c r="C423" s="10">
        <f t="shared" si="24"/>
        <v>6912.1149415000009</v>
      </c>
      <c r="D423" s="10">
        <f t="shared" si="25"/>
        <v>228.60219801389738</v>
      </c>
      <c r="E423" s="10">
        <f t="shared" si="26"/>
        <v>7369.3193375277961</v>
      </c>
      <c r="F423" s="10">
        <f t="shared" si="27"/>
        <v>6454.9105454722057</v>
      </c>
    </row>
    <row r="424" spans="1:6" s="10" customFormat="1" x14ac:dyDescent="0.3">
      <c r="A424" s="24">
        <v>41781</v>
      </c>
      <c r="B424" s="10">
        <v>7276.3999020000001</v>
      </c>
      <c r="C424" s="10">
        <f t="shared" si="24"/>
        <v>6935.1674317000015</v>
      </c>
      <c r="D424" s="10">
        <f t="shared" si="25"/>
        <v>241.22844438409123</v>
      </c>
      <c r="E424" s="10">
        <f t="shared" si="26"/>
        <v>7417.6243204681841</v>
      </c>
      <c r="F424" s="10">
        <f t="shared" si="27"/>
        <v>6452.710542931819</v>
      </c>
    </row>
    <row r="425" spans="1:6" s="10" customFormat="1" x14ac:dyDescent="0.3">
      <c r="A425" s="24">
        <v>41782</v>
      </c>
      <c r="B425" s="10">
        <v>7367.1000979999999</v>
      </c>
      <c r="C425" s="10">
        <f t="shared" si="24"/>
        <v>6961.4824463499999</v>
      </c>
      <c r="D425" s="10">
        <f t="shared" si="25"/>
        <v>258.48170703337325</v>
      </c>
      <c r="E425" s="10">
        <f t="shared" si="26"/>
        <v>7478.4458604167467</v>
      </c>
      <c r="F425" s="10">
        <f t="shared" si="27"/>
        <v>6444.5190322832532</v>
      </c>
    </row>
    <row r="426" spans="1:6" s="10" customFormat="1" x14ac:dyDescent="0.3">
      <c r="A426" s="24">
        <v>41785</v>
      </c>
      <c r="B426" s="10">
        <v>7359.0498049999997</v>
      </c>
      <c r="C426" s="10">
        <f t="shared" si="24"/>
        <v>6990.2974366000008</v>
      </c>
      <c r="D426" s="10">
        <f t="shared" si="25"/>
        <v>269.40006530792544</v>
      </c>
      <c r="E426" s="10">
        <f t="shared" si="26"/>
        <v>7529.097567215852</v>
      </c>
      <c r="F426" s="10">
        <f t="shared" si="27"/>
        <v>6451.4973059841495</v>
      </c>
    </row>
    <row r="427" spans="1:6" s="10" customFormat="1" x14ac:dyDescent="0.3">
      <c r="A427" s="24">
        <v>41786</v>
      </c>
      <c r="B427" s="10">
        <v>7318</v>
      </c>
      <c r="C427" s="10">
        <f t="shared" si="24"/>
        <v>7018.1349366000013</v>
      </c>
      <c r="D427" s="10">
        <f t="shared" si="25"/>
        <v>273.22433642582115</v>
      </c>
      <c r="E427" s="10">
        <f t="shared" si="26"/>
        <v>7564.5836094516435</v>
      </c>
      <c r="F427" s="10">
        <f t="shared" si="27"/>
        <v>6471.6862637483591</v>
      </c>
    </row>
    <row r="428" spans="1:6" s="10" customFormat="1" x14ac:dyDescent="0.3">
      <c r="A428" s="24">
        <v>41787</v>
      </c>
      <c r="B428" s="10">
        <v>7329.6499020000001</v>
      </c>
      <c r="C428" s="10">
        <f t="shared" si="24"/>
        <v>7048.8549317000015</v>
      </c>
      <c r="D428" s="10">
        <f t="shared" si="25"/>
        <v>271.91399077082144</v>
      </c>
      <c r="E428" s="10">
        <f t="shared" si="26"/>
        <v>7592.6829132416442</v>
      </c>
      <c r="F428" s="10">
        <f t="shared" si="27"/>
        <v>6505.0269501583589</v>
      </c>
    </row>
    <row r="429" spans="1:6" s="10" customFormat="1" x14ac:dyDescent="0.3">
      <c r="A429" s="24">
        <v>41788</v>
      </c>
      <c r="B429" s="10">
        <v>7235.6499020000001</v>
      </c>
      <c r="C429" s="10">
        <f t="shared" si="24"/>
        <v>7075.8174317000012</v>
      </c>
      <c r="D429" s="10">
        <f t="shared" si="25"/>
        <v>261.66827473016116</v>
      </c>
      <c r="E429" s="10">
        <f t="shared" si="26"/>
        <v>7599.1539811603234</v>
      </c>
      <c r="F429" s="10">
        <f t="shared" si="27"/>
        <v>6552.480882239679</v>
      </c>
    </row>
    <row r="430" spans="1:6" s="10" customFormat="1" x14ac:dyDescent="0.3">
      <c r="A430" s="24">
        <v>41789</v>
      </c>
      <c r="B430" s="10">
        <v>7229.9501950000003</v>
      </c>
      <c r="C430" s="10">
        <f t="shared" si="24"/>
        <v>7102.5749512000011</v>
      </c>
      <c r="D430" s="10">
        <f t="shared" si="25"/>
        <v>247.64135929918982</v>
      </c>
      <c r="E430" s="10">
        <f t="shared" si="26"/>
        <v>7597.8576697983808</v>
      </c>
      <c r="F430" s="10">
        <f t="shared" si="27"/>
        <v>6607.2922326016214</v>
      </c>
    </row>
    <row r="431" spans="1:6" s="10" customFormat="1" x14ac:dyDescent="0.3">
      <c r="A431" s="24">
        <v>41792</v>
      </c>
      <c r="B431" s="10">
        <v>7362.5</v>
      </c>
      <c r="C431" s="10">
        <f t="shared" si="24"/>
        <v>7135.7324463000014</v>
      </c>
      <c r="D431" s="10">
        <f t="shared" si="25"/>
        <v>234.87745662756598</v>
      </c>
      <c r="E431" s="10">
        <f t="shared" si="26"/>
        <v>7605.4873595551335</v>
      </c>
      <c r="F431" s="10">
        <f t="shared" si="27"/>
        <v>6665.9775330448692</v>
      </c>
    </row>
    <row r="432" spans="1:6" s="10" customFormat="1" x14ac:dyDescent="0.3">
      <c r="A432" s="24">
        <v>41793</v>
      </c>
      <c r="B432" s="10">
        <v>7415.8500979999999</v>
      </c>
      <c r="C432" s="10">
        <f t="shared" si="24"/>
        <v>7170.7599609500003</v>
      </c>
      <c r="D432" s="10">
        <f t="shared" si="25"/>
        <v>220.68609884882537</v>
      </c>
      <c r="E432" s="10">
        <f t="shared" si="26"/>
        <v>7612.1321586476506</v>
      </c>
      <c r="F432" s="10">
        <f t="shared" si="27"/>
        <v>6729.3877632523499</v>
      </c>
    </row>
    <row r="433" spans="1:6" s="10" customFormat="1" x14ac:dyDescent="0.3">
      <c r="A433" s="24">
        <v>41794</v>
      </c>
      <c r="B433" s="10">
        <v>7402.25</v>
      </c>
      <c r="C433" s="10">
        <f t="shared" si="24"/>
        <v>7208.2449707000005</v>
      </c>
      <c r="D433" s="10">
        <f t="shared" si="25"/>
        <v>189.49907423849027</v>
      </c>
      <c r="E433" s="10">
        <f t="shared" si="26"/>
        <v>7587.2431191769811</v>
      </c>
      <c r="F433" s="10">
        <f t="shared" si="27"/>
        <v>6829.24682222302</v>
      </c>
    </row>
    <row r="434" spans="1:6" s="10" customFormat="1" x14ac:dyDescent="0.3">
      <c r="A434" s="24">
        <v>41795</v>
      </c>
      <c r="B434" s="10">
        <v>7474.1000979999999</v>
      </c>
      <c r="C434" s="10">
        <f t="shared" si="24"/>
        <v>7248.9574707000011</v>
      </c>
      <c r="D434" s="10">
        <f t="shared" si="25"/>
        <v>148.51545069199858</v>
      </c>
      <c r="E434" s="10">
        <f t="shared" si="26"/>
        <v>7545.988372083998</v>
      </c>
      <c r="F434" s="10">
        <f t="shared" si="27"/>
        <v>6951.9265693160041</v>
      </c>
    </row>
    <row r="435" spans="1:6" s="10" customFormat="1" x14ac:dyDescent="0.3">
      <c r="A435" s="24">
        <v>41796</v>
      </c>
      <c r="B435" s="10">
        <v>7583.3999020000001</v>
      </c>
      <c r="C435" s="10">
        <f t="shared" ref="C435:C498" si="28">AVERAGE(B416:B435)</f>
        <v>7285.1874755500003</v>
      </c>
      <c r="D435" s="10">
        <f t="shared" si="25"/>
        <v>136.19962391003477</v>
      </c>
      <c r="E435" s="10">
        <f t="shared" si="26"/>
        <v>7557.5867233700701</v>
      </c>
      <c r="F435" s="10">
        <f t="shared" si="27"/>
        <v>7012.7882277299304</v>
      </c>
    </row>
    <row r="436" spans="1:6" s="10" customFormat="1" x14ac:dyDescent="0.3">
      <c r="A436" s="24">
        <v>41799</v>
      </c>
      <c r="B436" s="10">
        <v>7654.6000979999999</v>
      </c>
      <c r="C436" s="10">
        <f t="shared" si="28"/>
        <v>7317.2049804500002</v>
      </c>
      <c r="D436" s="10">
        <f t="shared" si="25"/>
        <v>144.18784733793626</v>
      </c>
      <c r="E436" s="10">
        <f t="shared" si="26"/>
        <v>7605.5806751258724</v>
      </c>
      <c r="F436" s="10">
        <f t="shared" si="27"/>
        <v>7028.829285774128</v>
      </c>
    </row>
    <row r="437" spans="1:6" s="10" customFormat="1" x14ac:dyDescent="0.3">
      <c r="A437" s="24">
        <v>41800</v>
      </c>
      <c r="B437" s="10">
        <v>7656.3999020000001</v>
      </c>
      <c r="C437" s="10">
        <f t="shared" si="28"/>
        <v>7344.5874755499999</v>
      </c>
      <c r="D437" s="10">
        <f t="shared" si="25"/>
        <v>154.1728807902081</v>
      </c>
      <c r="E437" s="10">
        <f t="shared" si="26"/>
        <v>7652.9332371304163</v>
      </c>
      <c r="F437" s="10">
        <f t="shared" si="27"/>
        <v>7036.2417139695835</v>
      </c>
    </row>
    <row r="438" spans="1:6" s="10" customFormat="1" x14ac:dyDescent="0.3">
      <c r="A438" s="24">
        <v>41801</v>
      </c>
      <c r="B438" s="10">
        <v>7626.8500979999999</v>
      </c>
      <c r="C438" s="10">
        <f t="shared" si="28"/>
        <v>7370.4924804499997</v>
      </c>
      <c r="D438" s="10">
        <f t="shared" si="25"/>
        <v>155.97701481022207</v>
      </c>
      <c r="E438" s="10">
        <f t="shared" si="26"/>
        <v>7682.4465100704438</v>
      </c>
      <c r="F438" s="10">
        <f t="shared" si="27"/>
        <v>7058.5384508295556</v>
      </c>
    </row>
    <row r="439" spans="1:6" s="10" customFormat="1" x14ac:dyDescent="0.3">
      <c r="A439" s="24">
        <v>41802</v>
      </c>
      <c r="B439" s="10">
        <v>7649.8999020000001</v>
      </c>
      <c r="C439" s="10">
        <f t="shared" si="28"/>
        <v>7396.8299804500002</v>
      </c>
      <c r="D439" s="10">
        <f t="shared" si="25"/>
        <v>156.48518204794334</v>
      </c>
      <c r="E439" s="10">
        <f t="shared" si="26"/>
        <v>7709.8003445458871</v>
      </c>
      <c r="F439" s="10">
        <f t="shared" si="27"/>
        <v>7083.8596163541133</v>
      </c>
    </row>
    <row r="440" spans="1:6" s="10" customFormat="1" x14ac:dyDescent="0.3">
      <c r="A440" s="24">
        <v>41803</v>
      </c>
      <c r="B440" s="10">
        <v>7542.1000979999999</v>
      </c>
      <c r="C440" s="10">
        <f t="shared" si="28"/>
        <v>7413.7849853499993</v>
      </c>
      <c r="D440" s="10">
        <f t="shared" si="25"/>
        <v>152.70345077952899</v>
      </c>
      <c r="E440" s="10">
        <f t="shared" si="26"/>
        <v>7719.1918869090568</v>
      </c>
      <c r="F440" s="10">
        <f t="shared" si="27"/>
        <v>7108.3780837909417</v>
      </c>
    </row>
    <row r="441" spans="1:6" s="10" customFormat="1" x14ac:dyDescent="0.3">
      <c r="A441" s="24">
        <v>41806</v>
      </c>
      <c r="B441" s="10">
        <v>7533.5498049999997</v>
      </c>
      <c r="C441" s="10">
        <f t="shared" si="28"/>
        <v>7427.2849853499984</v>
      </c>
      <c r="D441" s="10">
        <f t="shared" si="25"/>
        <v>150.64362552771331</v>
      </c>
      <c r="E441" s="10">
        <f t="shared" si="26"/>
        <v>7728.5722364054254</v>
      </c>
      <c r="F441" s="10">
        <f t="shared" si="27"/>
        <v>7125.9977342945713</v>
      </c>
    </row>
    <row r="442" spans="1:6" s="10" customFormat="1" x14ac:dyDescent="0.3">
      <c r="A442" s="24">
        <v>41807</v>
      </c>
      <c r="B442" s="10">
        <v>7631.7001950000003</v>
      </c>
      <c r="C442" s="10">
        <f t="shared" si="28"/>
        <v>7445.0949950999984</v>
      </c>
      <c r="D442" s="10">
        <f t="shared" si="25"/>
        <v>152.79492681423764</v>
      </c>
      <c r="E442" s="10">
        <f t="shared" si="26"/>
        <v>7750.6848487284733</v>
      </c>
      <c r="F442" s="10">
        <f t="shared" si="27"/>
        <v>7139.5051414715235</v>
      </c>
    </row>
    <row r="443" spans="1:6" s="10" customFormat="1" x14ac:dyDescent="0.3">
      <c r="A443" s="24">
        <v>41808</v>
      </c>
      <c r="B443" s="10">
        <v>7558.2001950000003</v>
      </c>
      <c r="C443" s="10">
        <f t="shared" si="28"/>
        <v>7460.3600097500002</v>
      </c>
      <c r="D443" s="10">
        <f t="shared" si="25"/>
        <v>147.75030902641177</v>
      </c>
      <c r="E443" s="10">
        <f t="shared" si="26"/>
        <v>7755.8606278028237</v>
      </c>
      <c r="F443" s="10">
        <f t="shared" si="27"/>
        <v>7164.8593916971768</v>
      </c>
    </row>
    <row r="444" spans="1:6" s="10" customFormat="1" x14ac:dyDescent="0.3">
      <c r="A444" s="24">
        <v>41809</v>
      </c>
      <c r="B444" s="10">
        <v>7540.7001950000003</v>
      </c>
      <c r="C444" s="10">
        <f t="shared" si="28"/>
        <v>7473.575024400001</v>
      </c>
      <c r="D444" s="10">
        <f t="shared" si="25"/>
        <v>142.14399933818447</v>
      </c>
      <c r="E444" s="10">
        <f t="shared" si="26"/>
        <v>7757.8630230763702</v>
      </c>
      <c r="F444" s="10">
        <f t="shared" si="27"/>
        <v>7189.2870257236318</v>
      </c>
    </row>
    <row r="445" spans="1:6" s="10" customFormat="1" x14ac:dyDescent="0.3">
      <c r="A445" s="24">
        <v>41810</v>
      </c>
      <c r="B445" s="10">
        <v>7511.4501950000003</v>
      </c>
      <c r="C445" s="10">
        <f t="shared" si="28"/>
        <v>7480.7925292500022</v>
      </c>
      <c r="D445" s="10">
        <f t="shared" si="25"/>
        <v>140.10319232249381</v>
      </c>
      <c r="E445" s="10">
        <f t="shared" si="26"/>
        <v>7760.9989138949895</v>
      </c>
      <c r="F445" s="10">
        <f t="shared" si="27"/>
        <v>7200.5861446050149</v>
      </c>
    </row>
    <row r="446" spans="1:6" s="10" customFormat="1" x14ac:dyDescent="0.3">
      <c r="A446" s="24">
        <v>41813</v>
      </c>
      <c r="B446" s="10">
        <v>7493.3500979999999</v>
      </c>
      <c r="C446" s="10">
        <f t="shared" si="28"/>
        <v>7487.5075439000011</v>
      </c>
      <c r="D446" s="10">
        <f t="shared" si="25"/>
        <v>137.14835583760831</v>
      </c>
      <c r="E446" s="10">
        <f t="shared" si="26"/>
        <v>7761.8042555752181</v>
      </c>
      <c r="F446" s="10">
        <f t="shared" si="27"/>
        <v>7213.2108322247841</v>
      </c>
    </row>
    <row r="447" spans="1:6" s="10" customFormat="1" x14ac:dyDescent="0.3">
      <c r="A447" s="24">
        <v>41814</v>
      </c>
      <c r="B447" s="10">
        <v>7580.2001950000003</v>
      </c>
      <c r="C447" s="10">
        <f t="shared" si="28"/>
        <v>7500.6175536499995</v>
      </c>
      <c r="D447" s="10">
        <f t="shared" si="25"/>
        <v>132.54699895077121</v>
      </c>
      <c r="E447" s="10">
        <f t="shared" si="26"/>
        <v>7765.7115515515416</v>
      </c>
      <c r="F447" s="10">
        <f t="shared" si="27"/>
        <v>7235.5235557484575</v>
      </c>
    </row>
    <row r="448" spans="1:6" s="10" customFormat="1" x14ac:dyDescent="0.3">
      <c r="A448" s="24">
        <v>41815</v>
      </c>
      <c r="B448" s="10">
        <v>7569.25</v>
      </c>
      <c r="C448" s="10">
        <f t="shared" si="28"/>
        <v>7512.59755855</v>
      </c>
      <c r="D448" s="10">
        <f t="shared" si="25"/>
        <v>126.9926429944185</v>
      </c>
      <c r="E448" s="10">
        <f t="shared" si="26"/>
        <v>7766.582844538837</v>
      </c>
      <c r="F448" s="10">
        <f t="shared" si="27"/>
        <v>7258.6122725611631</v>
      </c>
    </row>
    <row r="449" spans="1:6" s="10" customFormat="1" x14ac:dyDescent="0.3">
      <c r="A449" s="24">
        <v>41816</v>
      </c>
      <c r="B449" s="10">
        <v>7493.2001950000003</v>
      </c>
      <c r="C449" s="10">
        <f t="shared" si="28"/>
        <v>7525.4750732000002</v>
      </c>
      <c r="D449" s="10">
        <f t="shared" si="25"/>
        <v>109.24986852753344</v>
      </c>
      <c r="E449" s="10">
        <f t="shared" si="26"/>
        <v>7743.9748102550675</v>
      </c>
      <c r="F449" s="10">
        <f t="shared" si="27"/>
        <v>7306.975336144933</v>
      </c>
    </row>
    <row r="450" spans="1:6" s="10" customFormat="1" x14ac:dyDescent="0.3">
      <c r="A450" s="24">
        <v>41817</v>
      </c>
      <c r="B450" s="10">
        <v>7508.7998049999997</v>
      </c>
      <c r="C450" s="10">
        <f t="shared" si="28"/>
        <v>7539.4175536999992</v>
      </c>
      <c r="D450" s="10">
        <f t="shared" si="25"/>
        <v>84.551571735816992</v>
      </c>
      <c r="E450" s="10">
        <f t="shared" si="26"/>
        <v>7708.5206971716334</v>
      </c>
      <c r="F450" s="10">
        <f t="shared" si="27"/>
        <v>7370.314410228365</v>
      </c>
    </row>
    <row r="451" spans="1:6" s="10" customFormat="1" x14ac:dyDescent="0.3">
      <c r="A451" s="24">
        <v>41820</v>
      </c>
      <c r="B451" s="10">
        <v>7611.3500979999999</v>
      </c>
      <c r="C451" s="10">
        <f t="shared" si="28"/>
        <v>7551.8600585999984</v>
      </c>
      <c r="D451" s="10">
        <f t="shared" si="25"/>
        <v>74.906450054469389</v>
      </c>
      <c r="E451" s="10">
        <f t="shared" si="26"/>
        <v>7701.6729587089376</v>
      </c>
      <c r="F451" s="10">
        <f t="shared" si="27"/>
        <v>7402.0471584910592</v>
      </c>
    </row>
    <row r="452" spans="1:6" s="10" customFormat="1" x14ac:dyDescent="0.3">
      <c r="A452" s="24">
        <v>41821</v>
      </c>
      <c r="B452" s="10">
        <v>7634.7001950000003</v>
      </c>
      <c r="C452" s="10">
        <f t="shared" si="28"/>
        <v>7562.8025634499991</v>
      </c>
      <c r="D452" s="10">
        <f t="shared" si="25"/>
        <v>69.803317484125671</v>
      </c>
      <c r="E452" s="10">
        <f t="shared" si="26"/>
        <v>7702.4091984182505</v>
      </c>
      <c r="F452" s="10">
        <f t="shared" si="27"/>
        <v>7423.1959284817476</v>
      </c>
    </row>
    <row r="453" spans="1:6" s="10" customFormat="1" x14ac:dyDescent="0.3">
      <c r="A453" s="24">
        <v>41822</v>
      </c>
      <c r="B453" s="10">
        <v>7725.1499020000001</v>
      </c>
      <c r="C453" s="10">
        <f t="shared" si="28"/>
        <v>7578.9475585500013</v>
      </c>
      <c r="D453" s="10">
        <f t="shared" si="25"/>
        <v>68.033998804129197</v>
      </c>
      <c r="E453" s="10">
        <f t="shared" si="26"/>
        <v>7715.0155561582596</v>
      </c>
      <c r="F453" s="10">
        <f t="shared" si="27"/>
        <v>7442.879560941743</v>
      </c>
    </row>
    <row r="454" spans="1:6" s="10" customFormat="1" x14ac:dyDescent="0.3">
      <c r="A454" s="24">
        <v>41823</v>
      </c>
      <c r="B454" s="10">
        <v>7714.7998049999997</v>
      </c>
      <c r="C454" s="10">
        <f t="shared" si="28"/>
        <v>7590.9825438999997</v>
      </c>
      <c r="D454" s="10">
        <f t="shared" si="25"/>
        <v>69.777805363867628</v>
      </c>
      <c r="E454" s="10">
        <f t="shared" si="26"/>
        <v>7730.5381546277349</v>
      </c>
      <c r="F454" s="10">
        <f t="shared" si="27"/>
        <v>7451.4269331722644</v>
      </c>
    </row>
    <row r="455" spans="1:6" s="10" customFormat="1" x14ac:dyDescent="0.3">
      <c r="A455" s="24">
        <v>41824</v>
      </c>
      <c r="B455" s="10">
        <v>7751.6000979999999</v>
      </c>
      <c r="C455" s="10">
        <f t="shared" si="28"/>
        <v>7599.3925536999986</v>
      </c>
      <c r="D455" s="10">
        <f t="shared" si="25"/>
        <v>78.417183011163175</v>
      </c>
      <c r="E455" s="10">
        <f t="shared" si="26"/>
        <v>7756.226919722325</v>
      </c>
      <c r="F455" s="10">
        <f t="shared" si="27"/>
        <v>7442.5581876776723</v>
      </c>
    </row>
    <row r="456" spans="1:6" s="10" customFormat="1" x14ac:dyDescent="0.3">
      <c r="A456" s="24">
        <v>41827</v>
      </c>
      <c r="B456" s="10">
        <v>7787.1499020000001</v>
      </c>
      <c r="C456" s="10">
        <f t="shared" si="28"/>
        <v>7606.0200438999991</v>
      </c>
      <c r="D456" s="10">
        <f t="shared" si="25"/>
        <v>88.306378622417114</v>
      </c>
      <c r="E456" s="10">
        <f t="shared" si="26"/>
        <v>7782.6328011448331</v>
      </c>
      <c r="F456" s="10">
        <f t="shared" si="27"/>
        <v>7429.4072866551651</v>
      </c>
    </row>
    <row r="457" spans="1:6" s="10" customFormat="1" x14ac:dyDescent="0.3">
      <c r="A457" s="24">
        <v>41828</v>
      </c>
      <c r="B457" s="10">
        <v>7623.2001950000003</v>
      </c>
      <c r="C457" s="10">
        <f t="shared" si="28"/>
        <v>7604.3600585499998</v>
      </c>
      <c r="D457" s="10">
        <f t="shared" si="25"/>
        <v>87.618860642379744</v>
      </c>
      <c r="E457" s="10">
        <f t="shared" si="26"/>
        <v>7779.5977798347594</v>
      </c>
      <c r="F457" s="10">
        <f t="shared" si="27"/>
        <v>7429.1223372652403</v>
      </c>
    </row>
    <row r="458" spans="1:6" s="10" customFormat="1" x14ac:dyDescent="0.3">
      <c r="A458" s="24">
        <v>41829</v>
      </c>
      <c r="B458" s="10">
        <v>7585</v>
      </c>
      <c r="C458" s="10">
        <f t="shared" si="28"/>
        <v>7602.2675536500001</v>
      </c>
      <c r="D458" s="10">
        <f t="shared" si="25"/>
        <v>87.553192410031784</v>
      </c>
      <c r="E458" s="10">
        <f t="shared" si="26"/>
        <v>7777.3739384700639</v>
      </c>
      <c r="F458" s="10">
        <f t="shared" si="27"/>
        <v>7427.1611688299363</v>
      </c>
    </row>
    <row r="459" spans="1:6" s="10" customFormat="1" x14ac:dyDescent="0.3">
      <c r="A459" s="24">
        <v>41830</v>
      </c>
      <c r="B459" s="10">
        <v>7567.75</v>
      </c>
      <c r="C459" s="10">
        <f t="shared" si="28"/>
        <v>7598.16005855</v>
      </c>
      <c r="D459" s="10">
        <f t="shared" si="25"/>
        <v>87.126906564742882</v>
      </c>
      <c r="E459" s="10">
        <f t="shared" si="26"/>
        <v>7772.413871679486</v>
      </c>
      <c r="F459" s="10">
        <f t="shared" si="27"/>
        <v>7423.9062454205141</v>
      </c>
    </row>
    <row r="460" spans="1:6" s="10" customFormat="1" x14ac:dyDescent="0.3">
      <c r="A460" s="24">
        <v>41831</v>
      </c>
      <c r="B460" s="10">
        <v>7459.6000979999999</v>
      </c>
      <c r="C460" s="10">
        <f t="shared" si="28"/>
        <v>7594.03505855</v>
      </c>
      <c r="D460" s="10">
        <f t="shared" si="25"/>
        <v>91.751004610601385</v>
      </c>
      <c r="E460" s="10">
        <f t="shared" si="26"/>
        <v>7777.5370677712026</v>
      </c>
      <c r="F460" s="10">
        <f t="shared" si="27"/>
        <v>7410.5330493287975</v>
      </c>
    </row>
    <row r="461" spans="1:6" s="10" customFormat="1" x14ac:dyDescent="0.3">
      <c r="A461" s="24">
        <v>41834</v>
      </c>
      <c r="B461" s="10">
        <v>7454.1499020000001</v>
      </c>
      <c r="C461" s="10">
        <f t="shared" si="28"/>
        <v>7590.0650633999994</v>
      </c>
      <c r="D461" s="10">
        <f t="shared" si="25"/>
        <v>96.119679783023088</v>
      </c>
      <c r="E461" s="10">
        <f t="shared" si="26"/>
        <v>7782.3044229660454</v>
      </c>
      <c r="F461" s="10">
        <f t="shared" si="27"/>
        <v>7397.8257038339534</v>
      </c>
    </row>
    <row r="462" spans="1:6" s="10" customFormat="1" x14ac:dyDescent="0.3">
      <c r="A462" s="24">
        <v>41835</v>
      </c>
      <c r="B462" s="10">
        <v>7526.6499020000001</v>
      </c>
      <c r="C462" s="10">
        <f t="shared" si="28"/>
        <v>7584.8125487500001</v>
      </c>
      <c r="D462" s="10">
        <f t="shared" si="25"/>
        <v>96.593855176495083</v>
      </c>
      <c r="E462" s="10">
        <f t="shared" si="26"/>
        <v>7778.0002591029906</v>
      </c>
      <c r="F462" s="10">
        <f t="shared" si="27"/>
        <v>7391.6248383970096</v>
      </c>
    </row>
    <row r="463" spans="1:6" s="10" customFormat="1" x14ac:dyDescent="0.3">
      <c r="A463" s="24">
        <v>41836</v>
      </c>
      <c r="B463" s="10">
        <v>7624.3999020000001</v>
      </c>
      <c r="C463" s="10">
        <f t="shared" si="28"/>
        <v>7588.1225341000008</v>
      </c>
      <c r="D463" s="10">
        <f t="shared" si="25"/>
        <v>96.76800944967006</v>
      </c>
      <c r="E463" s="10">
        <f t="shared" si="26"/>
        <v>7781.6585529993408</v>
      </c>
      <c r="F463" s="10">
        <f t="shared" si="27"/>
        <v>7394.5865152006609</v>
      </c>
    </row>
    <row r="464" spans="1:6" s="10" customFormat="1" x14ac:dyDescent="0.3">
      <c r="A464" s="24">
        <v>41837</v>
      </c>
      <c r="B464" s="10">
        <v>7640.4501950000003</v>
      </c>
      <c r="C464" s="10">
        <f t="shared" si="28"/>
        <v>7593.110034100001</v>
      </c>
      <c r="D464" s="10">
        <f t="shared" si="25"/>
        <v>96.765780197864558</v>
      </c>
      <c r="E464" s="10">
        <f t="shared" si="26"/>
        <v>7786.6415944957298</v>
      </c>
      <c r="F464" s="10">
        <f t="shared" si="27"/>
        <v>7399.5784737042723</v>
      </c>
    </row>
    <row r="465" spans="1:6" s="10" customFormat="1" x14ac:dyDescent="0.3">
      <c r="A465" s="24">
        <v>41838</v>
      </c>
      <c r="B465" s="10">
        <v>7663.8999020000001</v>
      </c>
      <c r="C465" s="10">
        <f t="shared" si="28"/>
        <v>7600.7325194500008</v>
      </c>
      <c r="D465" s="10">
        <f t="shared" si="25"/>
        <v>95.99603570377532</v>
      </c>
      <c r="E465" s="10">
        <f t="shared" si="26"/>
        <v>7792.7245908575514</v>
      </c>
      <c r="F465" s="10">
        <f t="shared" si="27"/>
        <v>7408.7404480424502</v>
      </c>
    </row>
    <row r="466" spans="1:6" s="10" customFormat="1" x14ac:dyDescent="0.3">
      <c r="A466" s="24">
        <v>41841</v>
      </c>
      <c r="B466" s="10">
        <v>7684.2001950000003</v>
      </c>
      <c r="C466" s="10">
        <f t="shared" si="28"/>
        <v>7610.2750243000019</v>
      </c>
      <c r="D466" s="10">
        <f t="shared" si="25"/>
        <v>94.229344796556674</v>
      </c>
      <c r="E466" s="10">
        <f t="shared" si="26"/>
        <v>7798.7337138931152</v>
      </c>
      <c r="F466" s="10">
        <f t="shared" si="27"/>
        <v>7421.8163347068885</v>
      </c>
    </row>
    <row r="467" spans="1:6" s="10" customFormat="1" x14ac:dyDescent="0.3">
      <c r="A467" s="24">
        <v>41842</v>
      </c>
      <c r="B467" s="10">
        <v>7767.8500979999999</v>
      </c>
      <c r="C467" s="10">
        <f t="shared" si="28"/>
        <v>7619.657519450001</v>
      </c>
      <c r="D467" s="10">
        <f t="shared" si="25"/>
        <v>100.22842416051961</v>
      </c>
      <c r="E467" s="10">
        <f t="shared" si="26"/>
        <v>7820.1143677710406</v>
      </c>
      <c r="F467" s="10">
        <f t="shared" si="27"/>
        <v>7419.2006711289614</v>
      </c>
    </row>
    <row r="468" spans="1:6" s="10" customFormat="1" x14ac:dyDescent="0.3">
      <c r="A468" s="24">
        <v>41843</v>
      </c>
      <c r="B468" s="10">
        <v>7795.75</v>
      </c>
      <c r="C468" s="10">
        <f t="shared" si="28"/>
        <v>7630.9825194500008</v>
      </c>
      <c r="D468" s="10">
        <f t="shared" si="25"/>
        <v>106.81305222171798</v>
      </c>
      <c r="E468" s="10">
        <f t="shared" si="26"/>
        <v>7844.6086238934367</v>
      </c>
      <c r="F468" s="10">
        <f t="shared" si="27"/>
        <v>7417.3564150065649</v>
      </c>
    </row>
    <row r="469" spans="1:6" s="10" customFormat="1" x14ac:dyDescent="0.3">
      <c r="A469" s="24">
        <v>41844</v>
      </c>
      <c r="B469" s="10">
        <v>7830.6000979999999</v>
      </c>
      <c r="C469" s="10">
        <f t="shared" si="28"/>
        <v>7647.8525146000002</v>
      </c>
      <c r="D469" s="10">
        <f t="shared" ref="D469:D532" si="29">_xlfn.STDEV.S(B450:B469)</f>
        <v>110.48762931029393</v>
      </c>
      <c r="E469" s="10">
        <f t="shared" si="26"/>
        <v>7868.8277732205879</v>
      </c>
      <c r="F469" s="10">
        <f t="shared" si="27"/>
        <v>7426.8772559794124</v>
      </c>
    </row>
    <row r="470" spans="1:6" s="10" customFormat="1" x14ac:dyDescent="0.3">
      <c r="A470" s="24">
        <v>41845</v>
      </c>
      <c r="B470" s="10">
        <v>7790.4501950000003</v>
      </c>
      <c r="C470" s="10">
        <f t="shared" si="28"/>
        <v>7661.9350341000008</v>
      </c>
      <c r="D470" s="10">
        <f t="shared" si="29"/>
        <v>109.77846200430221</v>
      </c>
      <c r="E470" s="10">
        <f t="shared" ref="E470:E533" si="30">C470+2*D470</f>
        <v>7881.4919581086051</v>
      </c>
      <c r="F470" s="10">
        <f t="shared" ref="F470:F533" si="31">C470-2*D470</f>
        <v>7442.3781100913966</v>
      </c>
    </row>
    <row r="471" spans="1:6" s="10" customFormat="1" x14ac:dyDescent="0.3">
      <c r="A471" s="24">
        <v>41848</v>
      </c>
      <c r="B471" s="10">
        <v>7748.7001950000003</v>
      </c>
      <c r="C471" s="10">
        <f t="shared" si="28"/>
        <v>7668.8025389500017</v>
      </c>
      <c r="D471" s="10">
        <f t="shared" si="29"/>
        <v>110.73938314539677</v>
      </c>
      <c r="E471" s="10">
        <f t="shared" si="30"/>
        <v>7890.2813052407955</v>
      </c>
      <c r="F471" s="10">
        <f t="shared" si="31"/>
        <v>7447.3237726592079</v>
      </c>
    </row>
    <row r="472" spans="1:6" s="10" customFormat="1" x14ac:dyDescent="0.3">
      <c r="A472" s="24">
        <v>41850</v>
      </c>
      <c r="B472" s="10">
        <v>7791.3999020000001</v>
      </c>
      <c r="C472" s="10">
        <f t="shared" si="28"/>
        <v>7676.637524300002</v>
      </c>
      <c r="D472" s="10">
        <f t="shared" si="29"/>
        <v>113.70331020137962</v>
      </c>
      <c r="E472" s="10">
        <f t="shared" si="30"/>
        <v>7904.0441447027615</v>
      </c>
      <c r="F472" s="10">
        <f t="shared" si="31"/>
        <v>7449.2309038972426</v>
      </c>
    </row>
    <row r="473" spans="1:6" s="10" customFormat="1" x14ac:dyDescent="0.3">
      <c r="A473" s="24">
        <v>41851</v>
      </c>
      <c r="B473" s="10">
        <v>7721.2998049999997</v>
      </c>
      <c r="C473" s="10">
        <f t="shared" si="28"/>
        <v>7676.4450194499996</v>
      </c>
      <c r="D473" s="10">
        <f t="shared" si="29"/>
        <v>113.62008246069895</v>
      </c>
      <c r="E473" s="10">
        <f t="shared" si="30"/>
        <v>7903.6851843713976</v>
      </c>
      <c r="F473" s="10">
        <f t="shared" si="31"/>
        <v>7449.2048545286016</v>
      </c>
    </row>
    <row r="474" spans="1:6" s="10" customFormat="1" x14ac:dyDescent="0.3">
      <c r="A474" s="24">
        <v>41852</v>
      </c>
      <c r="B474" s="10">
        <v>7602.6000979999999</v>
      </c>
      <c r="C474" s="10">
        <f t="shared" si="28"/>
        <v>7670.8350340999987</v>
      </c>
      <c r="D474" s="10">
        <f t="shared" si="29"/>
        <v>114.39393703246655</v>
      </c>
      <c r="E474" s="10">
        <f t="shared" si="30"/>
        <v>7899.6229081649317</v>
      </c>
      <c r="F474" s="10">
        <f t="shared" si="31"/>
        <v>7442.0471600350656</v>
      </c>
    </row>
    <row r="475" spans="1:6" s="10" customFormat="1" x14ac:dyDescent="0.3">
      <c r="A475" s="24">
        <v>41855</v>
      </c>
      <c r="B475" s="10">
        <v>7683.6499020000001</v>
      </c>
      <c r="C475" s="10">
        <f t="shared" si="28"/>
        <v>7667.4375242999986</v>
      </c>
      <c r="D475" s="10">
        <f t="shared" si="29"/>
        <v>112.86784251403148</v>
      </c>
      <c r="E475" s="10">
        <f t="shared" si="30"/>
        <v>7893.1732093280616</v>
      </c>
      <c r="F475" s="10">
        <f t="shared" si="31"/>
        <v>7441.7018392719356</v>
      </c>
    </row>
    <row r="476" spans="1:6" s="10" customFormat="1" x14ac:dyDescent="0.3">
      <c r="A476" s="24">
        <v>41856</v>
      </c>
      <c r="B476" s="10">
        <v>7746.5498049999997</v>
      </c>
      <c r="C476" s="10">
        <f t="shared" si="28"/>
        <v>7665.4075194499992</v>
      </c>
      <c r="D476" s="10">
        <f t="shared" si="29"/>
        <v>110.95023274822474</v>
      </c>
      <c r="E476" s="10">
        <f t="shared" si="30"/>
        <v>7887.3079849464484</v>
      </c>
      <c r="F476" s="10">
        <f t="shared" si="31"/>
        <v>7443.50705395355</v>
      </c>
    </row>
    <row r="477" spans="1:6" s="10" customFormat="1" x14ac:dyDescent="0.3">
      <c r="A477" s="24">
        <v>41857</v>
      </c>
      <c r="B477" s="10">
        <v>7672.0498049999997</v>
      </c>
      <c r="C477" s="10">
        <f t="shared" si="28"/>
        <v>7667.8499999499982</v>
      </c>
      <c r="D477" s="10">
        <f t="shared" si="29"/>
        <v>110.5089842242088</v>
      </c>
      <c r="E477" s="10">
        <f t="shared" si="30"/>
        <v>7888.8679683984155</v>
      </c>
      <c r="F477" s="10">
        <f t="shared" si="31"/>
        <v>7446.8320315015808</v>
      </c>
    </row>
    <row r="478" spans="1:6" s="10" customFormat="1" x14ac:dyDescent="0.3">
      <c r="A478" s="24">
        <v>41858</v>
      </c>
      <c r="B478" s="10">
        <v>7649.25</v>
      </c>
      <c r="C478" s="10">
        <f t="shared" si="28"/>
        <v>7671.0624999499978</v>
      </c>
      <c r="D478" s="10">
        <f t="shared" si="29"/>
        <v>108.89587268590873</v>
      </c>
      <c r="E478" s="10">
        <f t="shared" si="30"/>
        <v>7888.8542453218151</v>
      </c>
      <c r="F478" s="10">
        <f t="shared" si="31"/>
        <v>7453.2707545781805</v>
      </c>
    </row>
    <row r="479" spans="1:6" s="10" customFormat="1" x14ac:dyDescent="0.3">
      <c r="A479" s="24">
        <v>41859</v>
      </c>
      <c r="B479" s="10">
        <v>7568.5498049999997</v>
      </c>
      <c r="C479" s="10">
        <f t="shared" si="28"/>
        <v>7671.102490199999</v>
      </c>
      <c r="D479" s="10">
        <f t="shared" si="29"/>
        <v>108.85607559092307</v>
      </c>
      <c r="E479" s="10">
        <f t="shared" si="30"/>
        <v>7888.8146413818449</v>
      </c>
      <c r="F479" s="10">
        <f t="shared" si="31"/>
        <v>7453.3903390181531</v>
      </c>
    </row>
    <row r="480" spans="1:6" s="10" customFormat="1" x14ac:dyDescent="0.3">
      <c r="A480" s="24">
        <v>41862</v>
      </c>
      <c r="B480" s="10">
        <v>7625.9501950000003</v>
      </c>
      <c r="C480" s="10">
        <f t="shared" si="28"/>
        <v>7679.4199950500015</v>
      </c>
      <c r="D480" s="10">
        <f t="shared" si="29"/>
        <v>97.620400366065681</v>
      </c>
      <c r="E480" s="10">
        <f t="shared" si="30"/>
        <v>7874.6607957821325</v>
      </c>
      <c r="F480" s="10">
        <f t="shared" si="31"/>
        <v>7484.1791943178705</v>
      </c>
    </row>
    <row r="481" spans="1:6" s="10" customFormat="1" x14ac:dyDescent="0.3">
      <c r="A481" s="24">
        <v>41863</v>
      </c>
      <c r="B481" s="10">
        <v>7727.0498049999997</v>
      </c>
      <c r="C481" s="10">
        <f t="shared" si="28"/>
        <v>7693.0649902000005</v>
      </c>
      <c r="D481" s="10">
        <f t="shared" si="29"/>
        <v>82.354616687525279</v>
      </c>
      <c r="E481" s="10">
        <f t="shared" si="30"/>
        <v>7857.7742235750511</v>
      </c>
      <c r="F481" s="10">
        <f t="shared" si="31"/>
        <v>7528.3557568249498</v>
      </c>
    </row>
    <row r="482" spans="1:6" s="10" customFormat="1" x14ac:dyDescent="0.3">
      <c r="A482" s="24">
        <v>41864</v>
      </c>
      <c r="B482" s="10">
        <v>7739.5498049999997</v>
      </c>
      <c r="C482" s="10">
        <f t="shared" si="28"/>
        <v>7703.7099853499994</v>
      </c>
      <c r="D482" s="10">
        <f t="shared" si="29"/>
        <v>72.932525736839793</v>
      </c>
      <c r="E482" s="10">
        <f t="shared" si="30"/>
        <v>7849.5750368236786</v>
      </c>
      <c r="F482" s="10">
        <f t="shared" si="31"/>
        <v>7557.8449338763203</v>
      </c>
    </row>
    <row r="483" spans="1:6" s="10" customFormat="1" x14ac:dyDescent="0.3">
      <c r="A483" s="24">
        <v>41865</v>
      </c>
      <c r="B483" s="10">
        <v>7791.7001950000003</v>
      </c>
      <c r="C483" s="10">
        <f t="shared" si="28"/>
        <v>7712.0749999999998</v>
      </c>
      <c r="D483" s="10">
        <f t="shared" si="29"/>
        <v>72.95154526270521</v>
      </c>
      <c r="E483" s="10">
        <f t="shared" si="30"/>
        <v>7857.9780905254102</v>
      </c>
      <c r="F483" s="10">
        <f t="shared" si="31"/>
        <v>7566.1719094745895</v>
      </c>
    </row>
    <row r="484" spans="1:6" s="10" customFormat="1" x14ac:dyDescent="0.3">
      <c r="A484" s="24">
        <v>41869</v>
      </c>
      <c r="B484" s="10">
        <v>7874.25</v>
      </c>
      <c r="C484" s="10">
        <f t="shared" si="28"/>
        <v>7723.7649902500007</v>
      </c>
      <c r="D484" s="10">
        <f t="shared" si="29"/>
        <v>79.324162264697179</v>
      </c>
      <c r="E484" s="10">
        <f t="shared" si="30"/>
        <v>7882.4133147793946</v>
      </c>
      <c r="F484" s="10">
        <f t="shared" si="31"/>
        <v>7565.1166657206068</v>
      </c>
    </row>
    <row r="485" spans="1:6" s="10" customFormat="1" x14ac:dyDescent="0.3">
      <c r="A485" s="24">
        <v>41870</v>
      </c>
      <c r="B485" s="10">
        <v>7897.5</v>
      </c>
      <c r="C485" s="10">
        <f t="shared" si="28"/>
        <v>7735.444995150001</v>
      </c>
      <c r="D485" s="10">
        <f t="shared" si="29"/>
        <v>86.883378033974509</v>
      </c>
      <c r="E485" s="10">
        <f t="shared" si="30"/>
        <v>7909.2117512179502</v>
      </c>
      <c r="F485" s="10">
        <f t="shared" si="31"/>
        <v>7561.6782390820517</v>
      </c>
    </row>
    <row r="486" spans="1:6" s="10" customFormat="1" x14ac:dyDescent="0.3">
      <c r="A486" s="24">
        <v>41871</v>
      </c>
      <c r="B486" s="10">
        <v>7875.2998049999997</v>
      </c>
      <c r="C486" s="10">
        <f t="shared" si="28"/>
        <v>7744.999975650001</v>
      </c>
      <c r="D486" s="10">
        <f t="shared" si="29"/>
        <v>91.344660040954821</v>
      </c>
      <c r="E486" s="10">
        <f t="shared" si="30"/>
        <v>7927.6892957319105</v>
      </c>
      <c r="F486" s="10">
        <f t="shared" si="31"/>
        <v>7562.3106555680915</v>
      </c>
    </row>
    <row r="487" spans="1:6" s="10" customFormat="1" x14ac:dyDescent="0.3">
      <c r="A487" s="24">
        <v>41872</v>
      </c>
      <c r="B487" s="10">
        <v>7891.1000979999999</v>
      </c>
      <c r="C487" s="10">
        <f t="shared" si="28"/>
        <v>7751.1624756499996</v>
      </c>
      <c r="D487" s="10">
        <f t="shared" si="29"/>
        <v>96.952696272658642</v>
      </c>
      <c r="E487" s="10">
        <f t="shared" si="30"/>
        <v>7945.0678681953168</v>
      </c>
      <c r="F487" s="10">
        <f t="shared" si="31"/>
        <v>7557.2570831046824</v>
      </c>
    </row>
    <row r="488" spans="1:6" s="10" customFormat="1" x14ac:dyDescent="0.3">
      <c r="A488" s="24">
        <v>41873</v>
      </c>
      <c r="B488" s="10">
        <v>7913.2001950000003</v>
      </c>
      <c r="C488" s="10">
        <f t="shared" si="28"/>
        <v>7757.0349853999996</v>
      </c>
      <c r="D488" s="10">
        <f t="shared" si="29"/>
        <v>103.15423524367471</v>
      </c>
      <c r="E488" s="10">
        <f t="shared" si="30"/>
        <v>7963.3434558873487</v>
      </c>
      <c r="F488" s="10">
        <f t="shared" si="31"/>
        <v>7550.7265149126506</v>
      </c>
    </row>
    <row r="489" spans="1:6" s="10" customFormat="1" x14ac:dyDescent="0.3">
      <c r="A489" s="24">
        <v>41876</v>
      </c>
      <c r="B489" s="10">
        <v>7906.2998049999997</v>
      </c>
      <c r="C489" s="10">
        <f t="shared" si="28"/>
        <v>7760.8199707499998</v>
      </c>
      <c r="D489" s="10">
        <f t="shared" si="29"/>
        <v>107.30104404794847</v>
      </c>
      <c r="E489" s="10">
        <f t="shared" si="30"/>
        <v>7975.4220588458966</v>
      </c>
      <c r="F489" s="10">
        <f t="shared" si="31"/>
        <v>7546.2178826541031</v>
      </c>
    </row>
    <row r="490" spans="1:6" s="10" customFormat="1" x14ac:dyDescent="0.3">
      <c r="A490" s="24">
        <v>41877</v>
      </c>
      <c r="B490" s="10">
        <v>7904.75</v>
      </c>
      <c r="C490" s="10">
        <f t="shared" si="28"/>
        <v>7766.5349610000003</v>
      </c>
      <c r="D490" s="10">
        <f t="shared" si="29"/>
        <v>111.90725668617047</v>
      </c>
      <c r="E490" s="10">
        <f t="shared" si="30"/>
        <v>7990.3494743723413</v>
      </c>
      <c r="F490" s="10">
        <f t="shared" si="31"/>
        <v>7542.7204476276593</v>
      </c>
    </row>
    <row r="491" spans="1:6" s="10" customFormat="1" x14ac:dyDescent="0.3">
      <c r="A491" s="24">
        <v>41878</v>
      </c>
      <c r="B491" s="10">
        <v>7936.0498049999997</v>
      </c>
      <c r="C491" s="10">
        <f t="shared" si="28"/>
        <v>7775.9024414999994</v>
      </c>
      <c r="D491" s="10">
        <f t="shared" si="29"/>
        <v>118.01062787134144</v>
      </c>
      <c r="E491" s="10">
        <f t="shared" si="30"/>
        <v>8011.9236972426825</v>
      </c>
      <c r="F491" s="10">
        <f t="shared" si="31"/>
        <v>7539.8811857573164</v>
      </c>
    </row>
    <row r="492" spans="1:6" s="10" customFormat="1" x14ac:dyDescent="0.3">
      <c r="A492" s="24">
        <v>41879</v>
      </c>
      <c r="B492" s="10">
        <v>7954.3500979999999</v>
      </c>
      <c r="C492" s="10">
        <f t="shared" si="28"/>
        <v>7784.0499512999986</v>
      </c>
      <c r="D492" s="10">
        <f t="shared" si="29"/>
        <v>124.5791682405731</v>
      </c>
      <c r="E492" s="10">
        <f t="shared" si="30"/>
        <v>8033.2082877811445</v>
      </c>
      <c r="F492" s="10">
        <f t="shared" si="31"/>
        <v>7534.8916148188528</v>
      </c>
    </row>
    <row r="493" spans="1:6" s="10" customFormat="1" x14ac:dyDescent="0.3">
      <c r="A493" s="24">
        <v>41883</v>
      </c>
      <c r="B493" s="10">
        <v>8027.7001950000003</v>
      </c>
      <c r="C493" s="10">
        <f t="shared" si="28"/>
        <v>7799.3699707999986</v>
      </c>
      <c r="D493" s="10">
        <f t="shared" si="29"/>
        <v>134.87093527859531</v>
      </c>
      <c r="E493" s="10">
        <f t="shared" si="30"/>
        <v>8069.1118413571894</v>
      </c>
      <c r="F493" s="10">
        <f t="shared" si="31"/>
        <v>7529.6281002428077</v>
      </c>
    </row>
    <row r="494" spans="1:6" s="10" customFormat="1" x14ac:dyDescent="0.3">
      <c r="A494" s="24">
        <v>41884</v>
      </c>
      <c r="B494" s="10">
        <v>8083.0498049999997</v>
      </c>
      <c r="C494" s="10">
        <f t="shared" si="28"/>
        <v>7823.3924561499998</v>
      </c>
      <c r="D494" s="10">
        <f t="shared" si="29"/>
        <v>140.6427882630561</v>
      </c>
      <c r="E494" s="10">
        <f t="shared" si="30"/>
        <v>8104.6780326761118</v>
      </c>
      <c r="F494" s="10">
        <f t="shared" si="31"/>
        <v>7542.1068796238878</v>
      </c>
    </row>
    <row r="495" spans="1:6" s="10" customFormat="1" x14ac:dyDescent="0.3">
      <c r="A495" s="24">
        <v>41885</v>
      </c>
      <c r="B495" s="10">
        <v>8114.6000979999999</v>
      </c>
      <c r="C495" s="10">
        <f t="shared" si="28"/>
        <v>7844.9399659499995</v>
      </c>
      <c r="D495" s="10">
        <f t="shared" si="29"/>
        <v>150.75520233278502</v>
      </c>
      <c r="E495" s="10">
        <f t="shared" si="30"/>
        <v>8146.4503706155692</v>
      </c>
      <c r="F495" s="10">
        <f t="shared" si="31"/>
        <v>7543.4295612844298</v>
      </c>
    </row>
    <row r="496" spans="1:6" s="10" customFormat="1" x14ac:dyDescent="0.3">
      <c r="A496" s="24">
        <v>41886</v>
      </c>
      <c r="B496" s="10">
        <v>8095.9501950000003</v>
      </c>
      <c r="C496" s="10">
        <f t="shared" si="28"/>
        <v>7862.40998545</v>
      </c>
      <c r="D496" s="10">
        <f t="shared" si="29"/>
        <v>158.78435712210762</v>
      </c>
      <c r="E496" s="10">
        <f t="shared" si="30"/>
        <v>8179.9786996942148</v>
      </c>
      <c r="F496" s="10">
        <f t="shared" si="31"/>
        <v>7544.8412712057852</v>
      </c>
    </row>
    <row r="497" spans="1:6" s="10" customFormat="1" x14ac:dyDescent="0.3">
      <c r="A497" s="24">
        <v>41887</v>
      </c>
      <c r="B497" s="10">
        <v>8086.8500979999999</v>
      </c>
      <c r="C497" s="10">
        <f t="shared" si="28"/>
        <v>7883.1500000999995</v>
      </c>
      <c r="D497" s="10">
        <f t="shared" si="29"/>
        <v>159.69879064463083</v>
      </c>
      <c r="E497" s="10">
        <f t="shared" si="30"/>
        <v>8202.5475813892608</v>
      </c>
      <c r="F497" s="10">
        <f t="shared" si="31"/>
        <v>7563.7524188107382</v>
      </c>
    </row>
    <row r="498" spans="1:6" s="10" customFormat="1" x14ac:dyDescent="0.3">
      <c r="A498" s="24">
        <v>41890</v>
      </c>
      <c r="B498" s="10">
        <v>8173.8999020000001</v>
      </c>
      <c r="C498" s="10">
        <f t="shared" si="28"/>
        <v>7909.3824952000014</v>
      </c>
      <c r="D498" s="10">
        <f t="shared" si="29"/>
        <v>162.32420294266271</v>
      </c>
      <c r="E498" s="10">
        <f t="shared" si="30"/>
        <v>8234.0309010853271</v>
      </c>
      <c r="F498" s="10">
        <f t="shared" si="31"/>
        <v>7584.7340893146757</v>
      </c>
    </row>
    <row r="499" spans="1:6" s="10" customFormat="1" x14ac:dyDescent="0.3">
      <c r="A499" s="24">
        <v>41891</v>
      </c>
      <c r="B499" s="10">
        <v>8152.9501950000003</v>
      </c>
      <c r="C499" s="10">
        <f t="shared" ref="C499:C562" si="32">AVERAGE(B480:B499)</f>
        <v>7938.6025147000009</v>
      </c>
      <c r="D499" s="10">
        <f t="shared" si="29"/>
        <v>149.86237567984449</v>
      </c>
      <c r="E499" s="10">
        <f t="shared" si="30"/>
        <v>8238.3272660596904</v>
      </c>
      <c r="F499" s="10">
        <f t="shared" si="31"/>
        <v>7638.8777633403115</v>
      </c>
    </row>
    <row r="500" spans="1:6" s="10" customFormat="1" x14ac:dyDescent="0.3">
      <c r="A500" s="24">
        <v>41892</v>
      </c>
      <c r="B500" s="10">
        <v>8094.1000979999999</v>
      </c>
      <c r="C500" s="10">
        <f t="shared" si="32"/>
        <v>7962.0100098499997</v>
      </c>
      <c r="D500" s="10">
        <f t="shared" si="29"/>
        <v>134.20050004968692</v>
      </c>
      <c r="E500" s="10">
        <f t="shared" si="30"/>
        <v>8230.4110099493737</v>
      </c>
      <c r="F500" s="10">
        <f t="shared" si="31"/>
        <v>7693.6090097506258</v>
      </c>
    </row>
    <row r="501" spans="1:6" s="10" customFormat="1" x14ac:dyDescent="0.3">
      <c r="A501" s="24">
        <v>41893</v>
      </c>
      <c r="B501" s="10">
        <v>8085.7001950000003</v>
      </c>
      <c r="C501" s="10">
        <f t="shared" si="32"/>
        <v>7979.9425293500008</v>
      </c>
      <c r="D501" s="10">
        <f t="shared" si="29"/>
        <v>124.7834269075539</v>
      </c>
      <c r="E501" s="10">
        <f t="shared" si="30"/>
        <v>8229.5093831651084</v>
      </c>
      <c r="F501" s="10">
        <f t="shared" si="31"/>
        <v>7730.3756755348932</v>
      </c>
    </row>
    <row r="502" spans="1:6" s="10" customFormat="1" x14ac:dyDescent="0.3">
      <c r="A502" s="24">
        <v>41894</v>
      </c>
      <c r="B502" s="10">
        <v>8105.5</v>
      </c>
      <c r="C502" s="10">
        <f t="shared" si="32"/>
        <v>7998.2400391000001</v>
      </c>
      <c r="D502" s="10">
        <f t="shared" si="29"/>
        <v>114.04689899557884</v>
      </c>
      <c r="E502" s="10">
        <f t="shared" si="30"/>
        <v>8226.333837091157</v>
      </c>
      <c r="F502" s="10">
        <f t="shared" si="31"/>
        <v>7770.1462411088423</v>
      </c>
    </row>
    <row r="503" spans="1:6" s="10" customFormat="1" x14ac:dyDescent="0.3">
      <c r="A503" s="24">
        <v>41897</v>
      </c>
      <c r="B503" s="10">
        <v>8042</v>
      </c>
      <c r="C503" s="10">
        <f t="shared" si="32"/>
        <v>8010.7550293499999</v>
      </c>
      <c r="D503" s="10">
        <f t="shared" si="29"/>
        <v>103.42832137781343</v>
      </c>
      <c r="E503" s="10">
        <f t="shared" si="30"/>
        <v>8217.611672105626</v>
      </c>
      <c r="F503" s="10">
        <f t="shared" si="31"/>
        <v>7803.8983865943728</v>
      </c>
    </row>
    <row r="504" spans="1:6" s="10" customFormat="1" x14ac:dyDescent="0.3">
      <c r="A504" s="24">
        <v>41898</v>
      </c>
      <c r="B504" s="10">
        <v>7932.8999020000001</v>
      </c>
      <c r="C504" s="10">
        <f t="shared" si="32"/>
        <v>8013.6875244499997</v>
      </c>
      <c r="D504" s="10">
        <f t="shared" si="29"/>
        <v>100.13326458806964</v>
      </c>
      <c r="E504" s="10">
        <f t="shared" si="30"/>
        <v>8213.9540536261393</v>
      </c>
      <c r="F504" s="10">
        <f t="shared" si="31"/>
        <v>7813.4209952738602</v>
      </c>
    </row>
    <row r="505" spans="1:6" s="10" customFormat="1" x14ac:dyDescent="0.3">
      <c r="A505" s="24">
        <v>41899</v>
      </c>
      <c r="B505" s="10">
        <v>7975.5</v>
      </c>
      <c r="C505" s="10">
        <f t="shared" si="32"/>
        <v>8017.5875244499985</v>
      </c>
      <c r="D505" s="10">
        <f t="shared" si="29"/>
        <v>96.834446092293007</v>
      </c>
      <c r="E505" s="10">
        <f t="shared" si="30"/>
        <v>8211.2564166345837</v>
      </c>
      <c r="F505" s="10">
        <f t="shared" si="31"/>
        <v>7823.9186322654123</v>
      </c>
    </row>
    <row r="506" spans="1:6" s="10" customFormat="1" x14ac:dyDescent="0.3">
      <c r="A506" s="24">
        <v>41900</v>
      </c>
      <c r="B506" s="10">
        <v>8114.75</v>
      </c>
      <c r="C506" s="10">
        <f t="shared" si="32"/>
        <v>8029.5600342000007</v>
      </c>
      <c r="D506" s="10">
        <f t="shared" si="29"/>
        <v>93.044760254199645</v>
      </c>
      <c r="E506" s="10">
        <f t="shared" si="30"/>
        <v>8215.6495547083996</v>
      </c>
      <c r="F506" s="10">
        <f t="shared" si="31"/>
        <v>7843.4705136916018</v>
      </c>
    </row>
    <row r="507" spans="1:6" s="10" customFormat="1" x14ac:dyDescent="0.3">
      <c r="A507" s="24">
        <v>41901</v>
      </c>
      <c r="B507" s="10">
        <v>8121.4501950000003</v>
      </c>
      <c r="C507" s="10">
        <f t="shared" si="32"/>
        <v>8041.0775390500003</v>
      </c>
      <c r="D507" s="10">
        <f t="shared" si="29"/>
        <v>89.180128233880069</v>
      </c>
      <c r="E507" s="10">
        <f t="shared" si="30"/>
        <v>8219.4377955177606</v>
      </c>
      <c r="F507" s="10">
        <f t="shared" si="31"/>
        <v>7862.7172825822399</v>
      </c>
    </row>
    <row r="508" spans="1:6" s="10" customFormat="1" x14ac:dyDescent="0.3">
      <c r="A508" s="24">
        <v>41904</v>
      </c>
      <c r="B508" s="10">
        <v>8146.2998049999997</v>
      </c>
      <c r="C508" s="10">
        <f t="shared" si="32"/>
        <v>8052.7325195499998</v>
      </c>
      <c r="D508" s="10">
        <f t="shared" si="29"/>
        <v>86.788050622335831</v>
      </c>
      <c r="E508" s="10">
        <f t="shared" si="30"/>
        <v>8226.3086207946708</v>
      </c>
      <c r="F508" s="10">
        <f t="shared" si="31"/>
        <v>7879.1564183053279</v>
      </c>
    </row>
    <row r="509" spans="1:6" s="10" customFormat="1" x14ac:dyDescent="0.3">
      <c r="A509" s="24">
        <v>41905</v>
      </c>
      <c r="B509" s="10">
        <v>8017.5498049999997</v>
      </c>
      <c r="C509" s="10">
        <f t="shared" si="32"/>
        <v>8058.2950195499998</v>
      </c>
      <c r="D509" s="10">
        <f t="shared" si="29"/>
        <v>80.225866767488796</v>
      </c>
      <c r="E509" s="10">
        <f t="shared" si="30"/>
        <v>8218.7467530849772</v>
      </c>
      <c r="F509" s="10">
        <f t="shared" si="31"/>
        <v>7897.8432860150224</v>
      </c>
    </row>
    <row r="510" spans="1:6" s="10" customFormat="1" x14ac:dyDescent="0.3">
      <c r="A510" s="24">
        <v>41906</v>
      </c>
      <c r="B510" s="10">
        <v>8002.3999020000001</v>
      </c>
      <c r="C510" s="10">
        <f t="shared" si="32"/>
        <v>8063.1775146499986</v>
      </c>
      <c r="D510" s="10">
        <f t="shared" si="29"/>
        <v>73.038929865694271</v>
      </c>
      <c r="E510" s="10">
        <f t="shared" si="30"/>
        <v>8209.2553743813878</v>
      </c>
      <c r="F510" s="10">
        <f t="shared" si="31"/>
        <v>7917.0996549186102</v>
      </c>
    </row>
    <row r="511" spans="1:6" s="10" customFormat="1" x14ac:dyDescent="0.3">
      <c r="A511" s="24">
        <v>41907</v>
      </c>
      <c r="B511" s="10">
        <v>7911.8500979999999</v>
      </c>
      <c r="C511" s="10">
        <f t="shared" si="32"/>
        <v>8061.9675292999991</v>
      </c>
      <c r="D511" s="10">
        <f t="shared" si="29"/>
        <v>75.417529520576636</v>
      </c>
      <c r="E511" s="10">
        <f t="shared" si="30"/>
        <v>8212.8025883411519</v>
      </c>
      <c r="F511" s="10">
        <f t="shared" si="31"/>
        <v>7911.1324702588463</v>
      </c>
    </row>
    <row r="512" spans="1:6" s="10" customFormat="1" x14ac:dyDescent="0.3">
      <c r="A512" s="24">
        <v>41908</v>
      </c>
      <c r="B512" s="10">
        <v>7968.8500979999999</v>
      </c>
      <c r="C512" s="10">
        <f t="shared" si="32"/>
        <v>8062.6925292999995</v>
      </c>
      <c r="D512" s="10">
        <f t="shared" si="29"/>
        <v>74.391249985272196</v>
      </c>
      <c r="E512" s="10">
        <f t="shared" si="30"/>
        <v>8211.475029270543</v>
      </c>
      <c r="F512" s="10">
        <f t="shared" si="31"/>
        <v>7913.910029329455</v>
      </c>
    </row>
    <row r="513" spans="1:6" s="10" customFormat="1" x14ac:dyDescent="0.3">
      <c r="A513" s="24">
        <v>41911</v>
      </c>
      <c r="B513" s="10">
        <v>7958.8999020000001</v>
      </c>
      <c r="C513" s="10">
        <f t="shared" si="32"/>
        <v>8059.2525146499993</v>
      </c>
      <c r="D513" s="10">
        <f t="shared" si="29"/>
        <v>77.615406575350889</v>
      </c>
      <c r="E513" s="10">
        <f t="shared" si="30"/>
        <v>8214.4833278007009</v>
      </c>
      <c r="F513" s="10">
        <f t="shared" si="31"/>
        <v>7904.0217014992977</v>
      </c>
    </row>
    <row r="514" spans="1:6" s="10" customFormat="1" x14ac:dyDescent="0.3">
      <c r="A514" s="24">
        <v>41912</v>
      </c>
      <c r="B514" s="10">
        <v>7964.7998049999997</v>
      </c>
      <c r="C514" s="10">
        <f t="shared" si="32"/>
        <v>8053.3400146500007</v>
      </c>
      <c r="D514" s="10">
        <f t="shared" si="29"/>
        <v>80.169138840627539</v>
      </c>
      <c r="E514" s="10">
        <f t="shared" si="30"/>
        <v>8213.6782923312567</v>
      </c>
      <c r="F514" s="10">
        <f t="shared" si="31"/>
        <v>7893.0017369687457</v>
      </c>
    </row>
    <row r="515" spans="1:6" s="10" customFormat="1" x14ac:dyDescent="0.3">
      <c r="A515" s="24">
        <v>41913</v>
      </c>
      <c r="B515" s="10">
        <v>7945.5498049999997</v>
      </c>
      <c r="C515" s="10">
        <f t="shared" si="32"/>
        <v>8044.8874999999998</v>
      </c>
      <c r="D515" s="10">
        <f t="shared" si="29"/>
        <v>82.254981302584284</v>
      </c>
      <c r="E515" s="10">
        <f t="shared" si="30"/>
        <v>8209.3974626051677</v>
      </c>
      <c r="F515" s="10">
        <f t="shared" si="31"/>
        <v>7880.3775373948311</v>
      </c>
    </row>
    <row r="516" spans="1:6" s="10" customFormat="1" x14ac:dyDescent="0.3">
      <c r="A516" s="24">
        <v>41919</v>
      </c>
      <c r="B516" s="10">
        <v>7852.3999020000001</v>
      </c>
      <c r="C516" s="10">
        <f t="shared" si="32"/>
        <v>8032.7099853499985</v>
      </c>
      <c r="D516" s="10">
        <f t="shared" si="29"/>
        <v>91.774895184045576</v>
      </c>
      <c r="E516" s="10">
        <f t="shared" si="30"/>
        <v>8216.2597757180902</v>
      </c>
      <c r="F516" s="10">
        <f t="shared" si="31"/>
        <v>7849.1601949819078</v>
      </c>
    </row>
    <row r="517" spans="1:6" s="10" customFormat="1" x14ac:dyDescent="0.3">
      <c r="A517" s="24">
        <v>41920</v>
      </c>
      <c r="B517" s="10">
        <v>7842.7001950000003</v>
      </c>
      <c r="C517" s="10">
        <f t="shared" si="32"/>
        <v>8020.5024902000005</v>
      </c>
      <c r="D517" s="10">
        <f t="shared" si="29"/>
        <v>100.05843193095754</v>
      </c>
      <c r="E517" s="10">
        <f t="shared" si="30"/>
        <v>8220.6193540619151</v>
      </c>
      <c r="F517" s="10">
        <f t="shared" si="31"/>
        <v>7820.3856263380858</v>
      </c>
    </row>
    <row r="518" spans="1:6" s="10" customFormat="1" x14ac:dyDescent="0.3">
      <c r="A518" s="24">
        <v>41921</v>
      </c>
      <c r="B518" s="10">
        <v>7960.5498049999997</v>
      </c>
      <c r="C518" s="10">
        <f t="shared" si="32"/>
        <v>8009.8349853500013</v>
      </c>
      <c r="D518" s="10">
        <f t="shared" si="29"/>
        <v>94.035198205782507</v>
      </c>
      <c r="E518" s="10">
        <f t="shared" si="30"/>
        <v>8197.9053817615659</v>
      </c>
      <c r="F518" s="10">
        <f t="shared" si="31"/>
        <v>7821.7645889384366</v>
      </c>
    </row>
    <row r="519" spans="1:6" s="10" customFormat="1" x14ac:dyDescent="0.3">
      <c r="A519" s="24">
        <v>41922</v>
      </c>
      <c r="B519" s="10">
        <v>7859.9501950000003</v>
      </c>
      <c r="C519" s="10">
        <f t="shared" si="32"/>
        <v>7995.1849853500007</v>
      </c>
      <c r="D519" s="10">
        <f t="shared" si="29"/>
        <v>93.386798536070273</v>
      </c>
      <c r="E519" s="10">
        <f t="shared" si="30"/>
        <v>8181.9585824221413</v>
      </c>
      <c r="F519" s="10">
        <f t="shared" si="31"/>
        <v>7808.4113882778602</v>
      </c>
    </row>
    <row r="520" spans="1:6" s="10" customFormat="1" x14ac:dyDescent="0.3">
      <c r="A520" s="24">
        <v>41925</v>
      </c>
      <c r="B520" s="10">
        <v>7884.25</v>
      </c>
      <c r="C520" s="10">
        <f t="shared" si="32"/>
        <v>7984.6924804500013</v>
      </c>
      <c r="D520" s="10">
        <f t="shared" si="29"/>
        <v>93.477074858527146</v>
      </c>
      <c r="E520" s="10">
        <f t="shared" si="30"/>
        <v>8171.6466301670553</v>
      </c>
      <c r="F520" s="10">
        <f t="shared" si="31"/>
        <v>7797.7383307329474</v>
      </c>
    </row>
    <row r="521" spans="1:6" s="10" customFormat="1" x14ac:dyDescent="0.3">
      <c r="A521" s="24">
        <v>41926</v>
      </c>
      <c r="B521" s="10">
        <v>7864</v>
      </c>
      <c r="C521" s="10">
        <f t="shared" si="32"/>
        <v>7973.6074707000007</v>
      </c>
      <c r="D521" s="10">
        <f t="shared" si="29"/>
        <v>94.012282112899982</v>
      </c>
      <c r="E521" s="10">
        <f t="shared" si="30"/>
        <v>8161.6320349258003</v>
      </c>
      <c r="F521" s="10">
        <f t="shared" si="31"/>
        <v>7785.5829064742011</v>
      </c>
    </row>
    <row r="522" spans="1:6" s="10" customFormat="1" x14ac:dyDescent="0.3">
      <c r="A522" s="24">
        <v>41928</v>
      </c>
      <c r="B522" s="10">
        <v>7748.2001950000003</v>
      </c>
      <c r="C522" s="10">
        <f t="shared" si="32"/>
        <v>7955.7424804500015</v>
      </c>
      <c r="D522" s="10">
        <f t="shared" si="29"/>
        <v>101.29620912897686</v>
      </c>
      <c r="E522" s="10">
        <f t="shared" si="30"/>
        <v>8158.3348987079553</v>
      </c>
      <c r="F522" s="10">
        <f t="shared" si="31"/>
        <v>7753.1500621920477</v>
      </c>
    </row>
    <row r="523" spans="1:6" s="10" customFormat="1" x14ac:dyDescent="0.3">
      <c r="A523" s="24">
        <v>41929</v>
      </c>
      <c r="B523" s="10">
        <v>7779.7001950000003</v>
      </c>
      <c r="C523" s="10">
        <f t="shared" si="32"/>
        <v>7942.6274902000023</v>
      </c>
      <c r="D523" s="10">
        <f t="shared" si="29"/>
        <v>106.39251677694439</v>
      </c>
      <c r="E523" s="10">
        <f t="shared" si="30"/>
        <v>8155.412523753891</v>
      </c>
      <c r="F523" s="10">
        <f t="shared" si="31"/>
        <v>7729.8424566461135</v>
      </c>
    </row>
    <row r="524" spans="1:6" s="10" customFormat="1" x14ac:dyDescent="0.3">
      <c r="A524" s="24">
        <v>41932</v>
      </c>
      <c r="B524" s="10">
        <v>7879.3999020000001</v>
      </c>
      <c r="C524" s="10">
        <f t="shared" si="32"/>
        <v>7939.9524902000021</v>
      </c>
      <c r="D524" s="10">
        <f t="shared" si="29"/>
        <v>107.31850635863407</v>
      </c>
      <c r="E524" s="10">
        <f t="shared" si="30"/>
        <v>8154.5895029172698</v>
      </c>
      <c r="F524" s="10">
        <f t="shared" si="31"/>
        <v>7725.3154774827344</v>
      </c>
    </row>
    <row r="525" spans="1:6" s="10" customFormat="1" x14ac:dyDescent="0.3">
      <c r="A525" s="24">
        <v>41933</v>
      </c>
      <c r="B525" s="10">
        <v>7927.75</v>
      </c>
      <c r="C525" s="10">
        <f t="shared" si="32"/>
        <v>7937.5649902000023</v>
      </c>
      <c r="D525" s="10">
        <f t="shared" si="29"/>
        <v>107.01678336720821</v>
      </c>
      <c r="E525" s="10">
        <f t="shared" si="30"/>
        <v>8151.5985569344184</v>
      </c>
      <c r="F525" s="10">
        <f t="shared" si="31"/>
        <v>7723.5314234655862</v>
      </c>
    </row>
    <row r="526" spans="1:6" s="10" customFormat="1" x14ac:dyDescent="0.3">
      <c r="A526" s="24">
        <v>41934</v>
      </c>
      <c r="B526" s="10">
        <v>7995.8999020000001</v>
      </c>
      <c r="C526" s="10">
        <f t="shared" si="32"/>
        <v>7931.6224853000003</v>
      </c>
      <c r="D526" s="10">
        <f t="shared" si="29"/>
        <v>99.71047917006959</v>
      </c>
      <c r="E526" s="10">
        <f t="shared" si="30"/>
        <v>8131.0434436401392</v>
      </c>
      <c r="F526" s="10">
        <f t="shared" si="31"/>
        <v>7732.2015269598614</v>
      </c>
    </row>
    <row r="527" spans="1:6" s="10" customFormat="1" x14ac:dyDescent="0.3">
      <c r="A527" s="24">
        <v>41935</v>
      </c>
      <c r="B527" s="10">
        <v>8014.5498049999997</v>
      </c>
      <c r="C527" s="10">
        <f t="shared" si="32"/>
        <v>7926.2774657999998</v>
      </c>
      <c r="D527" s="10">
        <f t="shared" si="29"/>
        <v>91.528658090108408</v>
      </c>
      <c r="E527" s="10">
        <f t="shared" si="30"/>
        <v>8109.3347819802166</v>
      </c>
      <c r="F527" s="10">
        <f t="shared" si="31"/>
        <v>7743.2201496197831</v>
      </c>
    </row>
    <row r="528" spans="1:6" s="10" customFormat="1" x14ac:dyDescent="0.3">
      <c r="A528" s="24">
        <v>41939</v>
      </c>
      <c r="B528" s="10">
        <v>7991.7001950000003</v>
      </c>
      <c r="C528" s="10">
        <f t="shared" si="32"/>
        <v>7918.5474853000005</v>
      </c>
      <c r="D528" s="10">
        <f t="shared" si="29"/>
        <v>77.407894865301117</v>
      </c>
      <c r="E528" s="10">
        <f t="shared" si="30"/>
        <v>8073.3632750306024</v>
      </c>
      <c r="F528" s="10">
        <f t="shared" si="31"/>
        <v>7763.7316955693987</v>
      </c>
    </row>
    <row r="529" spans="1:6" s="10" customFormat="1" x14ac:dyDescent="0.3">
      <c r="A529" s="24">
        <v>41940</v>
      </c>
      <c r="B529" s="10">
        <v>8027.6000979999999</v>
      </c>
      <c r="C529" s="10">
        <f t="shared" si="32"/>
        <v>7919.0499999499998</v>
      </c>
      <c r="D529" s="10">
        <f t="shared" si="29"/>
        <v>78.113825238126452</v>
      </c>
      <c r="E529" s="10">
        <f t="shared" si="30"/>
        <v>8075.2776504262529</v>
      </c>
      <c r="F529" s="10">
        <f t="shared" si="31"/>
        <v>7762.8223494737467</v>
      </c>
    </row>
    <row r="530" spans="1:6" s="10" customFormat="1" x14ac:dyDescent="0.3">
      <c r="A530" s="24">
        <v>41941</v>
      </c>
      <c r="B530" s="10">
        <v>8090.4501950000003</v>
      </c>
      <c r="C530" s="10">
        <f t="shared" si="32"/>
        <v>7923.4525146000015</v>
      </c>
      <c r="D530" s="10">
        <f t="shared" si="29"/>
        <v>85.216999218367874</v>
      </c>
      <c r="E530" s="10">
        <f t="shared" si="30"/>
        <v>8093.8865130367376</v>
      </c>
      <c r="F530" s="10">
        <f t="shared" si="31"/>
        <v>7753.0185161632653</v>
      </c>
    </row>
    <row r="531" spans="1:6" s="10" customFormat="1" x14ac:dyDescent="0.3">
      <c r="A531" s="24">
        <v>41942</v>
      </c>
      <c r="B531" s="10">
        <v>8169.2001950000003</v>
      </c>
      <c r="C531" s="10">
        <f t="shared" si="32"/>
        <v>7936.3200194500005</v>
      </c>
      <c r="D531" s="10">
        <f t="shared" si="29"/>
        <v>101.28715169977416</v>
      </c>
      <c r="E531" s="10">
        <f t="shared" si="30"/>
        <v>8138.8943228495491</v>
      </c>
      <c r="F531" s="10">
        <f t="shared" si="31"/>
        <v>7733.7457160504518</v>
      </c>
    </row>
    <row r="532" spans="1:6" s="10" customFormat="1" x14ac:dyDescent="0.3">
      <c r="A532" s="24">
        <v>41943</v>
      </c>
      <c r="B532" s="10">
        <v>8322.2001949999994</v>
      </c>
      <c r="C532" s="10">
        <f t="shared" si="32"/>
        <v>7953.9875243000015</v>
      </c>
      <c r="D532" s="10">
        <f t="shared" si="29"/>
        <v>133.08587338714051</v>
      </c>
      <c r="E532" s="10">
        <f t="shared" si="30"/>
        <v>8220.1592710742825</v>
      </c>
      <c r="F532" s="10">
        <f t="shared" si="31"/>
        <v>7687.8157775257205</v>
      </c>
    </row>
    <row r="533" spans="1:6" s="10" customFormat="1" x14ac:dyDescent="0.3">
      <c r="A533" s="24">
        <v>41946</v>
      </c>
      <c r="B533" s="10">
        <v>8324.1503909999992</v>
      </c>
      <c r="C533" s="10">
        <f t="shared" si="32"/>
        <v>7972.250048750002</v>
      </c>
      <c r="D533" s="10">
        <f t="shared" ref="D533:D596" si="33">_xlfn.STDEV.S(B514:B533)</f>
        <v>156.75175893452794</v>
      </c>
      <c r="E533" s="10">
        <f t="shared" si="30"/>
        <v>8285.7535666190579</v>
      </c>
      <c r="F533" s="10">
        <f t="shared" si="31"/>
        <v>7658.746530880946</v>
      </c>
    </row>
    <row r="534" spans="1:6" s="10" customFormat="1" x14ac:dyDescent="0.3">
      <c r="A534" s="24">
        <v>41948</v>
      </c>
      <c r="B534" s="10">
        <v>8338.2998050000006</v>
      </c>
      <c r="C534" s="10">
        <f t="shared" si="32"/>
        <v>7990.9250487500003</v>
      </c>
      <c r="D534" s="10">
        <f t="shared" si="33"/>
        <v>176.7860690616366</v>
      </c>
      <c r="E534" s="10">
        <f t="shared" ref="E534:E597" si="34">C534+2*D534</f>
        <v>8344.4971868732737</v>
      </c>
      <c r="F534" s="10">
        <f t="shared" ref="F534:F597" si="35">C534-2*D534</f>
        <v>7637.352910626727</v>
      </c>
    </row>
    <row r="535" spans="1:6" s="10" customFormat="1" x14ac:dyDescent="0.3">
      <c r="A535" s="24">
        <v>41950</v>
      </c>
      <c r="B535" s="10">
        <v>8337</v>
      </c>
      <c r="C535" s="10">
        <f t="shared" si="32"/>
        <v>8010.4975584999993</v>
      </c>
      <c r="D535" s="10">
        <f t="shared" si="33"/>
        <v>192.47149706276952</v>
      </c>
      <c r="E535" s="10">
        <f t="shared" si="34"/>
        <v>8395.4405526255377</v>
      </c>
      <c r="F535" s="10">
        <f t="shared" si="35"/>
        <v>7625.5545643744599</v>
      </c>
    </row>
    <row r="536" spans="1:6" s="10" customFormat="1" x14ac:dyDescent="0.3">
      <c r="A536" s="24">
        <v>41953</v>
      </c>
      <c r="B536" s="10">
        <v>8344.25</v>
      </c>
      <c r="C536" s="10">
        <f t="shared" si="32"/>
        <v>8035.0900633999972</v>
      </c>
      <c r="D536" s="10">
        <f t="shared" si="33"/>
        <v>202.37540204717757</v>
      </c>
      <c r="E536" s="10">
        <f t="shared" si="34"/>
        <v>8439.840867494353</v>
      </c>
      <c r="F536" s="10">
        <f t="shared" si="35"/>
        <v>7630.3392593056424</v>
      </c>
    </row>
    <row r="537" spans="1:6" s="10" customFormat="1" x14ac:dyDescent="0.3">
      <c r="A537" s="24">
        <v>41954</v>
      </c>
      <c r="B537" s="10">
        <v>8362.6503909999992</v>
      </c>
      <c r="C537" s="10">
        <f t="shared" si="32"/>
        <v>8061.0875731999986</v>
      </c>
      <c r="D537" s="10">
        <f t="shared" si="33"/>
        <v>209.62683136818026</v>
      </c>
      <c r="E537" s="10">
        <f t="shared" si="34"/>
        <v>8480.3412359363592</v>
      </c>
      <c r="F537" s="10">
        <f t="shared" si="35"/>
        <v>7641.8339104636379</v>
      </c>
    </row>
    <row r="538" spans="1:6" s="10" customFormat="1" x14ac:dyDescent="0.3">
      <c r="A538" s="24">
        <v>41955</v>
      </c>
      <c r="B538" s="10">
        <v>8383.2998050000006</v>
      </c>
      <c r="C538" s="10">
        <f t="shared" si="32"/>
        <v>8082.2250731999984</v>
      </c>
      <c r="D538" s="10">
        <f t="shared" si="33"/>
        <v>220.01217209409916</v>
      </c>
      <c r="E538" s="10">
        <f t="shared" si="34"/>
        <v>8522.2494173881969</v>
      </c>
      <c r="F538" s="10">
        <f t="shared" si="35"/>
        <v>7642.2007290117999</v>
      </c>
    </row>
    <row r="539" spans="1:6" s="10" customFormat="1" x14ac:dyDescent="0.3">
      <c r="A539" s="24">
        <v>41956</v>
      </c>
      <c r="B539" s="10">
        <v>8357.8496090000008</v>
      </c>
      <c r="C539" s="10">
        <f t="shared" si="32"/>
        <v>8107.1200438999995</v>
      </c>
      <c r="D539" s="10">
        <f t="shared" si="33"/>
        <v>221.7002876638889</v>
      </c>
      <c r="E539" s="10">
        <f t="shared" si="34"/>
        <v>8550.5206192277765</v>
      </c>
      <c r="F539" s="10">
        <f t="shared" si="35"/>
        <v>7663.7194685722216</v>
      </c>
    </row>
    <row r="540" spans="1:6" s="10" customFormat="1" x14ac:dyDescent="0.3">
      <c r="A540" s="24">
        <v>41957</v>
      </c>
      <c r="B540" s="10">
        <v>8389.9003909999992</v>
      </c>
      <c r="C540" s="10">
        <f t="shared" si="32"/>
        <v>8132.4025634499994</v>
      </c>
      <c r="D540" s="10">
        <f t="shared" si="33"/>
        <v>223.76901692744826</v>
      </c>
      <c r="E540" s="10">
        <f t="shared" si="34"/>
        <v>8579.9405973048961</v>
      </c>
      <c r="F540" s="10">
        <f t="shared" si="35"/>
        <v>7684.8645295951028</v>
      </c>
    </row>
    <row r="541" spans="1:6" s="10" customFormat="1" x14ac:dyDescent="0.3">
      <c r="A541" s="24">
        <v>41960</v>
      </c>
      <c r="B541" s="10">
        <v>8430.75</v>
      </c>
      <c r="C541" s="10">
        <f t="shared" si="32"/>
        <v>8160.7400634499991</v>
      </c>
      <c r="D541" s="10">
        <f t="shared" si="33"/>
        <v>223.87612464101204</v>
      </c>
      <c r="E541" s="10">
        <f t="shared" si="34"/>
        <v>8608.4923127320235</v>
      </c>
      <c r="F541" s="10">
        <f t="shared" si="35"/>
        <v>7712.9878141679746</v>
      </c>
    </row>
    <row r="542" spans="1:6" s="10" customFormat="1" x14ac:dyDescent="0.3">
      <c r="A542" s="24">
        <v>41961</v>
      </c>
      <c r="B542" s="10">
        <v>8425.9003909999992</v>
      </c>
      <c r="C542" s="10">
        <f t="shared" si="32"/>
        <v>8194.6250732500012</v>
      </c>
      <c r="D542" s="10">
        <f t="shared" si="33"/>
        <v>208.93802190627562</v>
      </c>
      <c r="E542" s="10">
        <f t="shared" si="34"/>
        <v>8612.501117062553</v>
      </c>
      <c r="F542" s="10">
        <f t="shared" si="35"/>
        <v>7776.7490294374502</v>
      </c>
    </row>
    <row r="543" spans="1:6" s="10" customFormat="1" x14ac:dyDescent="0.3">
      <c r="A543" s="24">
        <v>41962</v>
      </c>
      <c r="B543" s="10">
        <v>8382.2998050000006</v>
      </c>
      <c r="C543" s="10">
        <f t="shared" si="32"/>
        <v>8224.7550537499992</v>
      </c>
      <c r="D543" s="10">
        <f t="shared" si="33"/>
        <v>188.39344032776461</v>
      </c>
      <c r="E543" s="10">
        <f t="shared" si="34"/>
        <v>8601.5419344055281</v>
      </c>
      <c r="F543" s="10">
        <f t="shared" si="35"/>
        <v>7847.9681730944703</v>
      </c>
    </row>
    <row r="544" spans="1:6" s="10" customFormat="1" x14ac:dyDescent="0.3">
      <c r="A544" s="24">
        <v>41963</v>
      </c>
      <c r="B544" s="10">
        <v>8401.9003909999992</v>
      </c>
      <c r="C544" s="10">
        <f t="shared" si="32"/>
        <v>8250.8800781999998</v>
      </c>
      <c r="D544" s="10">
        <f t="shared" si="33"/>
        <v>173.63143518914117</v>
      </c>
      <c r="E544" s="10">
        <f t="shared" si="34"/>
        <v>8598.1429485782828</v>
      </c>
      <c r="F544" s="10">
        <f t="shared" si="35"/>
        <v>7903.6172078217178</v>
      </c>
    </row>
    <row r="545" spans="1:6" s="10" customFormat="1" x14ac:dyDescent="0.3">
      <c r="A545" s="24">
        <v>41964</v>
      </c>
      <c r="B545" s="10">
        <v>8477.3496090000008</v>
      </c>
      <c r="C545" s="10">
        <f t="shared" si="32"/>
        <v>8278.3600586499997</v>
      </c>
      <c r="D545" s="10">
        <f t="shared" si="33"/>
        <v>162.96303178838227</v>
      </c>
      <c r="E545" s="10">
        <f t="shared" si="34"/>
        <v>8604.2861222267638</v>
      </c>
      <c r="F545" s="10">
        <f t="shared" si="35"/>
        <v>7952.4339950732356</v>
      </c>
    </row>
    <row r="546" spans="1:6" s="10" customFormat="1" x14ac:dyDescent="0.3">
      <c r="A546" s="24">
        <v>41967</v>
      </c>
      <c r="B546" s="10">
        <v>8530.1503909999992</v>
      </c>
      <c r="C546" s="10">
        <f t="shared" si="32"/>
        <v>8305.0725830999982</v>
      </c>
      <c r="D546" s="10">
        <f t="shared" si="33"/>
        <v>157.93494613187855</v>
      </c>
      <c r="E546" s="10">
        <f t="shared" si="34"/>
        <v>8620.9424753637559</v>
      </c>
      <c r="F546" s="10">
        <f t="shared" si="35"/>
        <v>7989.2026908362413</v>
      </c>
    </row>
    <row r="547" spans="1:6" s="10" customFormat="1" x14ac:dyDescent="0.3">
      <c r="A547" s="24">
        <v>41968</v>
      </c>
      <c r="B547" s="10">
        <v>8463.0996090000008</v>
      </c>
      <c r="C547" s="10">
        <f t="shared" si="32"/>
        <v>8327.5000733000015</v>
      </c>
      <c r="D547" s="10">
        <f t="shared" si="33"/>
        <v>145.89735161738017</v>
      </c>
      <c r="E547" s="10">
        <f t="shared" si="34"/>
        <v>8619.2947765347617</v>
      </c>
      <c r="F547" s="10">
        <f t="shared" si="35"/>
        <v>8035.7053700652414</v>
      </c>
    </row>
    <row r="548" spans="1:6" s="10" customFormat="1" x14ac:dyDescent="0.3">
      <c r="A548" s="24">
        <v>41969</v>
      </c>
      <c r="B548" s="10">
        <v>8475.75</v>
      </c>
      <c r="C548" s="10">
        <f t="shared" si="32"/>
        <v>8351.7025635499995</v>
      </c>
      <c r="D548" s="10">
        <f t="shared" si="33"/>
        <v>126.06096661715497</v>
      </c>
      <c r="E548" s="10">
        <f t="shared" si="34"/>
        <v>8603.8244967843093</v>
      </c>
      <c r="F548" s="10">
        <f t="shared" si="35"/>
        <v>8099.5806303156896</v>
      </c>
    </row>
    <row r="549" spans="1:6" s="10" customFormat="1" x14ac:dyDescent="0.3">
      <c r="A549" s="24">
        <v>41970</v>
      </c>
      <c r="B549" s="10">
        <v>8494.2001949999994</v>
      </c>
      <c r="C549" s="10">
        <f t="shared" si="32"/>
        <v>8375.0325684000018</v>
      </c>
      <c r="D549" s="10">
        <f t="shared" si="33"/>
        <v>104.20459709321547</v>
      </c>
      <c r="E549" s="10">
        <f t="shared" si="34"/>
        <v>8583.4417625864335</v>
      </c>
      <c r="F549" s="10">
        <f t="shared" si="35"/>
        <v>8166.623374213571</v>
      </c>
    </row>
    <row r="550" spans="1:6" s="10" customFormat="1" x14ac:dyDescent="0.3">
      <c r="A550" s="24">
        <v>41971</v>
      </c>
      <c r="B550" s="10">
        <v>8588.25</v>
      </c>
      <c r="C550" s="10">
        <f t="shared" si="32"/>
        <v>8399.9225586499997</v>
      </c>
      <c r="D550" s="10">
        <f t="shared" si="33"/>
        <v>91.305639604183014</v>
      </c>
      <c r="E550" s="10">
        <f t="shared" si="34"/>
        <v>8582.5338378583656</v>
      </c>
      <c r="F550" s="10">
        <f t="shared" si="35"/>
        <v>8217.3112794416338</v>
      </c>
    </row>
    <row r="551" spans="1:6" s="10" customFormat="1" x14ac:dyDescent="0.3">
      <c r="A551" s="24">
        <v>41974</v>
      </c>
      <c r="B551" s="10">
        <v>8555.9003909999992</v>
      </c>
      <c r="C551" s="10">
        <f t="shared" si="32"/>
        <v>8419.2575684500007</v>
      </c>
      <c r="D551" s="10">
        <f t="shared" si="33"/>
        <v>80.13708638264481</v>
      </c>
      <c r="E551" s="10">
        <f t="shared" si="34"/>
        <v>8579.5317412152908</v>
      </c>
      <c r="F551" s="10">
        <f t="shared" si="35"/>
        <v>8258.9833956847106</v>
      </c>
    </row>
    <row r="552" spans="1:6" s="10" customFormat="1" x14ac:dyDescent="0.3">
      <c r="A552" s="24">
        <v>41975</v>
      </c>
      <c r="B552" s="10">
        <v>8524.7001949999994</v>
      </c>
      <c r="C552" s="10">
        <f t="shared" si="32"/>
        <v>8429.3825684500007</v>
      </c>
      <c r="D552" s="10">
        <f t="shared" si="33"/>
        <v>80.021313251973808</v>
      </c>
      <c r="E552" s="10">
        <f t="shared" si="34"/>
        <v>8589.4251949539484</v>
      </c>
      <c r="F552" s="10">
        <f t="shared" si="35"/>
        <v>8269.3399419460529</v>
      </c>
    </row>
    <row r="553" spans="1:6" s="10" customFormat="1" x14ac:dyDescent="0.3">
      <c r="A553" s="24">
        <v>41976</v>
      </c>
      <c r="B553" s="10">
        <v>8537.6503909999992</v>
      </c>
      <c r="C553" s="10">
        <f t="shared" si="32"/>
        <v>8440.0575684500018</v>
      </c>
      <c r="D553" s="10">
        <f t="shared" si="33"/>
        <v>79.48313248591262</v>
      </c>
      <c r="E553" s="10">
        <f t="shared" si="34"/>
        <v>8599.0238334218266</v>
      </c>
      <c r="F553" s="10">
        <f t="shared" si="35"/>
        <v>8281.091303478177</v>
      </c>
    </row>
    <row r="554" spans="1:6" s="10" customFormat="1" x14ac:dyDescent="0.3">
      <c r="A554" s="24">
        <v>41977</v>
      </c>
      <c r="B554" s="10">
        <v>8564.4003909999992</v>
      </c>
      <c r="C554" s="10">
        <f t="shared" si="32"/>
        <v>8451.3625977500014</v>
      </c>
      <c r="D554" s="10">
        <f t="shared" si="33"/>
        <v>80.323104100208951</v>
      </c>
      <c r="E554" s="10">
        <f t="shared" si="34"/>
        <v>8612.0088059504196</v>
      </c>
      <c r="F554" s="10">
        <f t="shared" si="35"/>
        <v>8290.7163895495833</v>
      </c>
    </row>
    <row r="555" spans="1:6" s="10" customFormat="1" x14ac:dyDescent="0.3">
      <c r="A555" s="24">
        <v>41978</v>
      </c>
      <c r="B555" s="10">
        <v>8538.2998050000006</v>
      </c>
      <c r="C555" s="10">
        <f t="shared" si="32"/>
        <v>8461.4275880000005</v>
      </c>
      <c r="D555" s="10">
        <f t="shared" si="33"/>
        <v>77.811314851415617</v>
      </c>
      <c r="E555" s="10">
        <f t="shared" si="34"/>
        <v>8617.050217702832</v>
      </c>
      <c r="F555" s="10">
        <f t="shared" si="35"/>
        <v>8305.8049582971689</v>
      </c>
    </row>
    <row r="556" spans="1:6" s="10" customFormat="1" x14ac:dyDescent="0.3">
      <c r="A556" s="24">
        <v>41981</v>
      </c>
      <c r="B556" s="10">
        <v>8438.25</v>
      </c>
      <c r="C556" s="10">
        <f t="shared" si="32"/>
        <v>8466.1275879999994</v>
      </c>
      <c r="D556" s="10">
        <f t="shared" si="33"/>
        <v>73.054495562241073</v>
      </c>
      <c r="E556" s="10">
        <f t="shared" si="34"/>
        <v>8612.2365791244811</v>
      </c>
      <c r="F556" s="10">
        <f t="shared" si="35"/>
        <v>8320.0185968755177</v>
      </c>
    </row>
    <row r="557" spans="1:6" s="10" customFormat="1" x14ac:dyDescent="0.3">
      <c r="A557" s="24">
        <v>41982</v>
      </c>
      <c r="B557" s="10">
        <v>8340.7001949999994</v>
      </c>
      <c r="C557" s="10">
        <f t="shared" si="32"/>
        <v>8465.0300782000013</v>
      </c>
      <c r="D557" s="10">
        <f t="shared" si="33"/>
        <v>74.834075117729682</v>
      </c>
      <c r="E557" s="10">
        <f t="shared" si="34"/>
        <v>8614.6982284354599</v>
      </c>
      <c r="F557" s="10">
        <f t="shared" si="35"/>
        <v>8315.3619279645427</v>
      </c>
    </row>
    <row r="558" spans="1:6" s="10" customFormat="1" x14ac:dyDescent="0.3">
      <c r="A558" s="24">
        <v>41983</v>
      </c>
      <c r="B558" s="10">
        <v>8355.6503909999992</v>
      </c>
      <c r="C558" s="10">
        <f t="shared" si="32"/>
        <v>8463.6476074999991</v>
      </c>
      <c r="D558" s="10">
        <f t="shared" si="33"/>
        <v>76.656613367217574</v>
      </c>
      <c r="E558" s="10">
        <f t="shared" si="34"/>
        <v>8616.9608342344345</v>
      </c>
      <c r="F558" s="10">
        <f t="shared" si="35"/>
        <v>8310.3343807655638</v>
      </c>
    </row>
    <row r="559" spans="1:6" s="10" customFormat="1" x14ac:dyDescent="0.3">
      <c r="A559" s="24">
        <v>41984</v>
      </c>
      <c r="B559" s="10">
        <v>8292.9003909999992</v>
      </c>
      <c r="C559" s="10">
        <f t="shared" si="32"/>
        <v>8460.4001466000009</v>
      </c>
      <c r="D559" s="10">
        <f t="shared" si="33"/>
        <v>82.525583432189521</v>
      </c>
      <c r="E559" s="10">
        <f t="shared" si="34"/>
        <v>8625.4513134643803</v>
      </c>
      <c r="F559" s="10">
        <f t="shared" si="35"/>
        <v>8295.3489797356215</v>
      </c>
    </row>
    <row r="560" spans="1:6" s="10" customFormat="1" x14ac:dyDescent="0.3">
      <c r="A560" s="24">
        <v>41985</v>
      </c>
      <c r="B560" s="10">
        <v>8224.0996090000008</v>
      </c>
      <c r="C560" s="10">
        <f t="shared" si="32"/>
        <v>8452.1101075000006</v>
      </c>
      <c r="D560" s="10">
        <f t="shared" si="33"/>
        <v>97.032875617233415</v>
      </c>
      <c r="E560" s="10">
        <f t="shared" si="34"/>
        <v>8646.1758587344666</v>
      </c>
      <c r="F560" s="10">
        <f t="shared" si="35"/>
        <v>8258.0443562655346</v>
      </c>
    </row>
    <row r="561" spans="1:6" s="10" customFormat="1" x14ac:dyDescent="0.3">
      <c r="A561" s="24">
        <v>41988</v>
      </c>
      <c r="B561" s="10">
        <v>8219.5996090000008</v>
      </c>
      <c r="C561" s="10">
        <f t="shared" si="32"/>
        <v>8441.5525879500001</v>
      </c>
      <c r="D561" s="10">
        <f t="shared" si="33"/>
        <v>110.08796803125794</v>
      </c>
      <c r="E561" s="10">
        <f t="shared" si="34"/>
        <v>8661.7285240125166</v>
      </c>
      <c r="F561" s="10">
        <f t="shared" si="35"/>
        <v>8221.3766518874836</v>
      </c>
    </row>
    <row r="562" spans="1:6" s="10" customFormat="1" x14ac:dyDescent="0.3">
      <c r="A562" s="24">
        <v>41989</v>
      </c>
      <c r="B562" s="10">
        <v>8067.6000979999999</v>
      </c>
      <c r="C562" s="10">
        <f t="shared" si="32"/>
        <v>8423.6375732999986</v>
      </c>
      <c r="D562" s="10">
        <f t="shared" si="33"/>
        <v>138.30636699428956</v>
      </c>
      <c r="E562" s="10">
        <f t="shared" si="34"/>
        <v>8700.2503072885775</v>
      </c>
      <c r="F562" s="10">
        <f t="shared" si="35"/>
        <v>8147.0248393114198</v>
      </c>
    </row>
    <row r="563" spans="1:6" s="10" customFormat="1" x14ac:dyDescent="0.3">
      <c r="A563" s="24">
        <v>41990</v>
      </c>
      <c r="B563" s="10">
        <v>8029.7998049999997</v>
      </c>
      <c r="C563" s="10">
        <f t="shared" ref="C563:C626" si="36">AVERAGE(B544:B563)</f>
        <v>8406.0125732999986</v>
      </c>
      <c r="D563" s="10">
        <f t="shared" si="33"/>
        <v>163.93691598383415</v>
      </c>
      <c r="E563" s="10">
        <f t="shared" si="34"/>
        <v>8733.8864052676672</v>
      </c>
      <c r="F563" s="10">
        <f t="shared" si="35"/>
        <v>8078.13874133233</v>
      </c>
    </row>
    <row r="564" spans="1:6" s="10" customFormat="1" x14ac:dyDescent="0.3">
      <c r="A564" s="24">
        <v>41991</v>
      </c>
      <c r="B564" s="10">
        <v>8159.2998049999997</v>
      </c>
      <c r="C564" s="10">
        <f t="shared" si="36"/>
        <v>8393.8825439999982</v>
      </c>
      <c r="D564" s="10">
        <f t="shared" si="33"/>
        <v>172.98288077849713</v>
      </c>
      <c r="E564" s="10">
        <f t="shared" si="34"/>
        <v>8739.8483055569923</v>
      </c>
      <c r="F564" s="10">
        <f t="shared" si="35"/>
        <v>8047.9167824430042</v>
      </c>
    </row>
    <row r="565" spans="1:6" s="10" customFormat="1" x14ac:dyDescent="0.3">
      <c r="A565" s="24">
        <v>41992</v>
      </c>
      <c r="B565" s="10">
        <v>8225.2001949999994</v>
      </c>
      <c r="C565" s="10">
        <f t="shared" si="36"/>
        <v>8381.2750732999993</v>
      </c>
      <c r="D565" s="10">
        <f t="shared" si="33"/>
        <v>175.74600113464342</v>
      </c>
      <c r="E565" s="10">
        <f t="shared" si="34"/>
        <v>8732.767075569287</v>
      </c>
      <c r="F565" s="10">
        <f t="shared" si="35"/>
        <v>8029.7830710307126</v>
      </c>
    </row>
    <row r="566" spans="1:6" s="10" customFormat="1" x14ac:dyDescent="0.3">
      <c r="A566" s="24">
        <v>41995</v>
      </c>
      <c r="B566" s="10">
        <v>8324</v>
      </c>
      <c r="C566" s="10">
        <f t="shared" si="36"/>
        <v>8370.9675537499988</v>
      </c>
      <c r="D566" s="10">
        <f t="shared" si="33"/>
        <v>172.57159551561804</v>
      </c>
      <c r="E566" s="10">
        <f t="shared" si="34"/>
        <v>8716.1107447812356</v>
      </c>
      <c r="F566" s="10">
        <f t="shared" si="35"/>
        <v>8025.824362718763</v>
      </c>
    </row>
    <row r="567" spans="1:6" s="10" customFormat="1" x14ac:dyDescent="0.3">
      <c r="A567" s="24">
        <v>41996</v>
      </c>
      <c r="B567" s="10">
        <v>8267</v>
      </c>
      <c r="C567" s="10">
        <f t="shared" si="36"/>
        <v>8361.1625733000001</v>
      </c>
      <c r="D567" s="10">
        <f t="shared" si="33"/>
        <v>172.63230468450442</v>
      </c>
      <c r="E567" s="10">
        <f t="shared" si="34"/>
        <v>8706.4271826690092</v>
      </c>
      <c r="F567" s="10">
        <f t="shared" si="35"/>
        <v>8015.897963930991</v>
      </c>
    </row>
    <row r="568" spans="1:6" s="10" customFormat="1" x14ac:dyDescent="0.3">
      <c r="A568" s="24">
        <v>41997</v>
      </c>
      <c r="B568" s="10">
        <v>8174.1000979999999</v>
      </c>
      <c r="C568" s="10">
        <f t="shared" si="36"/>
        <v>8346.0800782000006</v>
      </c>
      <c r="D568" s="10">
        <f t="shared" si="33"/>
        <v>175.25151819025442</v>
      </c>
      <c r="E568" s="10">
        <f t="shared" si="34"/>
        <v>8696.5831145805096</v>
      </c>
      <c r="F568" s="10">
        <f t="shared" si="35"/>
        <v>7995.5770418194916</v>
      </c>
    </row>
    <row r="569" spans="1:6" s="10" customFormat="1" x14ac:dyDescent="0.3">
      <c r="A569" s="24">
        <v>41999</v>
      </c>
      <c r="B569" s="10">
        <v>8200.7001949999994</v>
      </c>
      <c r="C569" s="10">
        <f t="shared" si="36"/>
        <v>8331.4050782000013</v>
      </c>
      <c r="D569" s="10">
        <f t="shared" si="33"/>
        <v>174.48230597522257</v>
      </c>
      <c r="E569" s="10">
        <f t="shared" si="34"/>
        <v>8680.3696901504463</v>
      </c>
      <c r="F569" s="10">
        <f t="shared" si="35"/>
        <v>7982.4404662495563</v>
      </c>
    </row>
    <row r="570" spans="1:6" s="10" customFormat="1" x14ac:dyDescent="0.3">
      <c r="A570" s="24">
        <v>42002</v>
      </c>
      <c r="B570" s="10">
        <v>8246.2998050000006</v>
      </c>
      <c r="C570" s="10">
        <f t="shared" si="36"/>
        <v>8314.30756845</v>
      </c>
      <c r="D570" s="10">
        <f t="shared" si="33"/>
        <v>164.45516486251199</v>
      </c>
      <c r="E570" s="10">
        <f t="shared" si="34"/>
        <v>8643.2178981750239</v>
      </c>
      <c r="F570" s="10">
        <f t="shared" si="35"/>
        <v>7985.397238724976</v>
      </c>
    </row>
    <row r="571" spans="1:6" s="10" customFormat="1" x14ac:dyDescent="0.3">
      <c r="A571" s="24">
        <v>42003</v>
      </c>
      <c r="B571" s="10">
        <v>8248.25</v>
      </c>
      <c r="C571" s="10">
        <f t="shared" si="36"/>
        <v>8298.9250488999987</v>
      </c>
      <c r="D571" s="10">
        <f t="shared" si="33"/>
        <v>154.77123968464116</v>
      </c>
      <c r="E571" s="10">
        <f t="shared" si="34"/>
        <v>8608.4675282692806</v>
      </c>
      <c r="F571" s="10">
        <f t="shared" si="35"/>
        <v>7989.3825695307169</v>
      </c>
    </row>
    <row r="572" spans="1:6" s="10" customFormat="1" x14ac:dyDescent="0.3">
      <c r="A572" s="24">
        <v>42004</v>
      </c>
      <c r="B572" s="10">
        <v>8282.7001949999994</v>
      </c>
      <c r="C572" s="10">
        <f t="shared" si="36"/>
        <v>8286.8250489000002</v>
      </c>
      <c r="D572" s="10">
        <f t="shared" si="33"/>
        <v>145.36509849060678</v>
      </c>
      <c r="E572" s="10">
        <f t="shared" si="34"/>
        <v>8577.5552458812144</v>
      </c>
      <c r="F572" s="10">
        <f t="shared" si="35"/>
        <v>7996.0948519187868</v>
      </c>
    </row>
    <row r="573" spans="1:6" s="10" customFormat="1" x14ac:dyDescent="0.3">
      <c r="A573" s="24">
        <v>42006</v>
      </c>
      <c r="B573" s="10">
        <v>8395.4501949999994</v>
      </c>
      <c r="C573" s="10">
        <f t="shared" si="36"/>
        <v>8279.7150390999996</v>
      </c>
      <c r="D573" s="10">
        <f t="shared" si="33"/>
        <v>135.60085597133866</v>
      </c>
      <c r="E573" s="10">
        <f t="shared" si="34"/>
        <v>8550.9167510426778</v>
      </c>
      <c r="F573" s="10">
        <f t="shared" si="35"/>
        <v>8008.5133271573222</v>
      </c>
    </row>
    <row r="574" spans="1:6" s="10" customFormat="1" x14ac:dyDescent="0.3">
      <c r="A574" s="24">
        <v>42009</v>
      </c>
      <c r="B574" s="10">
        <v>8378.4003909999992</v>
      </c>
      <c r="C574" s="10">
        <f t="shared" si="36"/>
        <v>8270.4150391000003</v>
      </c>
      <c r="D574" s="10">
        <f t="shared" si="33"/>
        <v>120.59665260175849</v>
      </c>
      <c r="E574" s="10">
        <f t="shared" si="34"/>
        <v>8511.6083443035168</v>
      </c>
      <c r="F574" s="10">
        <f t="shared" si="35"/>
        <v>8029.2217338964829</v>
      </c>
    </row>
    <row r="575" spans="1:6" s="10" customFormat="1" x14ac:dyDescent="0.3">
      <c r="A575" s="24">
        <v>42010</v>
      </c>
      <c r="B575" s="10">
        <v>8127.3500979999999</v>
      </c>
      <c r="C575" s="10">
        <f t="shared" si="36"/>
        <v>8249.8675537500003</v>
      </c>
      <c r="D575" s="10">
        <f t="shared" si="33"/>
        <v>106.76803341891642</v>
      </c>
      <c r="E575" s="10">
        <f t="shared" si="34"/>
        <v>8463.4036205878328</v>
      </c>
      <c r="F575" s="10">
        <f t="shared" si="35"/>
        <v>8036.3314869121677</v>
      </c>
    </row>
    <row r="576" spans="1:6" s="10" customFormat="1" x14ac:dyDescent="0.3">
      <c r="A576" s="24">
        <v>42011</v>
      </c>
      <c r="B576" s="10">
        <v>8102.1000979999999</v>
      </c>
      <c r="C576" s="10">
        <f t="shared" si="36"/>
        <v>8233.0600586500004</v>
      </c>
      <c r="D576" s="10">
        <f t="shared" si="33"/>
        <v>101.89940429960626</v>
      </c>
      <c r="E576" s="10">
        <f t="shared" si="34"/>
        <v>8436.8588672492133</v>
      </c>
      <c r="F576" s="10">
        <f t="shared" si="35"/>
        <v>8029.2612500507876</v>
      </c>
    </row>
    <row r="577" spans="1:6" s="10" customFormat="1" x14ac:dyDescent="0.3">
      <c r="A577" s="24">
        <v>42012</v>
      </c>
      <c r="B577" s="10">
        <v>8234.5996090000008</v>
      </c>
      <c r="C577" s="10">
        <f t="shared" si="36"/>
        <v>8227.7550293499989</v>
      </c>
      <c r="D577" s="10">
        <f t="shared" si="33"/>
        <v>98.712604612964626</v>
      </c>
      <c r="E577" s="10">
        <f t="shared" si="34"/>
        <v>8425.1802385759274</v>
      </c>
      <c r="F577" s="10">
        <f t="shared" si="35"/>
        <v>8030.3298201240696</v>
      </c>
    </row>
    <row r="578" spans="1:6" s="10" customFormat="1" x14ac:dyDescent="0.3">
      <c r="A578" s="24">
        <v>42013</v>
      </c>
      <c r="B578" s="10">
        <v>8284.5</v>
      </c>
      <c r="C578" s="10">
        <f t="shared" si="36"/>
        <v>8224.1975098000003</v>
      </c>
      <c r="D578" s="10">
        <f t="shared" si="33"/>
        <v>95.075880259580259</v>
      </c>
      <c r="E578" s="10">
        <f t="shared" si="34"/>
        <v>8414.3492703191605</v>
      </c>
      <c r="F578" s="10">
        <f t="shared" si="35"/>
        <v>8034.04574928084</v>
      </c>
    </row>
    <row r="579" spans="1:6" s="10" customFormat="1" x14ac:dyDescent="0.3">
      <c r="A579" s="24">
        <v>42016</v>
      </c>
      <c r="B579" s="10">
        <v>8323</v>
      </c>
      <c r="C579" s="10">
        <f t="shared" si="36"/>
        <v>8225.7024902499998</v>
      </c>
      <c r="D579" s="10">
        <f t="shared" si="33"/>
        <v>96.448945861197814</v>
      </c>
      <c r="E579" s="10">
        <f t="shared" si="34"/>
        <v>8418.6003819723956</v>
      </c>
      <c r="F579" s="10">
        <f t="shared" si="35"/>
        <v>8032.804598527604</v>
      </c>
    </row>
    <row r="580" spans="1:6" s="10" customFormat="1" x14ac:dyDescent="0.3">
      <c r="A580" s="24">
        <v>42017</v>
      </c>
      <c r="B580" s="10">
        <v>8299.4003909999992</v>
      </c>
      <c r="C580" s="10">
        <f t="shared" si="36"/>
        <v>8229.4675293500004</v>
      </c>
      <c r="D580" s="10">
        <f t="shared" si="33"/>
        <v>97.842753800799542</v>
      </c>
      <c r="E580" s="10">
        <f t="shared" si="34"/>
        <v>8425.1530369516004</v>
      </c>
      <c r="F580" s="10">
        <f t="shared" si="35"/>
        <v>8033.7820217484013</v>
      </c>
    </row>
    <row r="581" spans="1:6" s="10" customFormat="1" x14ac:dyDescent="0.3">
      <c r="A581" s="24">
        <v>42018</v>
      </c>
      <c r="B581" s="10">
        <v>8277.5498050000006</v>
      </c>
      <c r="C581" s="10">
        <f t="shared" si="36"/>
        <v>8232.3650391499996</v>
      </c>
      <c r="D581" s="10">
        <f t="shared" si="33"/>
        <v>98.391672485124587</v>
      </c>
      <c r="E581" s="10">
        <f t="shared" si="34"/>
        <v>8429.148384120248</v>
      </c>
      <c r="F581" s="10">
        <f t="shared" si="35"/>
        <v>8035.5816941797502</v>
      </c>
    </row>
    <row r="582" spans="1:6" s="10" customFormat="1" x14ac:dyDescent="0.3">
      <c r="A582" s="24">
        <v>42019</v>
      </c>
      <c r="B582" s="10">
        <v>8494.1503909999992</v>
      </c>
      <c r="C582" s="10">
        <f t="shared" si="36"/>
        <v>8253.6925537999996</v>
      </c>
      <c r="D582" s="10">
        <f t="shared" si="33"/>
        <v>106.6781509870069</v>
      </c>
      <c r="E582" s="10">
        <f t="shared" si="34"/>
        <v>8467.0488557740136</v>
      </c>
      <c r="F582" s="10">
        <f t="shared" si="35"/>
        <v>8040.3362518259855</v>
      </c>
    </row>
    <row r="583" spans="1:6" s="10" customFormat="1" x14ac:dyDescent="0.3">
      <c r="A583" s="24">
        <v>42020</v>
      </c>
      <c r="B583" s="10">
        <v>8513.7998050000006</v>
      </c>
      <c r="C583" s="10">
        <f t="shared" si="36"/>
        <v>8277.8925537999985</v>
      </c>
      <c r="D583" s="10">
        <f t="shared" si="33"/>
        <v>108.10310605200419</v>
      </c>
      <c r="E583" s="10">
        <f t="shared" si="34"/>
        <v>8494.0987659040075</v>
      </c>
      <c r="F583" s="10">
        <f t="shared" si="35"/>
        <v>8061.6863416959904</v>
      </c>
    </row>
    <row r="584" spans="1:6" s="10" customFormat="1" x14ac:dyDescent="0.3">
      <c r="A584" s="24">
        <v>42023</v>
      </c>
      <c r="B584" s="10">
        <v>8550.7001949999994</v>
      </c>
      <c r="C584" s="10">
        <f t="shared" si="36"/>
        <v>8297.4625732999993</v>
      </c>
      <c r="D584" s="10">
        <f t="shared" si="33"/>
        <v>120.24960991036117</v>
      </c>
      <c r="E584" s="10">
        <f t="shared" si="34"/>
        <v>8537.9617931207213</v>
      </c>
      <c r="F584" s="10">
        <f t="shared" si="35"/>
        <v>8056.9633534792774</v>
      </c>
    </row>
    <row r="585" spans="1:6" s="10" customFormat="1" x14ac:dyDescent="0.3">
      <c r="A585" s="24">
        <v>42024</v>
      </c>
      <c r="B585" s="10">
        <v>8695.5996090000008</v>
      </c>
      <c r="C585" s="10">
        <f t="shared" si="36"/>
        <v>8320.9825440000004</v>
      </c>
      <c r="D585" s="10">
        <f t="shared" si="33"/>
        <v>148.14055779849238</v>
      </c>
      <c r="E585" s="10">
        <f t="shared" si="34"/>
        <v>8617.2636595969852</v>
      </c>
      <c r="F585" s="10">
        <f t="shared" si="35"/>
        <v>8024.7014284030156</v>
      </c>
    </row>
    <row r="586" spans="1:6" s="10" customFormat="1" x14ac:dyDescent="0.3">
      <c r="A586" s="24">
        <v>42025</v>
      </c>
      <c r="B586" s="10">
        <v>8729.5</v>
      </c>
      <c r="C586" s="10">
        <f t="shared" si="36"/>
        <v>8341.2575439999982</v>
      </c>
      <c r="D586" s="10">
        <f t="shared" si="33"/>
        <v>174.05727532052879</v>
      </c>
      <c r="E586" s="10">
        <f t="shared" si="34"/>
        <v>8689.3720946410558</v>
      </c>
      <c r="F586" s="10">
        <f t="shared" si="35"/>
        <v>7993.1429933589407</v>
      </c>
    </row>
    <row r="587" spans="1:6" s="10" customFormat="1" x14ac:dyDescent="0.3">
      <c r="A587" s="24">
        <v>42026</v>
      </c>
      <c r="B587" s="10">
        <v>8761.4003909999992</v>
      </c>
      <c r="C587" s="10">
        <f t="shared" si="36"/>
        <v>8365.9775635500009</v>
      </c>
      <c r="D587" s="10">
        <f t="shared" si="33"/>
        <v>196.60366335686174</v>
      </c>
      <c r="E587" s="10">
        <f t="shared" si="34"/>
        <v>8759.1848902637248</v>
      </c>
      <c r="F587" s="10">
        <f t="shared" si="35"/>
        <v>7972.770236836277</v>
      </c>
    </row>
    <row r="588" spans="1:6" s="10" customFormat="1" x14ac:dyDescent="0.3">
      <c r="A588" s="24">
        <v>42027</v>
      </c>
      <c r="B588" s="10">
        <v>8835.5996090000008</v>
      </c>
      <c r="C588" s="10">
        <f t="shared" si="36"/>
        <v>8399.052539100001</v>
      </c>
      <c r="D588" s="10">
        <f t="shared" si="33"/>
        <v>217.18968572189263</v>
      </c>
      <c r="E588" s="10">
        <f t="shared" si="34"/>
        <v>8833.4319105437862</v>
      </c>
      <c r="F588" s="10">
        <f t="shared" si="35"/>
        <v>7964.6731676562158</v>
      </c>
    </row>
    <row r="589" spans="1:6" s="10" customFormat="1" x14ac:dyDescent="0.3">
      <c r="A589" s="24">
        <v>42031</v>
      </c>
      <c r="B589" s="10">
        <v>8910.5</v>
      </c>
      <c r="C589" s="10">
        <f t="shared" si="36"/>
        <v>8434.5425293500011</v>
      </c>
      <c r="D589" s="10">
        <f t="shared" si="33"/>
        <v>239.87934431903861</v>
      </c>
      <c r="E589" s="10">
        <f t="shared" si="34"/>
        <v>8914.3012179880789</v>
      </c>
      <c r="F589" s="10">
        <f t="shared" si="35"/>
        <v>7954.7838407119243</v>
      </c>
    </row>
    <row r="590" spans="1:6" s="10" customFormat="1" x14ac:dyDescent="0.3">
      <c r="A590" s="24">
        <v>42032</v>
      </c>
      <c r="B590" s="10">
        <v>8914.2998050000006</v>
      </c>
      <c r="C590" s="10">
        <f t="shared" si="36"/>
        <v>8467.9425293499989</v>
      </c>
      <c r="D590" s="10">
        <f t="shared" si="33"/>
        <v>258.10242938721933</v>
      </c>
      <c r="E590" s="10">
        <f t="shared" si="34"/>
        <v>8984.1473881244383</v>
      </c>
      <c r="F590" s="10">
        <f t="shared" si="35"/>
        <v>7951.7376705755605</v>
      </c>
    </row>
    <row r="591" spans="1:6" s="10" customFormat="1" x14ac:dyDescent="0.3">
      <c r="A591" s="24">
        <v>42033</v>
      </c>
      <c r="B591" s="10">
        <v>8952.3496090000008</v>
      </c>
      <c r="C591" s="10">
        <f t="shared" si="36"/>
        <v>8503.1475097999992</v>
      </c>
      <c r="D591" s="10">
        <f t="shared" si="33"/>
        <v>274.08393023509871</v>
      </c>
      <c r="E591" s="10">
        <f t="shared" si="34"/>
        <v>9051.3153702701966</v>
      </c>
      <c r="F591" s="10">
        <f t="shared" si="35"/>
        <v>7954.9796493298018</v>
      </c>
    </row>
    <row r="592" spans="1:6" s="10" customFormat="1" x14ac:dyDescent="0.3">
      <c r="A592" s="24">
        <v>42034</v>
      </c>
      <c r="B592" s="10">
        <v>8808.9003909999992</v>
      </c>
      <c r="C592" s="10">
        <f t="shared" si="36"/>
        <v>8529.4575196000005</v>
      </c>
      <c r="D592" s="10">
        <f t="shared" si="33"/>
        <v>277.04849365516264</v>
      </c>
      <c r="E592" s="10">
        <f t="shared" si="34"/>
        <v>9083.5545069103264</v>
      </c>
      <c r="F592" s="10">
        <f t="shared" si="35"/>
        <v>7975.3605322896756</v>
      </c>
    </row>
    <row r="593" spans="1:6" s="10" customFormat="1" x14ac:dyDescent="0.3">
      <c r="A593" s="24">
        <v>42037</v>
      </c>
      <c r="B593" s="10">
        <v>8797.4003909999992</v>
      </c>
      <c r="C593" s="10">
        <f t="shared" si="36"/>
        <v>8549.5550293999986</v>
      </c>
      <c r="D593" s="10">
        <f t="shared" si="33"/>
        <v>281.36123158857015</v>
      </c>
      <c r="E593" s="10">
        <f t="shared" si="34"/>
        <v>9112.2774925771391</v>
      </c>
      <c r="F593" s="10">
        <f t="shared" si="35"/>
        <v>7986.8325662228581</v>
      </c>
    </row>
    <row r="594" spans="1:6" s="10" customFormat="1" x14ac:dyDescent="0.3">
      <c r="A594" s="24">
        <v>42038</v>
      </c>
      <c r="B594" s="10">
        <v>8756.5498050000006</v>
      </c>
      <c r="C594" s="10">
        <f t="shared" si="36"/>
        <v>8568.4625000999986</v>
      </c>
      <c r="D594" s="10">
        <f t="shared" si="33"/>
        <v>281.95947712711597</v>
      </c>
      <c r="E594" s="10">
        <f t="shared" si="34"/>
        <v>9132.3814543542303</v>
      </c>
      <c r="F594" s="10">
        <f t="shared" si="35"/>
        <v>8004.5435458457669</v>
      </c>
    </row>
    <row r="595" spans="1:6" s="10" customFormat="1" x14ac:dyDescent="0.3">
      <c r="A595" s="24">
        <v>42039</v>
      </c>
      <c r="B595" s="10">
        <v>8723.7001949999994</v>
      </c>
      <c r="C595" s="10">
        <f t="shared" si="36"/>
        <v>8598.2800049500001</v>
      </c>
      <c r="D595" s="10">
        <f t="shared" si="33"/>
        <v>263.804024830233</v>
      </c>
      <c r="E595" s="10">
        <f t="shared" si="34"/>
        <v>9125.8880546104665</v>
      </c>
      <c r="F595" s="10">
        <f t="shared" si="35"/>
        <v>8070.6719552895338</v>
      </c>
    </row>
    <row r="596" spans="1:6" s="10" customFormat="1" x14ac:dyDescent="0.3">
      <c r="A596" s="24">
        <v>42040</v>
      </c>
      <c r="B596" s="10">
        <v>8711.7001949999994</v>
      </c>
      <c r="C596" s="10">
        <f t="shared" si="36"/>
        <v>8628.7600098000003</v>
      </c>
      <c r="D596" s="10">
        <f t="shared" si="33"/>
        <v>237.34803807166699</v>
      </c>
      <c r="E596" s="10">
        <f t="shared" si="34"/>
        <v>9103.456085943335</v>
      </c>
      <c r="F596" s="10">
        <f t="shared" si="35"/>
        <v>8154.0639336566664</v>
      </c>
    </row>
    <row r="597" spans="1:6" s="10" customFormat="1" x14ac:dyDescent="0.3">
      <c r="A597" s="24">
        <v>42041</v>
      </c>
      <c r="B597" s="10">
        <v>8661.0498050000006</v>
      </c>
      <c r="C597" s="10">
        <f t="shared" si="36"/>
        <v>8650.0825195999987</v>
      </c>
      <c r="D597" s="10">
        <f t="shared" ref="D597:D660" si="37">_xlfn.STDEV.S(B578:B597)</f>
        <v>218.4797898860912</v>
      </c>
      <c r="E597" s="10">
        <f t="shared" si="34"/>
        <v>9087.0420993721818</v>
      </c>
      <c r="F597" s="10">
        <f t="shared" si="35"/>
        <v>8213.1229398278156</v>
      </c>
    </row>
    <row r="598" spans="1:6" s="10" customFormat="1" x14ac:dyDescent="0.3">
      <c r="A598" s="24">
        <v>42044</v>
      </c>
      <c r="B598" s="10">
        <v>8526.3496090000008</v>
      </c>
      <c r="C598" s="10">
        <f t="shared" si="36"/>
        <v>8662.1750000499997</v>
      </c>
      <c r="D598" s="10">
        <f t="shared" si="37"/>
        <v>203.34953651863515</v>
      </c>
      <c r="E598" s="10">
        <f t="shared" ref="E598:E661" si="38">C598+2*D598</f>
        <v>9068.8740730872705</v>
      </c>
      <c r="F598" s="10">
        <f t="shared" ref="F598:F661" si="39">C598-2*D598</f>
        <v>8255.4759270127288</v>
      </c>
    </row>
    <row r="599" spans="1:6" s="10" customFormat="1" x14ac:dyDescent="0.3">
      <c r="A599" s="24">
        <v>42045</v>
      </c>
      <c r="B599" s="10">
        <v>8565.5498050000006</v>
      </c>
      <c r="C599" s="10">
        <f t="shared" si="36"/>
        <v>8674.3024903000005</v>
      </c>
      <c r="D599" s="10">
        <f t="shared" si="37"/>
        <v>188.76675573014313</v>
      </c>
      <c r="E599" s="10">
        <f t="shared" si="38"/>
        <v>9051.8360017602863</v>
      </c>
      <c r="F599" s="10">
        <f t="shared" si="39"/>
        <v>8296.7689788397147</v>
      </c>
    </row>
    <row r="600" spans="1:6" s="10" customFormat="1" x14ac:dyDescent="0.3">
      <c r="A600" s="24">
        <v>42046</v>
      </c>
      <c r="B600" s="10">
        <v>8627.4003909999992</v>
      </c>
      <c r="C600" s="10">
        <f t="shared" si="36"/>
        <v>8690.7024903000001</v>
      </c>
      <c r="D600" s="10">
        <f t="shared" si="37"/>
        <v>167.53536879809906</v>
      </c>
      <c r="E600" s="10">
        <f t="shared" si="38"/>
        <v>9025.7732278961976</v>
      </c>
      <c r="F600" s="10">
        <f t="shared" si="39"/>
        <v>8355.6317527038027</v>
      </c>
    </row>
    <row r="601" spans="1:6" s="10" customFormat="1" x14ac:dyDescent="0.3">
      <c r="A601" s="24">
        <v>42047</v>
      </c>
      <c r="B601" s="10">
        <v>8711.5498050000006</v>
      </c>
      <c r="C601" s="10">
        <f t="shared" si="36"/>
        <v>8712.402490299999</v>
      </c>
      <c r="D601" s="10">
        <f t="shared" si="37"/>
        <v>136.42340540961874</v>
      </c>
      <c r="E601" s="10">
        <f t="shared" si="38"/>
        <v>8985.2493011192364</v>
      </c>
      <c r="F601" s="10">
        <f t="shared" si="39"/>
        <v>8439.5556794807617</v>
      </c>
    </row>
    <row r="602" spans="1:6" s="10" customFormat="1" x14ac:dyDescent="0.3">
      <c r="A602" s="24">
        <v>42048</v>
      </c>
      <c r="B602" s="10">
        <v>8805.5</v>
      </c>
      <c r="C602" s="10">
        <f t="shared" si="36"/>
        <v>8727.9699707499985</v>
      </c>
      <c r="D602" s="10">
        <f t="shared" si="37"/>
        <v>127.69243555056075</v>
      </c>
      <c r="E602" s="10">
        <f t="shared" si="38"/>
        <v>8983.35484185112</v>
      </c>
      <c r="F602" s="10">
        <f t="shared" si="39"/>
        <v>8472.5850996488771</v>
      </c>
    </row>
    <row r="603" spans="1:6" s="10" customFormat="1" x14ac:dyDescent="0.3">
      <c r="A603" s="24">
        <v>42051</v>
      </c>
      <c r="B603" s="10">
        <v>8809.3496090000008</v>
      </c>
      <c r="C603" s="10">
        <f t="shared" si="36"/>
        <v>8742.7474609499986</v>
      </c>
      <c r="D603" s="10">
        <f t="shared" si="37"/>
        <v>118.36342454534831</v>
      </c>
      <c r="E603" s="10">
        <f t="shared" si="38"/>
        <v>8979.4743100406959</v>
      </c>
      <c r="F603" s="10">
        <f t="shared" si="39"/>
        <v>8506.0206118593014</v>
      </c>
    </row>
    <row r="604" spans="1:6" s="10" customFormat="1" x14ac:dyDescent="0.3">
      <c r="A604" s="24">
        <v>42053</v>
      </c>
      <c r="B604" s="10">
        <v>8869.0996090000008</v>
      </c>
      <c r="C604" s="10">
        <f t="shared" si="36"/>
        <v>8758.6674316499993</v>
      </c>
      <c r="D604" s="10">
        <f t="shared" si="37"/>
        <v>112.4375636679605</v>
      </c>
      <c r="E604" s="10">
        <f t="shared" si="38"/>
        <v>8983.5425589859206</v>
      </c>
      <c r="F604" s="10">
        <f t="shared" si="39"/>
        <v>8533.7923043140781</v>
      </c>
    </row>
    <row r="605" spans="1:6" s="10" customFormat="1" x14ac:dyDescent="0.3">
      <c r="A605" s="24">
        <v>42054</v>
      </c>
      <c r="B605" s="10">
        <v>8895.2998050000006</v>
      </c>
      <c r="C605" s="10">
        <f t="shared" si="36"/>
        <v>8768.6524414499982</v>
      </c>
      <c r="D605" s="10">
        <f t="shared" si="37"/>
        <v>115.37097042685869</v>
      </c>
      <c r="E605" s="10">
        <f t="shared" si="38"/>
        <v>8999.3943823037152</v>
      </c>
      <c r="F605" s="10">
        <f t="shared" si="39"/>
        <v>8537.9105005962811</v>
      </c>
    </row>
    <row r="606" spans="1:6" s="10" customFormat="1" x14ac:dyDescent="0.3">
      <c r="A606" s="24">
        <v>42055</v>
      </c>
      <c r="B606" s="10">
        <v>8833.5996090000008</v>
      </c>
      <c r="C606" s="10">
        <f t="shared" si="36"/>
        <v>8773.8574218999984</v>
      </c>
      <c r="D606" s="10">
        <f t="shared" si="37"/>
        <v>115.85883879214971</v>
      </c>
      <c r="E606" s="10">
        <f t="shared" si="38"/>
        <v>9005.5750994842983</v>
      </c>
      <c r="F606" s="10">
        <f t="shared" si="39"/>
        <v>8542.1397443156984</v>
      </c>
    </row>
    <row r="607" spans="1:6" s="10" customFormat="1" x14ac:dyDescent="0.3">
      <c r="A607" s="24">
        <v>42058</v>
      </c>
      <c r="B607" s="10">
        <v>8754.9501949999994</v>
      </c>
      <c r="C607" s="10">
        <f t="shared" si="36"/>
        <v>8773.5349120999999</v>
      </c>
      <c r="D607" s="10">
        <f t="shared" si="37"/>
        <v>115.90430838861587</v>
      </c>
      <c r="E607" s="10">
        <f t="shared" si="38"/>
        <v>9005.3435288772325</v>
      </c>
      <c r="F607" s="10">
        <f t="shared" si="39"/>
        <v>8541.7262953227673</v>
      </c>
    </row>
    <row r="608" spans="1:6" s="10" customFormat="1" x14ac:dyDescent="0.3">
      <c r="A608" s="24">
        <v>42059</v>
      </c>
      <c r="B608" s="10">
        <v>8762.0996090000008</v>
      </c>
      <c r="C608" s="10">
        <f t="shared" si="36"/>
        <v>8769.8599121000007</v>
      </c>
      <c r="D608" s="10">
        <f t="shared" si="37"/>
        <v>114.99450614188945</v>
      </c>
      <c r="E608" s="10">
        <f t="shared" si="38"/>
        <v>8999.8489243837794</v>
      </c>
      <c r="F608" s="10">
        <f t="shared" si="39"/>
        <v>8539.8708998162219</v>
      </c>
    </row>
    <row r="609" spans="1:6" s="10" customFormat="1" x14ac:dyDescent="0.3">
      <c r="A609" s="24">
        <v>42060</v>
      </c>
      <c r="B609" s="10">
        <v>8767.25</v>
      </c>
      <c r="C609" s="10">
        <f t="shared" si="36"/>
        <v>8762.6974120999985</v>
      </c>
      <c r="D609" s="10">
        <f t="shared" si="37"/>
        <v>110.13201207860882</v>
      </c>
      <c r="E609" s="10">
        <f t="shared" si="38"/>
        <v>8982.9614362572156</v>
      </c>
      <c r="F609" s="10">
        <f t="shared" si="39"/>
        <v>8542.4333879427813</v>
      </c>
    </row>
    <row r="610" spans="1:6" s="10" customFormat="1" x14ac:dyDescent="0.3">
      <c r="A610" s="24">
        <v>42061</v>
      </c>
      <c r="B610" s="10">
        <v>8683.8496090000008</v>
      </c>
      <c r="C610" s="10">
        <f t="shared" si="36"/>
        <v>8751.1749022999993</v>
      </c>
      <c r="D610" s="10">
        <f t="shared" si="37"/>
        <v>105.38912045219107</v>
      </c>
      <c r="E610" s="10">
        <f t="shared" si="38"/>
        <v>8961.9531432043823</v>
      </c>
      <c r="F610" s="10">
        <f t="shared" si="39"/>
        <v>8540.3966613956163</v>
      </c>
    </row>
    <row r="611" spans="1:6" s="10" customFormat="1" x14ac:dyDescent="0.3">
      <c r="A611" s="24">
        <v>42062</v>
      </c>
      <c r="B611" s="10">
        <v>8844.5996090000008</v>
      </c>
      <c r="C611" s="10">
        <f t="shared" si="36"/>
        <v>8745.7874023000004</v>
      </c>
      <c r="D611" s="10">
        <f t="shared" si="37"/>
        <v>96.982602228493093</v>
      </c>
      <c r="E611" s="10">
        <f t="shared" si="38"/>
        <v>8939.752606756987</v>
      </c>
      <c r="F611" s="10">
        <f t="shared" si="39"/>
        <v>8551.8221978430138</v>
      </c>
    </row>
    <row r="612" spans="1:6" s="10" customFormat="1" x14ac:dyDescent="0.3">
      <c r="A612" s="24">
        <v>42065</v>
      </c>
      <c r="B612" s="10">
        <v>8956.75</v>
      </c>
      <c r="C612" s="10">
        <f t="shared" si="36"/>
        <v>8753.1798827499988</v>
      </c>
      <c r="D612" s="10">
        <f t="shared" si="37"/>
        <v>107.14865976684848</v>
      </c>
      <c r="E612" s="10">
        <f t="shared" si="38"/>
        <v>8967.4772022836951</v>
      </c>
      <c r="F612" s="10">
        <f t="shared" si="39"/>
        <v>8538.8825632163025</v>
      </c>
    </row>
    <row r="613" spans="1:6" s="10" customFormat="1" x14ac:dyDescent="0.3">
      <c r="A613" s="24">
        <v>42066</v>
      </c>
      <c r="B613" s="10">
        <v>8996.25</v>
      </c>
      <c r="C613" s="10">
        <f t="shared" si="36"/>
        <v>8763.1223632000001</v>
      </c>
      <c r="D613" s="10">
        <f t="shared" si="37"/>
        <v>119.93121728436307</v>
      </c>
      <c r="E613" s="10">
        <f t="shared" si="38"/>
        <v>9002.9847977687259</v>
      </c>
      <c r="F613" s="10">
        <f t="shared" si="39"/>
        <v>8523.2599286312743</v>
      </c>
    </row>
    <row r="614" spans="1:6" s="10" customFormat="1" x14ac:dyDescent="0.3">
      <c r="A614" s="24">
        <v>42067</v>
      </c>
      <c r="B614" s="10">
        <v>8922.6503909999992</v>
      </c>
      <c r="C614" s="10">
        <f t="shared" si="36"/>
        <v>8771.4273924999998</v>
      </c>
      <c r="D614" s="10">
        <f t="shared" si="37"/>
        <v>125.09216888397903</v>
      </c>
      <c r="E614" s="10">
        <f t="shared" si="38"/>
        <v>9021.6117302679577</v>
      </c>
      <c r="F614" s="10">
        <f t="shared" si="39"/>
        <v>8521.2430547320419</v>
      </c>
    </row>
    <row r="615" spans="1:6" s="10" customFormat="1" x14ac:dyDescent="0.3">
      <c r="A615" s="24">
        <v>42068</v>
      </c>
      <c r="B615" s="10">
        <v>8937.75</v>
      </c>
      <c r="C615" s="10">
        <f t="shared" si="36"/>
        <v>8782.1298827499995</v>
      </c>
      <c r="D615" s="10">
        <f t="shared" si="37"/>
        <v>129.85972635263195</v>
      </c>
      <c r="E615" s="10">
        <f t="shared" si="38"/>
        <v>9041.8493354552629</v>
      </c>
      <c r="F615" s="10">
        <f t="shared" si="39"/>
        <v>8522.4104300447361</v>
      </c>
    </row>
    <row r="616" spans="1:6" s="10" customFormat="1" x14ac:dyDescent="0.3">
      <c r="A616" s="24">
        <v>42072</v>
      </c>
      <c r="B616" s="10">
        <v>8756.75</v>
      </c>
      <c r="C616" s="10">
        <f t="shared" si="36"/>
        <v>8784.3823730000004</v>
      </c>
      <c r="D616" s="10">
        <f t="shared" si="37"/>
        <v>128.96138657601168</v>
      </c>
      <c r="E616" s="10">
        <f t="shared" si="38"/>
        <v>9042.3051461520245</v>
      </c>
      <c r="F616" s="10">
        <f t="shared" si="39"/>
        <v>8526.4595998479763</v>
      </c>
    </row>
    <row r="617" spans="1:6" s="10" customFormat="1" x14ac:dyDescent="0.3">
      <c r="A617" s="24">
        <v>42073</v>
      </c>
      <c r="B617" s="10">
        <v>8712.0498050000006</v>
      </c>
      <c r="C617" s="10">
        <f t="shared" si="36"/>
        <v>8786.9323729999996</v>
      </c>
      <c r="D617" s="10">
        <f t="shared" si="37"/>
        <v>126.881787791161</v>
      </c>
      <c r="E617" s="10">
        <f t="shared" si="38"/>
        <v>9040.6959485823209</v>
      </c>
      <c r="F617" s="10">
        <f t="shared" si="39"/>
        <v>8533.1687974176784</v>
      </c>
    </row>
    <row r="618" spans="1:6" s="10" customFormat="1" x14ac:dyDescent="0.3">
      <c r="A618" s="24">
        <v>42074</v>
      </c>
      <c r="B618" s="10">
        <v>8699.9501949999994</v>
      </c>
      <c r="C618" s="10">
        <f t="shared" si="36"/>
        <v>8795.6124022999993</v>
      </c>
      <c r="D618" s="10">
        <f t="shared" si="37"/>
        <v>113.33147414630335</v>
      </c>
      <c r="E618" s="10">
        <f t="shared" si="38"/>
        <v>9022.2753505926066</v>
      </c>
      <c r="F618" s="10">
        <f t="shared" si="39"/>
        <v>8568.949454007392</v>
      </c>
    </row>
    <row r="619" spans="1:6" s="10" customFormat="1" x14ac:dyDescent="0.3">
      <c r="A619" s="24">
        <v>42075</v>
      </c>
      <c r="B619" s="10">
        <v>8776</v>
      </c>
      <c r="C619" s="10">
        <f t="shared" si="36"/>
        <v>8806.1349120499981</v>
      </c>
      <c r="D619" s="10">
        <f t="shared" si="37"/>
        <v>99.80977196913625</v>
      </c>
      <c r="E619" s="10">
        <f t="shared" si="38"/>
        <v>9005.7544559882699</v>
      </c>
      <c r="F619" s="10">
        <f t="shared" si="39"/>
        <v>8606.5153681117263</v>
      </c>
    </row>
    <row r="620" spans="1:6" s="10" customFormat="1" x14ac:dyDescent="0.3">
      <c r="A620" s="24">
        <v>42076</v>
      </c>
      <c r="B620" s="10">
        <v>8647.75</v>
      </c>
      <c r="C620" s="10">
        <f t="shared" si="36"/>
        <v>8807.1523925000001</v>
      </c>
      <c r="D620" s="10">
        <f t="shared" si="37"/>
        <v>97.978748246448831</v>
      </c>
      <c r="E620" s="10">
        <f t="shared" si="38"/>
        <v>9003.109888992898</v>
      </c>
      <c r="F620" s="10">
        <f t="shared" si="39"/>
        <v>8611.1948960071022</v>
      </c>
    </row>
    <row r="621" spans="1:6" s="10" customFormat="1" x14ac:dyDescent="0.3">
      <c r="A621" s="24">
        <v>42079</v>
      </c>
      <c r="B621" s="10">
        <v>8633.1503909999992</v>
      </c>
      <c r="C621" s="10">
        <f t="shared" si="36"/>
        <v>8803.2324218000012</v>
      </c>
      <c r="D621" s="10">
        <f t="shared" si="37"/>
        <v>103.42207476733211</v>
      </c>
      <c r="E621" s="10">
        <f t="shared" si="38"/>
        <v>9010.0765713346664</v>
      </c>
      <c r="F621" s="10">
        <f t="shared" si="39"/>
        <v>8596.3882722653361</v>
      </c>
    </row>
    <row r="622" spans="1:6" s="10" customFormat="1" x14ac:dyDescent="0.3">
      <c r="A622" s="24">
        <v>42080</v>
      </c>
      <c r="B622" s="10">
        <v>8723.2998050000006</v>
      </c>
      <c r="C622" s="10">
        <f t="shared" si="36"/>
        <v>8799.122412050001</v>
      </c>
      <c r="D622" s="10">
        <f t="shared" si="37"/>
        <v>104.94926672824091</v>
      </c>
      <c r="E622" s="10">
        <f t="shared" si="38"/>
        <v>9009.0209455064833</v>
      </c>
      <c r="F622" s="10">
        <f t="shared" si="39"/>
        <v>8589.2238785935187</v>
      </c>
    </row>
    <row r="623" spans="1:6" s="10" customFormat="1" x14ac:dyDescent="0.3">
      <c r="A623" s="24">
        <v>42081</v>
      </c>
      <c r="B623" s="10">
        <v>8685.9003909999992</v>
      </c>
      <c r="C623" s="10">
        <f t="shared" si="36"/>
        <v>8792.9499511499998</v>
      </c>
      <c r="D623" s="10">
        <f t="shared" si="37"/>
        <v>107.90475043712486</v>
      </c>
      <c r="E623" s="10">
        <f t="shared" si="38"/>
        <v>9008.7594520242492</v>
      </c>
      <c r="F623" s="10">
        <f t="shared" si="39"/>
        <v>8577.1404502757505</v>
      </c>
    </row>
    <row r="624" spans="1:6" s="10" customFormat="1" x14ac:dyDescent="0.3">
      <c r="A624" s="24">
        <v>42082</v>
      </c>
      <c r="B624" s="10">
        <v>8634.6503909999992</v>
      </c>
      <c r="C624" s="10">
        <f t="shared" si="36"/>
        <v>8781.2274902499994</v>
      </c>
      <c r="D624" s="10">
        <f t="shared" si="37"/>
        <v>111.85915174027812</v>
      </c>
      <c r="E624" s="10">
        <f t="shared" si="38"/>
        <v>9004.945793730556</v>
      </c>
      <c r="F624" s="10">
        <f t="shared" si="39"/>
        <v>8557.5091867694427</v>
      </c>
    </row>
    <row r="625" spans="1:6" s="10" customFormat="1" x14ac:dyDescent="0.3">
      <c r="A625" s="24">
        <v>42083</v>
      </c>
      <c r="B625" s="10">
        <v>8570.9003909999992</v>
      </c>
      <c r="C625" s="10">
        <f t="shared" si="36"/>
        <v>8765.0075195499994</v>
      </c>
      <c r="D625" s="10">
        <f t="shared" si="37"/>
        <v>117.80898308822592</v>
      </c>
      <c r="E625" s="10">
        <f t="shared" si="38"/>
        <v>9000.6254857264521</v>
      </c>
      <c r="F625" s="10">
        <f t="shared" si="39"/>
        <v>8529.3895533735467</v>
      </c>
    </row>
    <row r="626" spans="1:6" s="10" customFormat="1" x14ac:dyDescent="0.3">
      <c r="A626" s="24">
        <v>42086</v>
      </c>
      <c r="B626" s="10">
        <v>8550.9003909999992</v>
      </c>
      <c r="C626" s="10">
        <f t="shared" si="36"/>
        <v>8750.8725586500004</v>
      </c>
      <c r="D626" s="10">
        <f t="shared" si="37"/>
        <v>125.83222305018425</v>
      </c>
      <c r="E626" s="10">
        <f t="shared" si="38"/>
        <v>9002.5370047503693</v>
      </c>
      <c r="F626" s="10">
        <f t="shared" si="39"/>
        <v>8499.2081125496316</v>
      </c>
    </row>
    <row r="627" spans="1:6" s="10" customFormat="1" x14ac:dyDescent="0.3">
      <c r="A627" s="24">
        <v>42087</v>
      </c>
      <c r="B627" s="10">
        <v>8542.9501949999994</v>
      </c>
      <c r="C627" s="10">
        <f t="shared" ref="C627:C690" si="40">AVERAGE(B608:B627)</f>
        <v>8740.2725586500019</v>
      </c>
      <c r="D627" s="10">
        <f t="shared" si="37"/>
        <v>134.12662928521868</v>
      </c>
      <c r="E627" s="10">
        <f t="shared" si="38"/>
        <v>9008.5258172204394</v>
      </c>
      <c r="F627" s="10">
        <f t="shared" si="39"/>
        <v>8472.0193000795643</v>
      </c>
    </row>
    <row r="628" spans="1:6" s="10" customFormat="1" x14ac:dyDescent="0.3">
      <c r="A628" s="24">
        <v>42088</v>
      </c>
      <c r="B628" s="10">
        <v>8530.7998050000006</v>
      </c>
      <c r="C628" s="10">
        <f t="shared" si="40"/>
        <v>8728.7075684499996</v>
      </c>
      <c r="D628" s="10">
        <f t="shared" si="37"/>
        <v>141.89257155977751</v>
      </c>
      <c r="E628" s="10">
        <f t="shared" si="38"/>
        <v>9012.4927115695555</v>
      </c>
      <c r="F628" s="10">
        <f t="shared" si="39"/>
        <v>8444.9224253304437</v>
      </c>
    </row>
    <row r="629" spans="1:6" s="10" customFormat="1" x14ac:dyDescent="0.3">
      <c r="A629" s="24">
        <v>42089</v>
      </c>
      <c r="B629" s="10">
        <v>8342.1503909999992</v>
      </c>
      <c r="C629" s="10">
        <f t="shared" si="40"/>
        <v>8707.4525880000001</v>
      </c>
      <c r="D629" s="10">
        <f t="shared" si="37"/>
        <v>165.663257677611</v>
      </c>
      <c r="E629" s="10">
        <f t="shared" si="38"/>
        <v>9038.7791033552221</v>
      </c>
      <c r="F629" s="10">
        <f t="shared" si="39"/>
        <v>8376.1260726447781</v>
      </c>
    </row>
    <row r="630" spans="1:6" s="10" customFormat="1" x14ac:dyDescent="0.3">
      <c r="A630" s="24">
        <v>42090</v>
      </c>
      <c r="B630" s="10">
        <v>8341.4003909999992</v>
      </c>
      <c r="C630" s="10">
        <f t="shared" si="40"/>
        <v>8690.3301271</v>
      </c>
      <c r="D630" s="10">
        <f t="shared" si="37"/>
        <v>184.82075540033014</v>
      </c>
      <c r="E630" s="10">
        <f t="shared" si="38"/>
        <v>9059.9716379006604</v>
      </c>
      <c r="F630" s="10">
        <f t="shared" si="39"/>
        <v>8320.6886162993396</v>
      </c>
    </row>
    <row r="631" spans="1:6" s="10" customFormat="1" x14ac:dyDescent="0.3">
      <c r="A631" s="24">
        <v>42093</v>
      </c>
      <c r="B631" s="10">
        <v>8492.2998050000006</v>
      </c>
      <c r="C631" s="10">
        <f t="shared" si="40"/>
        <v>8672.7151369000003</v>
      </c>
      <c r="D631" s="10">
        <f t="shared" si="37"/>
        <v>186.12767247222612</v>
      </c>
      <c r="E631" s="10">
        <f t="shared" si="38"/>
        <v>9044.9704818444534</v>
      </c>
      <c r="F631" s="10">
        <f t="shared" si="39"/>
        <v>8300.4597919555472</v>
      </c>
    </row>
    <row r="632" spans="1:6" s="10" customFormat="1" x14ac:dyDescent="0.3">
      <c r="A632" s="24">
        <v>42094</v>
      </c>
      <c r="B632" s="10">
        <v>8491</v>
      </c>
      <c r="C632" s="10">
        <f t="shared" si="40"/>
        <v>8649.4276368999999</v>
      </c>
      <c r="D632" s="10">
        <f t="shared" si="37"/>
        <v>177.66395439527892</v>
      </c>
      <c r="E632" s="10">
        <f t="shared" si="38"/>
        <v>9004.7555456905575</v>
      </c>
      <c r="F632" s="10">
        <f t="shared" si="39"/>
        <v>8294.0997281094424</v>
      </c>
    </row>
    <row r="633" spans="1:6" s="10" customFormat="1" x14ac:dyDescent="0.3">
      <c r="A633" s="24">
        <v>42095</v>
      </c>
      <c r="B633" s="10">
        <v>8586.25</v>
      </c>
      <c r="C633" s="10">
        <f t="shared" si="40"/>
        <v>8628.9276368999999</v>
      </c>
      <c r="D633" s="10">
        <f t="shared" si="37"/>
        <v>158.11817622371913</v>
      </c>
      <c r="E633" s="10">
        <f t="shared" si="38"/>
        <v>8945.1639893474385</v>
      </c>
      <c r="F633" s="10">
        <f t="shared" si="39"/>
        <v>8312.6912844525614</v>
      </c>
    </row>
    <row r="634" spans="1:6" s="10" customFormat="1" x14ac:dyDescent="0.3">
      <c r="A634" s="24">
        <v>42100</v>
      </c>
      <c r="B634" s="10">
        <v>8659.9003909999992</v>
      </c>
      <c r="C634" s="10">
        <f t="shared" si="40"/>
        <v>8615.7901368999992</v>
      </c>
      <c r="D634" s="10">
        <f t="shared" si="37"/>
        <v>142.58149516189664</v>
      </c>
      <c r="E634" s="10">
        <f t="shared" si="38"/>
        <v>8900.9531272237928</v>
      </c>
      <c r="F634" s="10">
        <f t="shared" si="39"/>
        <v>8330.6271465762056</v>
      </c>
    </row>
    <row r="635" spans="1:6" s="10" customFormat="1" x14ac:dyDescent="0.3">
      <c r="A635" s="24">
        <v>42101</v>
      </c>
      <c r="B635" s="10">
        <v>8660.2998050000006</v>
      </c>
      <c r="C635" s="10">
        <f t="shared" si="40"/>
        <v>8601.91762715</v>
      </c>
      <c r="D635" s="10">
        <f t="shared" si="37"/>
        <v>121.5544493678194</v>
      </c>
      <c r="E635" s="10">
        <f t="shared" si="38"/>
        <v>8845.026525885638</v>
      </c>
      <c r="F635" s="10">
        <f t="shared" si="39"/>
        <v>8358.8087284143621</v>
      </c>
    </row>
    <row r="636" spans="1:6" s="10" customFormat="1" x14ac:dyDescent="0.3">
      <c r="A636" s="24">
        <v>42102</v>
      </c>
      <c r="B636" s="10">
        <v>8714.4003909999992</v>
      </c>
      <c r="C636" s="10">
        <f t="shared" si="40"/>
        <v>8599.8001467000013</v>
      </c>
      <c r="D636" s="10">
        <f t="shared" si="37"/>
        <v>119.05855106958977</v>
      </c>
      <c r="E636" s="10">
        <f t="shared" si="38"/>
        <v>8837.9172488391814</v>
      </c>
      <c r="F636" s="10">
        <f t="shared" si="39"/>
        <v>8361.6830445608211</v>
      </c>
    </row>
    <row r="637" spans="1:6" s="10" customFormat="1" x14ac:dyDescent="0.3">
      <c r="A637" s="24">
        <v>42103</v>
      </c>
      <c r="B637" s="10">
        <v>8778.2998050000006</v>
      </c>
      <c r="C637" s="10">
        <f t="shared" si="40"/>
        <v>8603.1126466999995</v>
      </c>
      <c r="D637" s="10">
        <f t="shared" si="37"/>
        <v>123.19571980192252</v>
      </c>
      <c r="E637" s="10">
        <f t="shared" si="38"/>
        <v>8849.5040863038448</v>
      </c>
      <c r="F637" s="10">
        <f t="shared" si="39"/>
        <v>8356.7212070961541</v>
      </c>
    </row>
    <row r="638" spans="1:6" s="10" customFormat="1" x14ac:dyDescent="0.3">
      <c r="A638" s="24">
        <v>42104</v>
      </c>
      <c r="B638" s="10">
        <v>8780.3496090000008</v>
      </c>
      <c r="C638" s="10">
        <f t="shared" si="40"/>
        <v>8607.1326173999987</v>
      </c>
      <c r="D638" s="10">
        <f t="shared" si="37"/>
        <v>127.74949766690038</v>
      </c>
      <c r="E638" s="10">
        <f t="shared" si="38"/>
        <v>8862.6316127337996</v>
      </c>
      <c r="F638" s="10">
        <f t="shared" si="39"/>
        <v>8351.6336220661979</v>
      </c>
    </row>
    <row r="639" spans="1:6" s="10" customFormat="1" x14ac:dyDescent="0.3">
      <c r="A639" s="24">
        <v>42107</v>
      </c>
      <c r="B639" s="10">
        <v>8834</v>
      </c>
      <c r="C639" s="10">
        <f t="shared" si="40"/>
        <v>8610.0326174000002</v>
      </c>
      <c r="D639" s="10">
        <f t="shared" si="37"/>
        <v>132.35978982947682</v>
      </c>
      <c r="E639" s="10">
        <f t="shared" si="38"/>
        <v>8874.7521970589532</v>
      </c>
      <c r="F639" s="10">
        <f t="shared" si="39"/>
        <v>8345.3130377410471</v>
      </c>
    </row>
    <row r="640" spans="1:6" s="10" customFormat="1" x14ac:dyDescent="0.3">
      <c r="A640" s="24">
        <v>42110</v>
      </c>
      <c r="B640" s="10">
        <v>8706.7001949999994</v>
      </c>
      <c r="C640" s="10">
        <f t="shared" si="40"/>
        <v>8612.98012715</v>
      </c>
      <c r="D640" s="10">
        <f t="shared" si="37"/>
        <v>133.89143847568852</v>
      </c>
      <c r="E640" s="10">
        <f t="shared" si="38"/>
        <v>8880.7630041013763</v>
      </c>
      <c r="F640" s="10">
        <f t="shared" si="39"/>
        <v>8345.1972501986238</v>
      </c>
    </row>
    <row r="641" spans="1:6" s="10" customFormat="1" x14ac:dyDescent="0.3">
      <c r="A641" s="24">
        <v>42111</v>
      </c>
      <c r="B641" s="10">
        <v>8606</v>
      </c>
      <c r="C641" s="10">
        <f t="shared" si="40"/>
        <v>8611.6226076000003</v>
      </c>
      <c r="D641" s="10">
        <f t="shared" si="37"/>
        <v>133.81378539821114</v>
      </c>
      <c r="E641" s="10">
        <f t="shared" si="38"/>
        <v>8879.2501783964217</v>
      </c>
      <c r="F641" s="10">
        <f t="shared" si="39"/>
        <v>8343.9950368035788</v>
      </c>
    </row>
    <row r="642" spans="1:6" s="10" customFormat="1" x14ac:dyDescent="0.3">
      <c r="A642" s="24">
        <v>42114</v>
      </c>
      <c r="B642" s="10">
        <v>8448.0996090000008</v>
      </c>
      <c r="C642" s="10">
        <f t="shared" si="40"/>
        <v>8597.8625978000018</v>
      </c>
      <c r="D642" s="10">
        <f t="shared" si="37"/>
        <v>135.85938383557621</v>
      </c>
      <c r="E642" s="10">
        <f t="shared" si="38"/>
        <v>8869.5813654711546</v>
      </c>
      <c r="F642" s="10">
        <f t="shared" si="39"/>
        <v>8326.143830128849</v>
      </c>
    </row>
    <row r="643" spans="1:6" s="10" customFormat="1" x14ac:dyDescent="0.3">
      <c r="A643" s="24">
        <v>42115</v>
      </c>
      <c r="B643" s="10">
        <v>8377.75</v>
      </c>
      <c r="C643" s="10">
        <f t="shared" si="40"/>
        <v>8582.455078250001</v>
      </c>
      <c r="D643" s="10">
        <f t="shared" si="37"/>
        <v>142.65319389722981</v>
      </c>
      <c r="E643" s="10">
        <f t="shared" si="38"/>
        <v>8867.7614660444597</v>
      </c>
      <c r="F643" s="10">
        <f t="shared" si="39"/>
        <v>8297.1486904555422</v>
      </c>
    </row>
    <row r="644" spans="1:6" s="10" customFormat="1" x14ac:dyDescent="0.3">
      <c r="A644" s="24">
        <v>42116</v>
      </c>
      <c r="B644" s="10">
        <v>8429.7001949999994</v>
      </c>
      <c r="C644" s="10">
        <f t="shared" si="40"/>
        <v>8572.2075684500014</v>
      </c>
      <c r="D644" s="10">
        <f t="shared" si="37"/>
        <v>146.02779392873364</v>
      </c>
      <c r="E644" s="10">
        <f t="shared" si="38"/>
        <v>8864.2631563074683</v>
      </c>
      <c r="F644" s="10">
        <f t="shared" si="39"/>
        <v>8280.1519805925345</v>
      </c>
    </row>
    <row r="645" spans="1:6" s="10" customFormat="1" x14ac:dyDescent="0.3">
      <c r="A645" s="24">
        <v>42117</v>
      </c>
      <c r="B645" s="10">
        <v>8398.2998050000006</v>
      </c>
      <c r="C645" s="10">
        <f t="shared" si="40"/>
        <v>8563.577539150001</v>
      </c>
      <c r="D645" s="10">
        <f t="shared" si="37"/>
        <v>151.12052853601384</v>
      </c>
      <c r="E645" s="10">
        <f t="shared" si="38"/>
        <v>8865.8185962220286</v>
      </c>
      <c r="F645" s="10">
        <f t="shared" si="39"/>
        <v>8261.3364820779734</v>
      </c>
    </row>
    <row r="646" spans="1:6" s="10" customFormat="1" x14ac:dyDescent="0.3">
      <c r="A646" s="24">
        <v>42118</v>
      </c>
      <c r="B646" s="10">
        <v>8305.25</v>
      </c>
      <c r="C646" s="10">
        <f t="shared" si="40"/>
        <v>8551.2950196000002</v>
      </c>
      <c r="D646" s="10">
        <f t="shared" si="37"/>
        <v>161.80984135434284</v>
      </c>
      <c r="E646" s="10">
        <f t="shared" si="38"/>
        <v>8874.9147023086862</v>
      </c>
      <c r="F646" s="10">
        <f t="shared" si="39"/>
        <v>8227.6753368913141</v>
      </c>
    </row>
    <row r="647" spans="1:6" s="10" customFormat="1" x14ac:dyDescent="0.3">
      <c r="A647" s="24">
        <v>42121</v>
      </c>
      <c r="B647" s="10">
        <v>8213.7998050000006</v>
      </c>
      <c r="C647" s="10">
        <f t="shared" si="40"/>
        <v>8534.8375000999986</v>
      </c>
      <c r="D647" s="10">
        <f t="shared" si="37"/>
        <v>178.57365504429103</v>
      </c>
      <c r="E647" s="10">
        <f t="shared" si="38"/>
        <v>8891.98481018858</v>
      </c>
      <c r="F647" s="10">
        <f t="shared" si="39"/>
        <v>8177.6901900114162</v>
      </c>
    </row>
    <row r="648" spans="1:6" s="10" customFormat="1" x14ac:dyDescent="0.3">
      <c r="A648" s="24">
        <v>42122</v>
      </c>
      <c r="B648" s="10">
        <v>8285.5996090000008</v>
      </c>
      <c r="C648" s="10">
        <f t="shared" si="40"/>
        <v>8522.5774902999983</v>
      </c>
      <c r="D648" s="10">
        <f t="shared" si="37"/>
        <v>187.07998877682527</v>
      </c>
      <c r="E648" s="10">
        <f t="shared" si="38"/>
        <v>8896.7374678536489</v>
      </c>
      <c r="F648" s="10">
        <f t="shared" si="39"/>
        <v>8148.4175127463477</v>
      </c>
    </row>
    <row r="649" spans="1:6" s="10" customFormat="1" x14ac:dyDescent="0.3">
      <c r="A649" s="24">
        <v>42123</v>
      </c>
      <c r="B649" s="10">
        <v>8239.75</v>
      </c>
      <c r="C649" s="10">
        <f t="shared" si="40"/>
        <v>8517.4574707499978</v>
      </c>
      <c r="D649" s="10">
        <f t="shared" si="37"/>
        <v>193.56661860397273</v>
      </c>
      <c r="E649" s="10">
        <f t="shared" si="38"/>
        <v>8904.5907079579429</v>
      </c>
      <c r="F649" s="10">
        <f t="shared" si="39"/>
        <v>8130.3242335420528</v>
      </c>
    </row>
    <row r="650" spans="1:6" s="10" customFormat="1" x14ac:dyDescent="0.3">
      <c r="A650" s="24">
        <v>42124</v>
      </c>
      <c r="B650" s="10">
        <v>8181.5</v>
      </c>
      <c r="C650" s="10">
        <f t="shared" si="40"/>
        <v>8509.4624511999991</v>
      </c>
      <c r="D650" s="10">
        <f t="shared" si="37"/>
        <v>204.2296953752502</v>
      </c>
      <c r="E650" s="10">
        <f t="shared" si="38"/>
        <v>8917.9218419504996</v>
      </c>
      <c r="F650" s="10">
        <f t="shared" si="39"/>
        <v>8101.0030604494987</v>
      </c>
    </row>
    <row r="651" spans="1:6" s="10" customFormat="1" x14ac:dyDescent="0.3">
      <c r="A651" s="24">
        <v>42128</v>
      </c>
      <c r="B651" s="10">
        <v>8331.9501949999994</v>
      </c>
      <c r="C651" s="10">
        <f t="shared" si="40"/>
        <v>8501.4449706999985</v>
      </c>
      <c r="D651" s="10">
        <f t="shared" si="37"/>
        <v>208.0506069247719</v>
      </c>
      <c r="E651" s="10">
        <f t="shared" si="38"/>
        <v>8917.5461845495429</v>
      </c>
      <c r="F651" s="10">
        <f t="shared" si="39"/>
        <v>8085.3437568504551</v>
      </c>
    </row>
    <row r="652" spans="1:6" s="10" customFormat="1" x14ac:dyDescent="0.3">
      <c r="A652" s="24">
        <v>42129</v>
      </c>
      <c r="B652" s="10">
        <v>8324.7998050000006</v>
      </c>
      <c r="C652" s="10">
        <f t="shared" si="40"/>
        <v>8493.1349609499994</v>
      </c>
      <c r="D652" s="10">
        <f t="shared" si="37"/>
        <v>211.77561831047643</v>
      </c>
      <c r="E652" s="10">
        <f t="shared" si="38"/>
        <v>8916.6861975709526</v>
      </c>
      <c r="F652" s="10">
        <f t="shared" si="39"/>
        <v>8069.5837243290462</v>
      </c>
    </row>
    <row r="653" spans="1:6" s="10" customFormat="1" x14ac:dyDescent="0.3">
      <c r="A653" s="24">
        <v>42130</v>
      </c>
      <c r="B653" s="10">
        <v>8097</v>
      </c>
      <c r="C653" s="10">
        <f t="shared" si="40"/>
        <v>8468.6724609499997</v>
      </c>
      <c r="D653" s="10">
        <f t="shared" si="37"/>
        <v>228.0828054122222</v>
      </c>
      <c r="E653" s="10">
        <f t="shared" si="38"/>
        <v>8924.838071774444</v>
      </c>
      <c r="F653" s="10">
        <f t="shared" si="39"/>
        <v>8012.5068501255555</v>
      </c>
    </row>
    <row r="654" spans="1:6" s="10" customFormat="1" x14ac:dyDescent="0.3">
      <c r="A654" s="24">
        <v>42131</v>
      </c>
      <c r="B654" s="10">
        <v>8057.2998049999997</v>
      </c>
      <c r="C654" s="10">
        <f t="shared" si="40"/>
        <v>8438.5424316499993</v>
      </c>
      <c r="D654" s="10">
        <f t="shared" si="37"/>
        <v>240.93201966412536</v>
      </c>
      <c r="E654" s="10">
        <f t="shared" si="38"/>
        <v>8920.4064709782506</v>
      </c>
      <c r="F654" s="10">
        <f t="shared" si="39"/>
        <v>7956.678392321749</v>
      </c>
    </row>
    <row r="655" spans="1:6" s="10" customFormat="1" x14ac:dyDescent="0.3">
      <c r="A655" s="24">
        <v>42132</v>
      </c>
      <c r="B655" s="10">
        <v>8191.5</v>
      </c>
      <c r="C655" s="10">
        <f t="shared" si="40"/>
        <v>8415.1024413999985</v>
      </c>
      <c r="D655" s="10">
        <f t="shared" si="37"/>
        <v>241.02647719060016</v>
      </c>
      <c r="E655" s="10">
        <f t="shared" si="38"/>
        <v>8897.1553957811993</v>
      </c>
      <c r="F655" s="10">
        <f t="shared" si="39"/>
        <v>7933.0494870187986</v>
      </c>
    </row>
    <row r="656" spans="1:6" s="10" customFormat="1" x14ac:dyDescent="0.3">
      <c r="A656" s="24">
        <v>42135</v>
      </c>
      <c r="B656" s="10">
        <v>8325.25</v>
      </c>
      <c r="C656" s="10">
        <f t="shared" si="40"/>
        <v>8395.6449218499984</v>
      </c>
      <c r="D656" s="10">
        <f t="shared" si="37"/>
        <v>231.09621927278315</v>
      </c>
      <c r="E656" s="10">
        <f t="shared" si="38"/>
        <v>8857.8373603955642</v>
      </c>
      <c r="F656" s="10">
        <f t="shared" si="39"/>
        <v>7933.4524833044325</v>
      </c>
    </row>
    <row r="657" spans="1:6" s="10" customFormat="1" x14ac:dyDescent="0.3">
      <c r="A657" s="24">
        <v>42136</v>
      </c>
      <c r="B657" s="10">
        <v>8126.9501950000003</v>
      </c>
      <c r="C657" s="10">
        <f t="shared" si="40"/>
        <v>8363.0774413500003</v>
      </c>
      <c r="D657" s="10">
        <f t="shared" si="37"/>
        <v>219.95969362798328</v>
      </c>
      <c r="E657" s="10">
        <f t="shared" si="38"/>
        <v>8802.9968286059666</v>
      </c>
      <c r="F657" s="10">
        <f t="shared" si="39"/>
        <v>7923.158054094034</v>
      </c>
    </row>
    <row r="658" spans="1:6" s="10" customFormat="1" x14ac:dyDescent="0.3">
      <c r="A658" s="24">
        <v>42137</v>
      </c>
      <c r="B658" s="10">
        <v>8235.4501949999994</v>
      </c>
      <c r="C658" s="10">
        <f t="shared" si="40"/>
        <v>8335.8324706500007</v>
      </c>
      <c r="D658" s="10">
        <f t="shared" si="37"/>
        <v>198.22766724202506</v>
      </c>
      <c r="E658" s="10">
        <f t="shared" si="38"/>
        <v>8732.2878051340504</v>
      </c>
      <c r="F658" s="10">
        <f t="shared" si="39"/>
        <v>7939.377136165951</v>
      </c>
    </row>
    <row r="659" spans="1:6" s="10" customFormat="1" x14ac:dyDescent="0.3">
      <c r="A659" s="24">
        <v>42138</v>
      </c>
      <c r="B659" s="10">
        <v>8224.2001949999994</v>
      </c>
      <c r="C659" s="10">
        <f t="shared" si="40"/>
        <v>8305.3424804000024</v>
      </c>
      <c r="D659" s="10">
        <f t="shared" si="37"/>
        <v>160.96551456483141</v>
      </c>
      <c r="E659" s="10">
        <f t="shared" si="38"/>
        <v>8627.2735095296648</v>
      </c>
      <c r="F659" s="10">
        <f t="shared" si="39"/>
        <v>7983.41145127034</v>
      </c>
    </row>
    <row r="660" spans="1:6" s="10" customFormat="1" x14ac:dyDescent="0.3">
      <c r="A660" s="24">
        <v>42139</v>
      </c>
      <c r="B660" s="10">
        <v>8262.3496090000008</v>
      </c>
      <c r="C660" s="10">
        <f t="shared" si="40"/>
        <v>8283.1249511000024</v>
      </c>
      <c r="D660" s="10">
        <f t="shared" si="37"/>
        <v>130.41957401960579</v>
      </c>
      <c r="E660" s="10">
        <f t="shared" si="38"/>
        <v>8543.9640991392134</v>
      </c>
      <c r="F660" s="10">
        <f t="shared" si="39"/>
        <v>8022.2858030607904</v>
      </c>
    </row>
    <row r="661" spans="1:6" s="10" customFormat="1" x14ac:dyDescent="0.3">
      <c r="A661" s="24">
        <v>42142</v>
      </c>
      <c r="B661" s="10">
        <v>8373.6503909999992</v>
      </c>
      <c r="C661" s="10">
        <f t="shared" si="40"/>
        <v>8271.5074706500018</v>
      </c>
      <c r="D661" s="10">
        <f t="shared" ref="D661:D724" si="41">_xlfn.STDEV.S(B642:B661)</f>
        <v>108.68188283833882</v>
      </c>
      <c r="E661" s="10">
        <f t="shared" si="38"/>
        <v>8488.8712363266786</v>
      </c>
      <c r="F661" s="10">
        <f t="shared" si="39"/>
        <v>8054.143704973324</v>
      </c>
    </row>
    <row r="662" spans="1:6" s="10" customFormat="1" x14ac:dyDescent="0.3">
      <c r="A662" s="24">
        <v>42143</v>
      </c>
      <c r="B662" s="10">
        <v>8365.6503909999992</v>
      </c>
      <c r="C662" s="10">
        <f t="shared" si="40"/>
        <v>8267.3850097499999</v>
      </c>
      <c r="D662" s="10">
        <f t="shared" si="41"/>
        <v>103.04865839316716</v>
      </c>
      <c r="E662" s="10">
        <f t="shared" ref="E662:E725" si="42">C662+2*D662</f>
        <v>8473.4823265363339</v>
      </c>
      <c r="F662" s="10">
        <f t="shared" ref="F662:F725" si="43">C662-2*D662</f>
        <v>8061.2876929636659</v>
      </c>
    </row>
    <row r="663" spans="1:6" s="10" customFormat="1" x14ac:dyDescent="0.3">
      <c r="A663" s="24">
        <v>42144</v>
      </c>
      <c r="B663" s="10">
        <v>8423.25</v>
      </c>
      <c r="C663" s="10">
        <f t="shared" si="40"/>
        <v>8269.6600097500013</v>
      </c>
      <c r="D663" s="10">
        <f t="shared" si="41"/>
        <v>106.071337849073</v>
      </c>
      <c r="E663" s="10">
        <f t="shared" si="42"/>
        <v>8481.8026854481468</v>
      </c>
      <c r="F663" s="10">
        <f t="shared" si="43"/>
        <v>8057.517334051855</v>
      </c>
    </row>
    <row r="664" spans="1:6" s="10" customFormat="1" x14ac:dyDescent="0.3">
      <c r="A664" s="24">
        <v>42145</v>
      </c>
      <c r="B664" s="10">
        <v>8421</v>
      </c>
      <c r="C664" s="10">
        <f t="shared" si="40"/>
        <v>8269.2250000000004</v>
      </c>
      <c r="D664" s="10">
        <f t="shared" si="41"/>
        <v>105.39614310158743</v>
      </c>
      <c r="E664" s="10">
        <f t="shared" si="42"/>
        <v>8480.0172862031759</v>
      </c>
      <c r="F664" s="10">
        <f t="shared" si="43"/>
        <v>8058.4327137968257</v>
      </c>
    </row>
    <row r="665" spans="1:6" s="10" customFormat="1" x14ac:dyDescent="0.3">
      <c r="A665" s="24">
        <v>42146</v>
      </c>
      <c r="B665" s="10">
        <v>8458.9501949999994</v>
      </c>
      <c r="C665" s="10">
        <f t="shared" si="40"/>
        <v>8272.257519499999</v>
      </c>
      <c r="D665" s="10">
        <f t="shared" si="41"/>
        <v>110.07414091725386</v>
      </c>
      <c r="E665" s="10">
        <f t="shared" si="42"/>
        <v>8492.4058013345075</v>
      </c>
      <c r="F665" s="10">
        <f t="shared" si="43"/>
        <v>8052.1092376654915</v>
      </c>
    </row>
    <row r="666" spans="1:6" s="10" customFormat="1" x14ac:dyDescent="0.3">
      <c r="A666" s="24">
        <v>42149</v>
      </c>
      <c r="B666" s="10">
        <v>8370.25</v>
      </c>
      <c r="C666" s="10">
        <f t="shared" si="40"/>
        <v>8275.507519499999</v>
      </c>
      <c r="D666" s="10">
        <f t="shared" si="41"/>
        <v>112.0415303498892</v>
      </c>
      <c r="E666" s="10">
        <f t="shared" si="42"/>
        <v>8499.5905801997778</v>
      </c>
      <c r="F666" s="10">
        <f t="shared" si="43"/>
        <v>8051.4244588002202</v>
      </c>
    </row>
    <row r="667" spans="1:6" s="10" customFormat="1" x14ac:dyDescent="0.3">
      <c r="A667" s="24">
        <v>42150</v>
      </c>
      <c r="B667" s="10">
        <v>8339.3496090000008</v>
      </c>
      <c r="C667" s="10">
        <f t="shared" si="40"/>
        <v>8281.785009700001</v>
      </c>
      <c r="D667" s="10">
        <f t="shared" si="41"/>
        <v>111.91928920771633</v>
      </c>
      <c r="E667" s="10">
        <f t="shared" si="42"/>
        <v>8505.6235881154334</v>
      </c>
      <c r="F667" s="10">
        <f t="shared" si="43"/>
        <v>8057.9464312845685</v>
      </c>
    </row>
    <row r="668" spans="1:6" s="10" customFormat="1" x14ac:dyDescent="0.3">
      <c r="A668" s="24">
        <v>42151</v>
      </c>
      <c r="B668" s="10">
        <v>8334.5996090000008</v>
      </c>
      <c r="C668" s="10">
        <f t="shared" si="40"/>
        <v>8284.2350096999999</v>
      </c>
      <c r="D668" s="10">
        <f t="shared" si="41"/>
        <v>112.54178156761638</v>
      </c>
      <c r="E668" s="10">
        <f t="shared" si="42"/>
        <v>8509.3185728352328</v>
      </c>
      <c r="F668" s="10">
        <f t="shared" si="43"/>
        <v>8059.151446564767</v>
      </c>
    </row>
    <row r="669" spans="1:6" s="10" customFormat="1" x14ac:dyDescent="0.3">
      <c r="A669" s="24">
        <v>42152</v>
      </c>
      <c r="B669" s="10">
        <v>8319</v>
      </c>
      <c r="C669" s="10">
        <f t="shared" si="40"/>
        <v>8288.1975096999995</v>
      </c>
      <c r="D669" s="10">
        <f t="shared" si="41"/>
        <v>112.28794276262737</v>
      </c>
      <c r="E669" s="10">
        <f t="shared" si="42"/>
        <v>8512.7733952252547</v>
      </c>
      <c r="F669" s="10">
        <f t="shared" si="43"/>
        <v>8063.6216241747452</v>
      </c>
    </row>
    <row r="670" spans="1:6" s="10" customFormat="1" x14ac:dyDescent="0.3">
      <c r="A670" s="24">
        <v>42153</v>
      </c>
      <c r="B670" s="10">
        <v>8433.6503909999992</v>
      </c>
      <c r="C670" s="10">
        <f t="shared" si="40"/>
        <v>8300.8050292499993</v>
      </c>
      <c r="D670" s="10">
        <f t="shared" si="41"/>
        <v>113.82263460628836</v>
      </c>
      <c r="E670" s="10">
        <f t="shared" si="42"/>
        <v>8528.450298462576</v>
      </c>
      <c r="F670" s="10">
        <f t="shared" si="43"/>
        <v>8073.1597600374225</v>
      </c>
    </row>
    <row r="671" spans="1:6" s="10" customFormat="1" x14ac:dyDescent="0.3">
      <c r="A671" s="24">
        <v>42156</v>
      </c>
      <c r="B671" s="10">
        <v>8433.4003909999992</v>
      </c>
      <c r="C671" s="10">
        <f t="shared" si="40"/>
        <v>8305.8775390499995</v>
      </c>
      <c r="D671" s="10">
        <f t="shared" si="41"/>
        <v>117.48530755178491</v>
      </c>
      <c r="E671" s="10">
        <f t="shared" si="42"/>
        <v>8540.8481541535693</v>
      </c>
      <c r="F671" s="10">
        <f t="shared" si="43"/>
        <v>8070.9069239464297</v>
      </c>
    </row>
    <row r="672" spans="1:6" s="10" customFormat="1" x14ac:dyDescent="0.3">
      <c r="A672" s="24">
        <v>42157</v>
      </c>
      <c r="B672" s="10">
        <v>8236.4501949999994</v>
      </c>
      <c r="C672" s="10">
        <f t="shared" si="40"/>
        <v>8301.4600585500011</v>
      </c>
      <c r="D672" s="10">
        <f t="shared" si="41"/>
        <v>118.39385065690242</v>
      </c>
      <c r="E672" s="10">
        <f t="shared" si="42"/>
        <v>8538.2477598638052</v>
      </c>
      <c r="F672" s="10">
        <f t="shared" si="43"/>
        <v>8064.6723572361961</v>
      </c>
    </row>
    <row r="673" spans="1:6" s="10" customFormat="1" x14ac:dyDescent="0.3">
      <c r="A673" s="24">
        <v>42158</v>
      </c>
      <c r="B673" s="10">
        <v>8135.1000979999999</v>
      </c>
      <c r="C673" s="10">
        <f t="shared" si="40"/>
        <v>8303.3650634499991</v>
      </c>
      <c r="D673" s="10">
        <f t="shared" si="41"/>
        <v>115.19414131039757</v>
      </c>
      <c r="E673" s="10">
        <f t="shared" si="42"/>
        <v>8533.7533460707946</v>
      </c>
      <c r="F673" s="10">
        <f t="shared" si="43"/>
        <v>8072.9767808292036</v>
      </c>
    </row>
    <row r="674" spans="1:6" s="10" customFormat="1" x14ac:dyDescent="0.3">
      <c r="A674" s="24">
        <v>42159</v>
      </c>
      <c r="B674" s="10">
        <v>8130.6499020000001</v>
      </c>
      <c r="C674" s="10">
        <f t="shared" si="40"/>
        <v>8307.032568300001</v>
      </c>
      <c r="D674" s="10">
        <f t="shared" si="41"/>
        <v>107.88334767230752</v>
      </c>
      <c r="E674" s="10">
        <f t="shared" si="42"/>
        <v>8522.7992636446161</v>
      </c>
      <c r="F674" s="10">
        <f t="shared" si="43"/>
        <v>8091.2658729553859</v>
      </c>
    </row>
    <row r="675" spans="1:6" s="10" customFormat="1" x14ac:dyDescent="0.3">
      <c r="A675" s="24">
        <v>42160</v>
      </c>
      <c r="B675" s="10">
        <v>8114.7001950000003</v>
      </c>
      <c r="C675" s="10">
        <f t="shared" si="40"/>
        <v>8303.1925780500005</v>
      </c>
      <c r="D675" s="10">
        <f t="shared" si="41"/>
        <v>113.4359486261346</v>
      </c>
      <c r="E675" s="10">
        <f t="shared" si="42"/>
        <v>8530.0644753022698</v>
      </c>
      <c r="F675" s="10">
        <f t="shared" si="43"/>
        <v>8076.3206807977313</v>
      </c>
    </row>
    <row r="676" spans="1:6" s="10" customFormat="1" x14ac:dyDescent="0.3">
      <c r="A676" s="24">
        <v>42163</v>
      </c>
      <c r="B676" s="10">
        <v>8044.1499020000001</v>
      </c>
      <c r="C676" s="10">
        <f t="shared" si="40"/>
        <v>8289.1375731500011</v>
      </c>
      <c r="D676" s="10">
        <f t="shared" si="41"/>
        <v>127.1452317691102</v>
      </c>
      <c r="E676" s="10">
        <f t="shared" si="42"/>
        <v>8543.4280366882213</v>
      </c>
      <c r="F676" s="10">
        <f t="shared" si="43"/>
        <v>8034.847109611781</v>
      </c>
    </row>
    <row r="677" spans="1:6" s="10" customFormat="1" x14ac:dyDescent="0.3">
      <c r="A677" s="24">
        <v>42164</v>
      </c>
      <c r="B677" s="10">
        <v>8022.3999020000001</v>
      </c>
      <c r="C677" s="10">
        <f t="shared" si="40"/>
        <v>8283.9100585000015</v>
      </c>
      <c r="D677" s="10">
        <f t="shared" si="41"/>
        <v>136.00502905984752</v>
      </c>
      <c r="E677" s="10">
        <f t="shared" si="42"/>
        <v>8555.9201166196963</v>
      </c>
      <c r="F677" s="10">
        <f t="shared" si="43"/>
        <v>8011.9000003803067</v>
      </c>
    </row>
    <row r="678" spans="1:6" s="10" customFormat="1" x14ac:dyDescent="0.3">
      <c r="A678" s="24">
        <v>42165</v>
      </c>
      <c r="B678" s="10">
        <v>8124.4501950000003</v>
      </c>
      <c r="C678" s="10">
        <f t="shared" si="40"/>
        <v>8278.3600585000004</v>
      </c>
      <c r="D678" s="10">
        <f t="shared" si="41"/>
        <v>140.28411591046395</v>
      </c>
      <c r="E678" s="10">
        <f t="shared" si="42"/>
        <v>8558.9282903209278</v>
      </c>
      <c r="F678" s="10">
        <f t="shared" si="43"/>
        <v>7997.7918266790721</v>
      </c>
    </row>
    <row r="679" spans="1:6" s="10" customFormat="1" x14ac:dyDescent="0.3">
      <c r="A679" s="24">
        <v>42166</v>
      </c>
      <c r="B679" s="10">
        <v>7965.3500979999999</v>
      </c>
      <c r="C679" s="10">
        <f t="shared" si="40"/>
        <v>8265.4175536500006</v>
      </c>
      <c r="D679" s="10">
        <f t="shared" si="41"/>
        <v>156.54237803241998</v>
      </c>
      <c r="E679" s="10">
        <f t="shared" si="42"/>
        <v>8578.5023097148405</v>
      </c>
      <c r="F679" s="10">
        <f t="shared" si="43"/>
        <v>7952.3327975851607</v>
      </c>
    </row>
    <row r="680" spans="1:6" s="10" customFormat="1" x14ac:dyDescent="0.3">
      <c r="A680" s="24">
        <v>42167</v>
      </c>
      <c r="B680" s="10">
        <v>7982.8999020000001</v>
      </c>
      <c r="C680" s="10">
        <f t="shared" si="40"/>
        <v>8251.4450682999995</v>
      </c>
      <c r="D680" s="10">
        <f t="shared" si="41"/>
        <v>168.82052297183486</v>
      </c>
      <c r="E680" s="10">
        <f t="shared" si="42"/>
        <v>8589.0861142436697</v>
      </c>
      <c r="F680" s="10">
        <f t="shared" si="43"/>
        <v>7913.8040223563294</v>
      </c>
    </row>
    <row r="681" spans="1:6" s="10" customFormat="1" x14ac:dyDescent="0.3">
      <c r="A681" s="24">
        <v>42170</v>
      </c>
      <c r="B681" s="10">
        <v>8013.8999020000001</v>
      </c>
      <c r="C681" s="10">
        <f t="shared" si="40"/>
        <v>8233.4575438499996</v>
      </c>
      <c r="D681" s="10">
        <f t="shared" si="41"/>
        <v>174.1943190463922</v>
      </c>
      <c r="E681" s="10">
        <f t="shared" si="42"/>
        <v>8581.8461819427848</v>
      </c>
      <c r="F681" s="10">
        <f t="shared" si="43"/>
        <v>7885.0689057572154</v>
      </c>
    </row>
    <row r="682" spans="1:6" s="10" customFormat="1" x14ac:dyDescent="0.3">
      <c r="A682" s="24">
        <v>42171</v>
      </c>
      <c r="B682" s="10">
        <v>8047.2998049999997</v>
      </c>
      <c r="C682" s="10">
        <f t="shared" si="40"/>
        <v>8217.5400145499989</v>
      </c>
      <c r="D682" s="10">
        <f t="shared" si="41"/>
        <v>176.01464578543695</v>
      </c>
      <c r="E682" s="10">
        <f t="shared" si="42"/>
        <v>8569.5693061208731</v>
      </c>
      <c r="F682" s="10">
        <f t="shared" si="43"/>
        <v>7865.5107229791247</v>
      </c>
    </row>
    <row r="683" spans="1:6" s="10" customFormat="1" x14ac:dyDescent="0.3">
      <c r="A683" s="24">
        <v>42172</v>
      </c>
      <c r="B683" s="10">
        <v>8091.5498049999997</v>
      </c>
      <c r="C683" s="10">
        <f t="shared" si="40"/>
        <v>8200.9550047999983</v>
      </c>
      <c r="D683" s="10">
        <f t="shared" si="41"/>
        <v>171.17206469529359</v>
      </c>
      <c r="E683" s="10">
        <f t="shared" si="42"/>
        <v>8543.2991341905854</v>
      </c>
      <c r="F683" s="10">
        <f t="shared" si="43"/>
        <v>7858.6108754094112</v>
      </c>
    </row>
    <row r="684" spans="1:6" s="10" customFormat="1" x14ac:dyDescent="0.3">
      <c r="A684" s="24">
        <v>42173</v>
      </c>
      <c r="B684" s="10">
        <v>8174.6000979999999</v>
      </c>
      <c r="C684" s="10">
        <f t="shared" si="40"/>
        <v>8188.6350096999986</v>
      </c>
      <c r="D684" s="10">
        <f t="shared" si="41"/>
        <v>163.18165120721235</v>
      </c>
      <c r="E684" s="10">
        <f t="shared" si="42"/>
        <v>8514.9983121144232</v>
      </c>
      <c r="F684" s="10">
        <f t="shared" si="43"/>
        <v>7862.2717072855739</v>
      </c>
    </row>
    <row r="685" spans="1:6" s="10" customFormat="1" x14ac:dyDescent="0.3">
      <c r="A685" s="24">
        <v>42174</v>
      </c>
      <c r="B685" s="10">
        <v>8224.9501949999994</v>
      </c>
      <c r="C685" s="10">
        <f t="shared" si="40"/>
        <v>8176.9350097000006</v>
      </c>
      <c r="D685" s="10">
        <f t="shared" si="41"/>
        <v>150.69094685256596</v>
      </c>
      <c r="E685" s="10">
        <f t="shared" si="42"/>
        <v>8478.3169034051316</v>
      </c>
      <c r="F685" s="10">
        <f t="shared" si="43"/>
        <v>7875.5531159948687</v>
      </c>
    </row>
    <row r="686" spans="1:6" s="10" customFormat="1" x14ac:dyDescent="0.3">
      <c r="A686" s="24">
        <v>42177</v>
      </c>
      <c r="B686" s="10">
        <v>8353.0996090000008</v>
      </c>
      <c r="C686" s="10">
        <f t="shared" si="40"/>
        <v>8176.0774901499999</v>
      </c>
      <c r="D686" s="10">
        <f t="shared" si="41"/>
        <v>149.57765833372349</v>
      </c>
      <c r="E686" s="10">
        <f t="shared" si="42"/>
        <v>8475.2328068174465</v>
      </c>
      <c r="F686" s="10">
        <f t="shared" si="43"/>
        <v>7876.9221734825533</v>
      </c>
    </row>
    <row r="687" spans="1:6" s="10" customFormat="1" x14ac:dyDescent="0.3">
      <c r="A687" s="24">
        <v>42178</v>
      </c>
      <c r="B687" s="10">
        <v>8381.5498050000006</v>
      </c>
      <c r="C687" s="10">
        <f t="shared" si="40"/>
        <v>8178.1874999500014</v>
      </c>
      <c r="D687" s="10">
        <f t="shared" si="41"/>
        <v>152.27538870990998</v>
      </c>
      <c r="E687" s="10">
        <f t="shared" si="42"/>
        <v>8482.7382773698209</v>
      </c>
      <c r="F687" s="10">
        <f t="shared" si="43"/>
        <v>7873.6367225301819</v>
      </c>
    </row>
    <row r="688" spans="1:6" s="10" customFormat="1" x14ac:dyDescent="0.3">
      <c r="A688" s="24">
        <v>42179</v>
      </c>
      <c r="B688" s="10">
        <v>8360.8496090000008</v>
      </c>
      <c r="C688" s="10">
        <f t="shared" si="40"/>
        <v>8179.4999999499996</v>
      </c>
      <c r="D688" s="10">
        <f t="shared" si="41"/>
        <v>153.79999507707447</v>
      </c>
      <c r="E688" s="10">
        <f t="shared" si="42"/>
        <v>8487.0999901041487</v>
      </c>
      <c r="F688" s="10">
        <f t="shared" si="43"/>
        <v>7871.9000097958506</v>
      </c>
    </row>
    <row r="689" spans="1:6" s="10" customFormat="1" x14ac:dyDescent="0.3">
      <c r="A689" s="24">
        <v>42180</v>
      </c>
      <c r="B689" s="10">
        <v>8398</v>
      </c>
      <c r="C689" s="10">
        <f t="shared" si="40"/>
        <v>8183.4499999499994</v>
      </c>
      <c r="D689" s="10">
        <f t="shared" si="41"/>
        <v>158.51353607090741</v>
      </c>
      <c r="E689" s="10">
        <f t="shared" si="42"/>
        <v>8500.477072091815</v>
      </c>
      <c r="F689" s="10">
        <f t="shared" si="43"/>
        <v>7866.4229278081848</v>
      </c>
    </row>
    <row r="690" spans="1:6" s="10" customFormat="1" x14ac:dyDescent="0.3">
      <c r="A690" s="24">
        <v>42181</v>
      </c>
      <c r="B690" s="10">
        <v>8381.0996090000008</v>
      </c>
      <c r="C690" s="10">
        <f t="shared" si="40"/>
        <v>8180.8224608499995</v>
      </c>
      <c r="D690" s="10">
        <f t="shared" si="41"/>
        <v>154.53348032366719</v>
      </c>
      <c r="E690" s="10">
        <f t="shared" si="42"/>
        <v>8489.8894214973334</v>
      </c>
      <c r="F690" s="10">
        <f t="shared" si="43"/>
        <v>7871.7555002026647</v>
      </c>
    </row>
    <row r="691" spans="1:6" s="10" customFormat="1" x14ac:dyDescent="0.3">
      <c r="A691" s="24">
        <v>42184</v>
      </c>
      <c r="B691" s="10">
        <v>8318.4003909999992</v>
      </c>
      <c r="C691" s="10">
        <f t="shared" ref="C691:C754" si="44">AVERAGE(B672:B691)</f>
        <v>8175.0724608500004</v>
      </c>
      <c r="D691" s="10">
        <f t="shared" si="41"/>
        <v>146.57531930240896</v>
      </c>
      <c r="E691" s="10">
        <f t="shared" si="42"/>
        <v>8468.223099454819</v>
      </c>
      <c r="F691" s="10">
        <f t="shared" si="43"/>
        <v>7881.9218222451827</v>
      </c>
    </row>
    <row r="692" spans="1:6" s="10" customFormat="1" x14ac:dyDescent="0.3">
      <c r="A692" s="24">
        <v>42185</v>
      </c>
      <c r="B692" s="10">
        <v>8368.5</v>
      </c>
      <c r="C692" s="10">
        <f t="shared" si="44"/>
        <v>8181.6749510999998</v>
      </c>
      <c r="D692" s="10">
        <f t="shared" si="41"/>
        <v>152.34608962312188</v>
      </c>
      <c r="E692" s="10">
        <f t="shared" si="42"/>
        <v>8486.3671303462434</v>
      </c>
      <c r="F692" s="10">
        <f t="shared" si="43"/>
        <v>7876.9827718537563</v>
      </c>
    </row>
    <row r="693" spans="1:6" s="10" customFormat="1" x14ac:dyDescent="0.3">
      <c r="A693" s="24">
        <v>42186</v>
      </c>
      <c r="B693" s="10">
        <v>8453.0498050000006</v>
      </c>
      <c r="C693" s="10">
        <f t="shared" si="44"/>
        <v>8197.5724364500002</v>
      </c>
      <c r="D693" s="10">
        <f t="shared" si="41"/>
        <v>163.41709358257737</v>
      </c>
      <c r="E693" s="10">
        <f t="shared" si="42"/>
        <v>8524.4066236151557</v>
      </c>
      <c r="F693" s="10">
        <f t="shared" si="43"/>
        <v>7870.7382492848456</v>
      </c>
    </row>
    <row r="694" spans="1:6" s="10" customFormat="1" x14ac:dyDescent="0.3">
      <c r="A694" s="24">
        <v>42187</v>
      </c>
      <c r="B694" s="10">
        <v>8444.9003909999992</v>
      </c>
      <c r="C694" s="10">
        <f t="shared" si="44"/>
        <v>8213.2849608999986</v>
      </c>
      <c r="D694" s="10">
        <f t="shared" si="41"/>
        <v>171.54907323337974</v>
      </c>
      <c r="E694" s="10">
        <f t="shared" si="42"/>
        <v>8556.3831073667588</v>
      </c>
      <c r="F694" s="10">
        <f t="shared" si="43"/>
        <v>7870.1868144332393</v>
      </c>
    </row>
    <row r="695" spans="1:6" s="10" customFormat="1" x14ac:dyDescent="0.3">
      <c r="A695" s="24">
        <v>42188</v>
      </c>
      <c r="B695" s="10">
        <v>8484.9003909999992</v>
      </c>
      <c r="C695" s="10">
        <f t="shared" si="44"/>
        <v>8231.7949706999989</v>
      </c>
      <c r="D695" s="10">
        <f t="shared" si="41"/>
        <v>180.11051907711467</v>
      </c>
      <c r="E695" s="10">
        <f t="shared" si="42"/>
        <v>8592.0160088542289</v>
      </c>
      <c r="F695" s="10">
        <f t="shared" si="43"/>
        <v>7871.5739325457698</v>
      </c>
    </row>
    <row r="696" spans="1:6" s="10" customFormat="1" x14ac:dyDescent="0.3">
      <c r="A696" s="24">
        <v>42191</v>
      </c>
      <c r="B696" s="10">
        <v>8522.1503909999992</v>
      </c>
      <c r="C696" s="10">
        <f t="shared" si="44"/>
        <v>8255.6949951499992</v>
      </c>
      <c r="D696" s="10">
        <f t="shared" si="41"/>
        <v>185.53302408243229</v>
      </c>
      <c r="E696" s="10">
        <f t="shared" si="42"/>
        <v>8626.7610433148639</v>
      </c>
      <c r="F696" s="10">
        <f t="shared" si="43"/>
        <v>7884.6289469851345</v>
      </c>
    </row>
    <row r="697" spans="1:6" s="10" customFormat="1" x14ac:dyDescent="0.3">
      <c r="A697" s="24">
        <v>42192</v>
      </c>
      <c r="B697" s="10">
        <v>8510.7998050000006</v>
      </c>
      <c r="C697" s="10">
        <f t="shared" si="44"/>
        <v>8280.1149903000005</v>
      </c>
      <c r="D697" s="10">
        <f t="shared" si="41"/>
        <v>185.35211124782458</v>
      </c>
      <c r="E697" s="10">
        <f t="shared" si="42"/>
        <v>8650.8192127956499</v>
      </c>
      <c r="F697" s="10">
        <f t="shared" si="43"/>
        <v>7909.4107678043511</v>
      </c>
    </row>
    <row r="698" spans="1:6" s="10" customFormat="1" x14ac:dyDescent="0.3">
      <c r="A698" s="24">
        <v>42193</v>
      </c>
      <c r="B698" s="10">
        <v>8363.0498050000006</v>
      </c>
      <c r="C698" s="10">
        <f t="shared" si="44"/>
        <v>8292.0449707999978</v>
      </c>
      <c r="D698" s="10">
        <f t="shared" si="41"/>
        <v>182.46165625101651</v>
      </c>
      <c r="E698" s="10">
        <f t="shared" si="42"/>
        <v>8656.9682833020306</v>
      </c>
      <c r="F698" s="10">
        <f t="shared" si="43"/>
        <v>7927.121658297965</v>
      </c>
    </row>
    <row r="699" spans="1:6" s="10" customFormat="1" x14ac:dyDescent="0.3">
      <c r="A699" s="24">
        <v>42194</v>
      </c>
      <c r="B699" s="10">
        <v>8328.5498050000006</v>
      </c>
      <c r="C699" s="10">
        <f t="shared" si="44"/>
        <v>8310.2049561499989</v>
      </c>
      <c r="D699" s="10">
        <f t="shared" si="41"/>
        <v>165.52313015078096</v>
      </c>
      <c r="E699" s="10">
        <f t="shared" si="42"/>
        <v>8641.251216451561</v>
      </c>
      <c r="F699" s="10">
        <f t="shared" si="43"/>
        <v>7979.1586958484368</v>
      </c>
    </row>
    <row r="700" spans="1:6" s="10" customFormat="1" x14ac:dyDescent="0.3">
      <c r="A700" s="24">
        <v>42195</v>
      </c>
      <c r="B700" s="10">
        <v>8360.5498050000006</v>
      </c>
      <c r="C700" s="10">
        <f t="shared" si="44"/>
        <v>8329.0874512999981</v>
      </c>
      <c r="D700" s="10">
        <f t="shared" si="41"/>
        <v>146.68894023447149</v>
      </c>
      <c r="E700" s="10">
        <f t="shared" si="42"/>
        <v>8622.4653317689408</v>
      </c>
      <c r="F700" s="10">
        <f t="shared" si="43"/>
        <v>8035.7095708310553</v>
      </c>
    </row>
    <row r="701" spans="1:6" s="10" customFormat="1" x14ac:dyDescent="0.3">
      <c r="A701" s="24">
        <v>42198</v>
      </c>
      <c r="B701" s="10">
        <v>8459.6503909999992</v>
      </c>
      <c r="C701" s="10">
        <f t="shared" si="44"/>
        <v>8351.3749757499991</v>
      </c>
      <c r="D701" s="10">
        <f t="shared" si="41"/>
        <v>129.08668519995095</v>
      </c>
      <c r="E701" s="10">
        <f t="shared" si="42"/>
        <v>8609.5483461499007</v>
      </c>
      <c r="F701" s="10">
        <f t="shared" si="43"/>
        <v>8093.2016053500975</v>
      </c>
    </row>
    <row r="702" spans="1:6" s="10" customFormat="1" x14ac:dyDescent="0.3">
      <c r="A702" s="24">
        <v>42199</v>
      </c>
      <c r="B702" s="10">
        <v>8454.0996090000008</v>
      </c>
      <c r="C702" s="10">
        <f t="shared" si="44"/>
        <v>8371.7149659499992</v>
      </c>
      <c r="D702" s="10">
        <f t="shared" si="41"/>
        <v>109.16438844944778</v>
      </c>
      <c r="E702" s="10">
        <f t="shared" si="42"/>
        <v>8590.0437428488949</v>
      </c>
      <c r="F702" s="10">
        <f t="shared" si="43"/>
        <v>8153.3861890511034</v>
      </c>
    </row>
    <row r="703" spans="1:6" s="10" customFormat="1" x14ac:dyDescent="0.3">
      <c r="A703" s="24">
        <v>42200</v>
      </c>
      <c r="B703" s="10">
        <v>8523.7998050000006</v>
      </c>
      <c r="C703" s="10">
        <f t="shared" si="44"/>
        <v>8393.3274659499984</v>
      </c>
      <c r="D703" s="10">
        <f t="shared" si="41"/>
        <v>92.256988934806046</v>
      </c>
      <c r="E703" s="10">
        <f t="shared" si="42"/>
        <v>8577.8414438196105</v>
      </c>
      <c r="F703" s="10">
        <f t="shared" si="43"/>
        <v>8208.8134880803864</v>
      </c>
    </row>
    <row r="704" spans="1:6" s="10" customFormat="1" x14ac:dyDescent="0.3">
      <c r="A704" s="24">
        <v>42201</v>
      </c>
      <c r="B704" s="10">
        <v>8608.0498050000006</v>
      </c>
      <c r="C704" s="10">
        <f t="shared" si="44"/>
        <v>8414.9999513000002</v>
      </c>
      <c r="D704" s="10">
        <f t="shared" si="41"/>
        <v>89.025654821302041</v>
      </c>
      <c r="E704" s="10">
        <f t="shared" si="42"/>
        <v>8593.0512609426041</v>
      </c>
      <c r="F704" s="10">
        <f t="shared" si="43"/>
        <v>8236.9486416573964</v>
      </c>
    </row>
    <row r="705" spans="1:6" s="10" customFormat="1" x14ac:dyDescent="0.3">
      <c r="A705" s="24">
        <v>42202</v>
      </c>
      <c r="B705" s="10">
        <v>8609.8496090000008</v>
      </c>
      <c r="C705" s="10">
        <f t="shared" si="44"/>
        <v>8434.2449219999999</v>
      </c>
      <c r="D705" s="10">
        <f t="shared" si="41"/>
        <v>87.36670400405508</v>
      </c>
      <c r="E705" s="10">
        <f t="shared" si="42"/>
        <v>8608.9783300081108</v>
      </c>
      <c r="F705" s="10">
        <f t="shared" si="43"/>
        <v>8259.5115139918889</v>
      </c>
    </row>
    <row r="706" spans="1:6" s="10" customFormat="1" x14ac:dyDescent="0.3">
      <c r="A706" s="24">
        <v>42205</v>
      </c>
      <c r="B706" s="10">
        <v>8603.4501949999994</v>
      </c>
      <c r="C706" s="10">
        <f t="shared" si="44"/>
        <v>8446.762451300001</v>
      </c>
      <c r="D706" s="10">
        <f t="shared" si="41"/>
        <v>92.888719556399309</v>
      </c>
      <c r="E706" s="10">
        <f t="shared" si="42"/>
        <v>8632.5398904127997</v>
      </c>
      <c r="F706" s="10">
        <f t="shared" si="43"/>
        <v>8260.9850121872023</v>
      </c>
    </row>
    <row r="707" spans="1:6" s="10" customFormat="1" x14ac:dyDescent="0.3">
      <c r="A707" s="24">
        <v>42206</v>
      </c>
      <c r="B707" s="10">
        <v>8529.4501949999994</v>
      </c>
      <c r="C707" s="10">
        <f t="shared" si="44"/>
        <v>8454.1574708000007</v>
      </c>
      <c r="D707" s="10">
        <f t="shared" si="41"/>
        <v>93.310127404422289</v>
      </c>
      <c r="E707" s="10">
        <f t="shared" si="42"/>
        <v>8640.7777256088448</v>
      </c>
      <c r="F707" s="10">
        <f t="shared" si="43"/>
        <v>8267.5372159911567</v>
      </c>
    </row>
    <row r="708" spans="1:6" s="10" customFormat="1" x14ac:dyDescent="0.3">
      <c r="A708" s="24">
        <v>42207</v>
      </c>
      <c r="B708" s="10">
        <v>8633.5</v>
      </c>
      <c r="C708" s="10">
        <f t="shared" si="44"/>
        <v>8467.789990350002</v>
      </c>
      <c r="D708" s="10">
        <f t="shared" si="41"/>
        <v>98.720576314348037</v>
      </c>
      <c r="E708" s="10">
        <f t="shared" si="42"/>
        <v>8665.2311429786987</v>
      </c>
      <c r="F708" s="10">
        <f t="shared" si="43"/>
        <v>8270.3488377213052</v>
      </c>
    </row>
    <row r="709" spans="1:6" s="10" customFormat="1" x14ac:dyDescent="0.3">
      <c r="A709" s="24">
        <v>42208</v>
      </c>
      <c r="B709" s="10">
        <v>8589.7998050000006</v>
      </c>
      <c r="C709" s="10">
        <f t="shared" si="44"/>
        <v>8477.3799806000025</v>
      </c>
      <c r="D709" s="10">
        <f t="shared" si="41"/>
        <v>100.87660138346091</v>
      </c>
      <c r="E709" s="10">
        <f t="shared" si="42"/>
        <v>8679.1331833669246</v>
      </c>
      <c r="F709" s="10">
        <f t="shared" si="43"/>
        <v>8275.6267778330803</v>
      </c>
    </row>
    <row r="710" spans="1:6" s="10" customFormat="1" x14ac:dyDescent="0.3">
      <c r="A710" s="24">
        <v>42209</v>
      </c>
      <c r="B710" s="10">
        <v>8521.5498050000006</v>
      </c>
      <c r="C710" s="10">
        <f t="shared" si="44"/>
        <v>8484.4024903999998</v>
      </c>
      <c r="D710" s="10">
        <f t="shared" si="41"/>
        <v>98.686221504307255</v>
      </c>
      <c r="E710" s="10">
        <f t="shared" si="42"/>
        <v>8681.7749334086147</v>
      </c>
      <c r="F710" s="10">
        <f t="shared" si="43"/>
        <v>8287.0300473913849</v>
      </c>
    </row>
    <row r="711" spans="1:6" s="10" customFormat="1" x14ac:dyDescent="0.3">
      <c r="A711" s="24">
        <v>42212</v>
      </c>
      <c r="B711" s="10">
        <v>8361</v>
      </c>
      <c r="C711" s="10">
        <f t="shared" si="44"/>
        <v>8486.5324708499993</v>
      </c>
      <c r="D711" s="10">
        <f t="shared" si="41"/>
        <v>95.316971835669236</v>
      </c>
      <c r="E711" s="10">
        <f t="shared" si="42"/>
        <v>8677.1664145213381</v>
      </c>
      <c r="F711" s="10">
        <f t="shared" si="43"/>
        <v>8295.8985271786605</v>
      </c>
    </row>
    <row r="712" spans="1:6" s="10" customFormat="1" x14ac:dyDescent="0.3">
      <c r="A712" s="24">
        <v>42213</v>
      </c>
      <c r="B712" s="10">
        <v>8337</v>
      </c>
      <c r="C712" s="10">
        <f t="shared" si="44"/>
        <v>8484.9574708499986</v>
      </c>
      <c r="D712" s="10">
        <f t="shared" si="41"/>
        <v>97.602809612834037</v>
      </c>
      <c r="E712" s="10">
        <f t="shared" si="42"/>
        <v>8680.1630900756663</v>
      </c>
      <c r="F712" s="10">
        <f t="shared" si="43"/>
        <v>8289.7518516243308</v>
      </c>
    </row>
    <row r="713" spans="1:6" s="10" customFormat="1" x14ac:dyDescent="0.3">
      <c r="A713" s="24">
        <v>42214</v>
      </c>
      <c r="B713" s="10">
        <v>8375.0498050000006</v>
      </c>
      <c r="C713" s="10">
        <f t="shared" si="44"/>
        <v>8481.0574708499989</v>
      </c>
      <c r="D713" s="10">
        <f t="shared" si="41"/>
        <v>100.46137155372691</v>
      </c>
      <c r="E713" s="10">
        <f t="shared" si="42"/>
        <v>8681.9802139574531</v>
      </c>
      <c r="F713" s="10">
        <f t="shared" si="43"/>
        <v>8280.1347277425448</v>
      </c>
    </row>
    <row r="714" spans="1:6" s="10" customFormat="1" x14ac:dyDescent="0.3">
      <c r="A714" s="24">
        <v>42215</v>
      </c>
      <c r="B714" s="10">
        <v>8421.7998050000006</v>
      </c>
      <c r="C714" s="10">
        <f t="shared" si="44"/>
        <v>8479.9024415499989</v>
      </c>
      <c r="D714" s="10">
        <f t="shared" si="41"/>
        <v>101.03014427692179</v>
      </c>
      <c r="E714" s="10">
        <f t="shared" si="42"/>
        <v>8681.9627301038417</v>
      </c>
      <c r="F714" s="10">
        <f t="shared" si="43"/>
        <v>8277.8421529961561</v>
      </c>
    </row>
    <row r="715" spans="1:6" s="10" customFormat="1" x14ac:dyDescent="0.3">
      <c r="A715" s="24">
        <v>42216</v>
      </c>
      <c r="B715" s="10">
        <v>8532.8496090000008</v>
      </c>
      <c r="C715" s="10">
        <f t="shared" si="44"/>
        <v>8482.2999024499986</v>
      </c>
      <c r="D715" s="10">
        <f t="shared" si="41"/>
        <v>101.72154397555126</v>
      </c>
      <c r="E715" s="10">
        <f t="shared" si="42"/>
        <v>8685.7429904011005</v>
      </c>
      <c r="F715" s="10">
        <f t="shared" si="43"/>
        <v>8278.8568144988967</v>
      </c>
    </row>
    <row r="716" spans="1:6" s="10" customFormat="1" x14ac:dyDescent="0.3">
      <c r="A716" s="24">
        <v>42219</v>
      </c>
      <c r="B716" s="10">
        <v>8543.0498050000006</v>
      </c>
      <c r="C716" s="10">
        <f t="shared" si="44"/>
        <v>8483.3448731499993</v>
      </c>
      <c r="D716" s="10">
        <f t="shared" si="41"/>
        <v>102.25840014742681</v>
      </c>
      <c r="E716" s="10">
        <f t="shared" si="42"/>
        <v>8687.8616734448533</v>
      </c>
      <c r="F716" s="10">
        <f t="shared" si="43"/>
        <v>8278.8280728551454</v>
      </c>
    </row>
    <row r="717" spans="1:6" s="10" customFormat="1" x14ac:dyDescent="0.3">
      <c r="A717" s="24">
        <v>42220</v>
      </c>
      <c r="B717" s="10">
        <v>8516.9003909999992</v>
      </c>
      <c r="C717" s="10">
        <f t="shared" si="44"/>
        <v>8483.6499024499972</v>
      </c>
      <c r="D717" s="10">
        <f t="shared" si="41"/>
        <v>102.35366094070474</v>
      </c>
      <c r="E717" s="10">
        <f t="shared" si="42"/>
        <v>8688.3572243314065</v>
      </c>
      <c r="F717" s="10">
        <f t="shared" si="43"/>
        <v>8278.9425805685878</v>
      </c>
    </row>
    <row r="718" spans="1:6" s="10" customFormat="1" x14ac:dyDescent="0.3">
      <c r="A718" s="24">
        <v>42221</v>
      </c>
      <c r="B718" s="10">
        <v>8567.9501949999994</v>
      </c>
      <c r="C718" s="10">
        <f t="shared" si="44"/>
        <v>8493.8949219500009</v>
      </c>
      <c r="D718" s="10">
        <f t="shared" si="41"/>
        <v>99.871526309208761</v>
      </c>
      <c r="E718" s="10">
        <f t="shared" si="42"/>
        <v>8693.6379745684189</v>
      </c>
      <c r="F718" s="10">
        <f t="shared" si="43"/>
        <v>8294.1518693315829</v>
      </c>
    </row>
    <row r="719" spans="1:6" s="10" customFormat="1" x14ac:dyDescent="0.3">
      <c r="A719" s="24">
        <v>42222</v>
      </c>
      <c r="B719" s="10">
        <v>8588.6503909999992</v>
      </c>
      <c r="C719" s="10">
        <f t="shared" si="44"/>
        <v>8506.8999512500013</v>
      </c>
      <c r="D719" s="10">
        <f t="shared" si="41"/>
        <v>93.967824575360225</v>
      </c>
      <c r="E719" s="10">
        <f t="shared" si="42"/>
        <v>8694.8356004007219</v>
      </c>
      <c r="F719" s="10">
        <f t="shared" si="43"/>
        <v>8318.9643020992808</v>
      </c>
    </row>
    <row r="720" spans="1:6" s="10" customFormat="1" x14ac:dyDescent="0.3">
      <c r="A720" s="24">
        <v>42223</v>
      </c>
      <c r="B720" s="10">
        <v>8564.5996090000008</v>
      </c>
      <c r="C720" s="10">
        <f t="shared" si="44"/>
        <v>8517.1024414500007</v>
      </c>
      <c r="D720" s="10">
        <f t="shared" si="41"/>
        <v>88.138096824345624</v>
      </c>
      <c r="E720" s="10">
        <f t="shared" si="42"/>
        <v>8693.378635098692</v>
      </c>
      <c r="F720" s="10">
        <f t="shared" si="43"/>
        <v>8340.8262478013094</v>
      </c>
    </row>
    <row r="721" spans="1:6" s="10" customFormat="1" x14ac:dyDescent="0.3">
      <c r="A721" s="24">
        <v>42226</v>
      </c>
      <c r="B721" s="10">
        <v>8525.5996090000008</v>
      </c>
      <c r="C721" s="10">
        <f t="shared" si="44"/>
        <v>8520.39990235</v>
      </c>
      <c r="D721" s="10">
        <f t="shared" si="41"/>
        <v>87.103132130601537</v>
      </c>
      <c r="E721" s="10">
        <f t="shared" si="42"/>
        <v>8694.6061666112037</v>
      </c>
      <c r="F721" s="10">
        <f t="shared" si="43"/>
        <v>8346.1936380887964</v>
      </c>
    </row>
    <row r="722" spans="1:6" s="10" customFormat="1" x14ac:dyDescent="0.3">
      <c r="A722" s="24">
        <v>42227</v>
      </c>
      <c r="B722" s="10">
        <v>8462.3496090000008</v>
      </c>
      <c r="C722" s="10">
        <f t="shared" si="44"/>
        <v>8520.8124023500004</v>
      </c>
      <c r="D722" s="10">
        <f t="shared" si="41"/>
        <v>86.7916020212799</v>
      </c>
      <c r="E722" s="10">
        <f t="shared" si="42"/>
        <v>8694.3956063925598</v>
      </c>
      <c r="F722" s="10">
        <f t="shared" si="43"/>
        <v>8347.229198307441</v>
      </c>
    </row>
    <row r="723" spans="1:6" s="10" customFormat="1" x14ac:dyDescent="0.3">
      <c r="A723" s="24">
        <v>42228</v>
      </c>
      <c r="B723" s="10">
        <v>8349.4501949999994</v>
      </c>
      <c r="C723" s="10">
        <f t="shared" si="44"/>
        <v>8512.0949218499991</v>
      </c>
      <c r="D723" s="10">
        <f t="shared" si="41"/>
        <v>94.856970904647682</v>
      </c>
      <c r="E723" s="10">
        <f t="shared" si="42"/>
        <v>8701.8088636592947</v>
      </c>
      <c r="F723" s="10">
        <f t="shared" si="43"/>
        <v>8322.3809800407034</v>
      </c>
    </row>
    <row r="724" spans="1:6" s="10" customFormat="1" x14ac:dyDescent="0.3">
      <c r="A724" s="24">
        <v>42229</v>
      </c>
      <c r="B724" s="10">
        <v>8355.8496090000008</v>
      </c>
      <c r="C724" s="10">
        <f t="shared" si="44"/>
        <v>8499.4849120500003</v>
      </c>
      <c r="D724" s="10">
        <f t="shared" si="41"/>
        <v>98.136335054067672</v>
      </c>
      <c r="E724" s="10">
        <f t="shared" si="42"/>
        <v>8695.7575821581358</v>
      </c>
      <c r="F724" s="10">
        <f t="shared" si="43"/>
        <v>8303.2122419418647</v>
      </c>
    </row>
    <row r="725" spans="1:6" s="10" customFormat="1" x14ac:dyDescent="0.3">
      <c r="A725" s="24">
        <v>42230</v>
      </c>
      <c r="B725" s="10">
        <v>8518.5498050000006</v>
      </c>
      <c r="C725" s="10">
        <f t="shared" si="44"/>
        <v>8494.9199218499998</v>
      </c>
      <c r="D725" s="10">
        <f t="shared" ref="D725:D788" si="45">_xlfn.STDEV.S(B706:B725)</f>
        <v>94.799063397229816</v>
      </c>
      <c r="E725" s="10">
        <f t="shared" si="42"/>
        <v>8684.5180486444588</v>
      </c>
      <c r="F725" s="10">
        <f t="shared" si="43"/>
        <v>8305.3217950555409</v>
      </c>
    </row>
    <row r="726" spans="1:6" s="10" customFormat="1" x14ac:dyDescent="0.3">
      <c r="A726" s="24">
        <v>42233</v>
      </c>
      <c r="B726" s="10">
        <v>8477.2998050000006</v>
      </c>
      <c r="C726" s="10">
        <f t="shared" si="44"/>
        <v>8488.6124023499997</v>
      </c>
      <c r="D726" s="10">
        <f t="shared" si="45"/>
        <v>91.331189773029251</v>
      </c>
      <c r="E726" s="10">
        <f t="shared" ref="E726:E789" si="46">C726+2*D726</f>
        <v>8671.2747818960579</v>
      </c>
      <c r="F726" s="10">
        <f t="shared" ref="F726:F789" si="47">C726-2*D726</f>
        <v>8305.9500228039415</v>
      </c>
    </row>
    <row r="727" spans="1:6" s="10" customFormat="1" x14ac:dyDescent="0.3">
      <c r="A727" s="24">
        <v>42234</v>
      </c>
      <c r="B727" s="10">
        <v>8466.5498050000006</v>
      </c>
      <c r="C727" s="10">
        <f t="shared" si="44"/>
        <v>8485.4673828499981</v>
      </c>
      <c r="D727" s="10">
        <f t="shared" si="45"/>
        <v>90.933043100254139</v>
      </c>
      <c r="E727" s="10">
        <f t="shared" si="46"/>
        <v>8667.3334690505071</v>
      </c>
      <c r="F727" s="10">
        <f t="shared" si="47"/>
        <v>8303.6012966494891</v>
      </c>
    </row>
    <row r="728" spans="1:6" s="10" customFormat="1" x14ac:dyDescent="0.3">
      <c r="A728" s="24">
        <v>42235</v>
      </c>
      <c r="B728" s="10">
        <v>8495.1503909999992</v>
      </c>
      <c r="C728" s="10">
        <f t="shared" si="44"/>
        <v>8478.5499023999982</v>
      </c>
      <c r="D728" s="10">
        <f t="shared" si="45"/>
        <v>84.083486836474719</v>
      </c>
      <c r="E728" s="10">
        <f t="shared" si="46"/>
        <v>8646.7168760729473</v>
      </c>
      <c r="F728" s="10">
        <f t="shared" si="47"/>
        <v>8310.3829287270491</v>
      </c>
    </row>
    <row r="729" spans="1:6" s="10" customFormat="1" x14ac:dyDescent="0.3">
      <c r="A729" s="24">
        <v>42236</v>
      </c>
      <c r="B729" s="10">
        <v>8372.75</v>
      </c>
      <c r="C729" s="10">
        <f t="shared" si="44"/>
        <v>8467.6974121499989</v>
      </c>
      <c r="D729" s="10">
        <f t="shared" si="45"/>
        <v>82.968659282579281</v>
      </c>
      <c r="E729" s="10">
        <f t="shared" si="46"/>
        <v>8633.6347307151573</v>
      </c>
      <c r="F729" s="10">
        <f t="shared" si="47"/>
        <v>8301.7600935848404</v>
      </c>
    </row>
    <row r="730" spans="1:6" s="10" customFormat="1" x14ac:dyDescent="0.3">
      <c r="A730" s="24">
        <v>42237</v>
      </c>
      <c r="B730" s="10">
        <v>8299.9501949999994</v>
      </c>
      <c r="C730" s="10">
        <f t="shared" si="44"/>
        <v>8456.6174316500001</v>
      </c>
      <c r="D730" s="10">
        <f t="shared" si="45"/>
        <v>89.905183776581495</v>
      </c>
      <c r="E730" s="10">
        <f t="shared" si="46"/>
        <v>8636.4277992031639</v>
      </c>
      <c r="F730" s="10">
        <f t="shared" si="47"/>
        <v>8276.8070640968363</v>
      </c>
    </row>
    <row r="731" spans="1:6" s="10" customFormat="1" x14ac:dyDescent="0.3">
      <c r="A731" s="24">
        <v>42240</v>
      </c>
      <c r="B731" s="10">
        <v>7809</v>
      </c>
      <c r="C731" s="10">
        <f t="shared" si="44"/>
        <v>8429.0174316500015</v>
      </c>
      <c r="D731" s="10">
        <f t="shared" si="45"/>
        <v>169.92356545931514</v>
      </c>
      <c r="E731" s="10">
        <f t="shared" si="46"/>
        <v>8768.8645625686313</v>
      </c>
      <c r="F731" s="10">
        <f t="shared" si="47"/>
        <v>8089.1703007313708</v>
      </c>
    </row>
    <row r="732" spans="1:6" s="10" customFormat="1" x14ac:dyDescent="0.3">
      <c r="A732" s="24">
        <v>42241</v>
      </c>
      <c r="B732" s="10">
        <v>7880.7001950000003</v>
      </c>
      <c r="C732" s="10">
        <f t="shared" si="44"/>
        <v>8406.2024414000007</v>
      </c>
      <c r="D732" s="10">
        <f t="shared" si="45"/>
        <v>209.05557716695876</v>
      </c>
      <c r="E732" s="10">
        <f t="shared" si="46"/>
        <v>8824.3135957339182</v>
      </c>
      <c r="F732" s="10">
        <f t="shared" si="47"/>
        <v>7988.0912870660832</v>
      </c>
    </row>
    <row r="733" spans="1:6" s="10" customFormat="1" x14ac:dyDescent="0.3">
      <c r="A733" s="24">
        <v>42242</v>
      </c>
      <c r="B733" s="10">
        <v>7791.8500979999999</v>
      </c>
      <c r="C733" s="10">
        <f t="shared" si="44"/>
        <v>8377.0424560499996</v>
      </c>
      <c r="D733" s="10">
        <f t="shared" si="45"/>
        <v>250.24542403111639</v>
      </c>
      <c r="E733" s="10">
        <f t="shared" si="46"/>
        <v>8877.5333041122321</v>
      </c>
      <c r="F733" s="10">
        <f t="shared" si="47"/>
        <v>7876.5516079877671</v>
      </c>
    </row>
    <row r="734" spans="1:6" s="10" customFormat="1" x14ac:dyDescent="0.3">
      <c r="A734" s="24">
        <v>42243</v>
      </c>
      <c r="B734" s="10">
        <v>7948.9501950000003</v>
      </c>
      <c r="C734" s="10">
        <f t="shared" si="44"/>
        <v>8353.3999755500008</v>
      </c>
      <c r="D734" s="10">
        <f t="shared" si="45"/>
        <v>267.53387377496733</v>
      </c>
      <c r="E734" s="10">
        <f t="shared" si="46"/>
        <v>8888.467723099935</v>
      </c>
      <c r="F734" s="10">
        <f t="shared" si="47"/>
        <v>7818.3322280000666</v>
      </c>
    </row>
    <row r="735" spans="1:6" s="10" customFormat="1" x14ac:dyDescent="0.3">
      <c r="A735" s="24">
        <v>42244</v>
      </c>
      <c r="B735" s="10">
        <v>8001.9501950000003</v>
      </c>
      <c r="C735" s="10">
        <f t="shared" si="44"/>
        <v>8326.8550048500001</v>
      </c>
      <c r="D735" s="10">
        <f t="shared" si="45"/>
        <v>275.02489520211856</v>
      </c>
      <c r="E735" s="10">
        <f t="shared" si="46"/>
        <v>8876.9047952542369</v>
      </c>
      <c r="F735" s="10">
        <f t="shared" si="47"/>
        <v>7776.8052144457633</v>
      </c>
    </row>
    <row r="736" spans="1:6" s="10" customFormat="1" x14ac:dyDescent="0.3">
      <c r="A736" s="24">
        <v>42247</v>
      </c>
      <c r="B736" s="10">
        <v>7971.2998049999997</v>
      </c>
      <c r="C736" s="10">
        <f t="shared" si="44"/>
        <v>8298.2675048500005</v>
      </c>
      <c r="D736" s="10">
        <f t="shared" si="45"/>
        <v>281.01971948426308</v>
      </c>
      <c r="E736" s="10">
        <f t="shared" si="46"/>
        <v>8860.3069438185266</v>
      </c>
      <c r="F736" s="10">
        <f t="shared" si="47"/>
        <v>7736.2280658814743</v>
      </c>
    </row>
    <row r="737" spans="1:6" s="10" customFormat="1" x14ac:dyDescent="0.3">
      <c r="A737" s="24">
        <v>42248</v>
      </c>
      <c r="B737" s="10">
        <v>7785.8500979999999</v>
      </c>
      <c r="C737" s="10">
        <f t="shared" si="44"/>
        <v>8261.7149902000001</v>
      </c>
      <c r="D737" s="10">
        <f t="shared" si="45"/>
        <v>298.10975596538577</v>
      </c>
      <c r="E737" s="10">
        <f t="shared" si="46"/>
        <v>8857.9345021307709</v>
      </c>
      <c r="F737" s="10">
        <f t="shared" si="47"/>
        <v>7665.4954782692284</v>
      </c>
    </row>
    <row r="738" spans="1:6" s="10" customFormat="1" x14ac:dyDescent="0.3">
      <c r="A738" s="24">
        <v>42249</v>
      </c>
      <c r="B738" s="10">
        <v>7717</v>
      </c>
      <c r="C738" s="10">
        <f t="shared" si="44"/>
        <v>8219.1674804499999</v>
      </c>
      <c r="D738" s="10">
        <f t="shared" si="45"/>
        <v>312.48138585440131</v>
      </c>
      <c r="E738" s="10">
        <f t="shared" si="46"/>
        <v>8844.1302521588023</v>
      </c>
      <c r="F738" s="10">
        <f t="shared" si="47"/>
        <v>7594.2047087411975</v>
      </c>
    </row>
    <row r="739" spans="1:6" s="10" customFormat="1" x14ac:dyDescent="0.3">
      <c r="A739" s="24">
        <v>42250</v>
      </c>
      <c r="B739" s="10">
        <v>7823</v>
      </c>
      <c r="C739" s="10">
        <f t="shared" si="44"/>
        <v>8180.8849608999999</v>
      </c>
      <c r="D739" s="10">
        <f t="shared" si="45"/>
        <v>311.7326569624023</v>
      </c>
      <c r="E739" s="10">
        <f t="shared" si="46"/>
        <v>8804.3502748248047</v>
      </c>
      <c r="F739" s="10">
        <f t="shared" si="47"/>
        <v>7557.4196469751951</v>
      </c>
    </row>
    <row r="740" spans="1:6" s="10" customFormat="1" x14ac:dyDescent="0.3">
      <c r="A740" s="24">
        <v>42251</v>
      </c>
      <c r="B740" s="10">
        <v>7655.0498049999997</v>
      </c>
      <c r="C740" s="10">
        <f t="shared" si="44"/>
        <v>8135.4074706999991</v>
      </c>
      <c r="D740" s="10">
        <f t="shared" si="45"/>
        <v>319.0668447236315</v>
      </c>
      <c r="E740" s="10">
        <f t="shared" si="46"/>
        <v>8773.5411601472624</v>
      </c>
      <c r="F740" s="10">
        <f t="shared" si="47"/>
        <v>7497.2737812527357</v>
      </c>
    </row>
    <row r="741" spans="1:6" s="10" customFormat="1" x14ac:dyDescent="0.3">
      <c r="A741" s="24">
        <v>42254</v>
      </c>
      <c r="B741" s="10">
        <v>7558.7998049999997</v>
      </c>
      <c r="C741" s="10">
        <f t="shared" si="44"/>
        <v>8087.067480499999</v>
      </c>
      <c r="D741" s="10">
        <f t="shared" si="45"/>
        <v>329.89318677559066</v>
      </c>
      <c r="E741" s="10">
        <f t="shared" si="46"/>
        <v>8746.85385405118</v>
      </c>
      <c r="F741" s="10">
        <f t="shared" si="47"/>
        <v>7427.281106948818</v>
      </c>
    </row>
    <row r="742" spans="1:6" s="10" customFormat="1" x14ac:dyDescent="0.3">
      <c r="A742" s="24">
        <v>42255</v>
      </c>
      <c r="B742" s="10">
        <v>7688.25</v>
      </c>
      <c r="C742" s="10">
        <f t="shared" si="44"/>
        <v>8048.3625000499978</v>
      </c>
      <c r="D742" s="10">
        <f t="shared" si="45"/>
        <v>328.95512215804877</v>
      </c>
      <c r="E742" s="10">
        <f t="shared" si="46"/>
        <v>8706.2727443660951</v>
      </c>
      <c r="F742" s="10">
        <f t="shared" si="47"/>
        <v>7390.4522557339005</v>
      </c>
    </row>
    <row r="743" spans="1:6" s="10" customFormat="1" x14ac:dyDescent="0.3">
      <c r="A743" s="24">
        <v>42256</v>
      </c>
      <c r="B743" s="10">
        <v>7818.6000979999999</v>
      </c>
      <c r="C743" s="10">
        <f t="shared" si="44"/>
        <v>8021.8199951999977</v>
      </c>
      <c r="D743" s="10">
        <f t="shared" si="45"/>
        <v>324.77237741933686</v>
      </c>
      <c r="E743" s="10">
        <f t="shared" si="46"/>
        <v>8671.3647500386724</v>
      </c>
      <c r="F743" s="10">
        <f t="shared" si="47"/>
        <v>7372.275240361324</v>
      </c>
    </row>
    <row r="744" spans="1:6" s="10" customFormat="1" x14ac:dyDescent="0.3">
      <c r="A744" s="24">
        <v>42257</v>
      </c>
      <c r="B744" s="10">
        <v>7788.1000979999999</v>
      </c>
      <c r="C744" s="10">
        <f t="shared" si="44"/>
        <v>7993.4325196499976</v>
      </c>
      <c r="D744" s="10">
        <f t="shared" si="45"/>
        <v>318.79683991428243</v>
      </c>
      <c r="E744" s="10">
        <f t="shared" si="46"/>
        <v>8631.0261994785633</v>
      </c>
      <c r="F744" s="10">
        <f t="shared" si="47"/>
        <v>7355.8388398214329</v>
      </c>
    </row>
    <row r="745" spans="1:6" s="10" customFormat="1" x14ac:dyDescent="0.3">
      <c r="A745" s="24">
        <v>42258</v>
      </c>
      <c r="B745" s="10">
        <v>7789.2998049999997</v>
      </c>
      <c r="C745" s="10">
        <f t="shared" si="44"/>
        <v>7956.970019649998</v>
      </c>
      <c r="D745" s="10">
        <f t="shared" si="45"/>
        <v>296.49964953732234</v>
      </c>
      <c r="E745" s="10">
        <f t="shared" si="46"/>
        <v>8549.969318724643</v>
      </c>
      <c r="F745" s="10">
        <f t="shared" si="47"/>
        <v>7363.970720575353</v>
      </c>
    </row>
    <row r="746" spans="1:6" s="10" customFormat="1" x14ac:dyDescent="0.3">
      <c r="A746" s="24">
        <v>42261</v>
      </c>
      <c r="B746" s="10">
        <v>7872.25</v>
      </c>
      <c r="C746" s="10">
        <f t="shared" si="44"/>
        <v>7926.717529399999</v>
      </c>
      <c r="D746" s="10">
        <f t="shared" si="45"/>
        <v>270.32718326423554</v>
      </c>
      <c r="E746" s="10">
        <f t="shared" si="46"/>
        <v>8467.3718959284706</v>
      </c>
      <c r="F746" s="10">
        <f t="shared" si="47"/>
        <v>7386.0631628715282</v>
      </c>
    </row>
    <row r="747" spans="1:6" s="10" customFormat="1" x14ac:dyDescent="0.3">
      <c r="A747" s="24">
        <v>42262</v>
      </c>
      <c r="B747" s="10">
        <v>7829.1000979999999</v>
      </c>
      <c r="C747" s="10">
        <f t="shared" si="44"/>
        <v>7894.8450440499992</v>
      </c>
      <c r="D747" s="10">
        <f t="shared" si="45"/>
        <v>239.10492135482849</v>
      </c>
      <c r="E747" s="10">
        <f t="shared" si="46"/>
        <v>8373.0548867596553</v>
      </c>
      <c r="F747" s="10">
        <f t="shared" si="47"/>
        <v>7416.6352013403421</v>
      </c>
    </row>
    <row r="748" spans="1:6" s="10" customFormat="1" x14ac:dyDescent="0.3">
      <c r="A748" s="24">
        <v>42263</v>
      </c>
      <c r="B748" s="10">
        <v>7899.1499020000001</v>
      </c>
      <c r="C748" s="10">
        <f t="shared" si="44"/>
        <v>7865.0450195999993</v>
      </c>
      <c r="D748" s="10">
        <f t="shared" si="45"/>
        <v>193.05620915690713</v>
      </c>
      <c r="E748" s="10">
        <f t="shared" si="46"/>
        <v>8251.1574379138128</v>
      </c>
      <c r="F748" s="10">
        <f t="shared" si="47"/>
        <v>7478.9326012861848</v>
      </c>
    </row>
    <row r="749" spans="1:6" s="10" customFormat="1" x14ac:dyDescent="0.3">
      <c r="A749" s="24">
        <v>42265</v>
      </c>
      <c r="B749" s="10">
        <v>7981.8999020000001</v>
      </c>
      <c r="C749" s="10">
        <f t="shared" si="44"/>
        <v>7845.5025146999997</v>
      </c>
      <c r="D749" s="10">
        <f t="shared" si="45"/>
        <v>154.98655704848068</v>
      </c>
      <c r="E749" s="10">
        <f t="shared" si="46"/>
        <v>8155.4756287969612</v>
      </c>
      <c r="F749" s="10">
        <f t="shared" si="47"/>
        <v>7535.5294006030381</v>
      </c>
    </row>
    <row r="750" spans="1:6" s="10" customFormat="1" x14ac:dyDescent="0.3">
      <c r="A750" s="24">
        <v>42268</v>
      </c>
      <c r="B750" s="10">
        <v>7977.1000979999999</v>
      </c>
      <c r="C750" s="10">
        <f t="shared" si="44"/>
        <v>7829.360009850001</v>
      </c>
      <c r="D750" s="10">
        <f t="shared" si="45"/>
        <v>117.42398324757342</v>
      </c>
      <c r="E750" s="10">
        <f t="shared" si="46"/>
        <v>8064.2079763451475</v>
      </c>
      <c r="F750" s="10">
        <f t="shared" si="47"/>
        <v>7594.5120433548545</v>
      </c>
    </row>
    <row r="751" spans="1:6" s="10" customFormat="1" x14ac:dyDescent="0.3">
      <c r="A751" s="24">
        <v>42269</v>
      </c>
      <c r="B751" s="10">
        <v>7812</v>
      </c>
      <c r="C751" s="10">
        <f t="shared" si="44"/>
        <v>7829.5100098499997</v>
      </c>
      <c r="D751" s="10">
        <f t="shared" si="45"/>
        <v>117.39851943245138</v>
      </c>
      <c r="E751" s="10">
        <f t="shared" si="46"/>
        <v>8064.3070487149025</v>
      </c>
      <c r="F751" s="10">
        <f t="shared" si="47"/>
        <v>7594.7129709850969</v>
      </c>
    </row>
    <row r="752" spans="1:6" s="10" customFormat="1" x14ac:dyDescent="0.3">
      <c r="A752" s="24">
        <v>42270</v>
      </c>
      <c r="B752" s="10">
        <v>7845.9501950000003</v>
      </c>
      <c r="C752" s="10">
        <f t="shared" si="44"/>
        <v>7827.7725098499996</v>
      </c>
      <c r="D752" s="10">
        <f t="shared" si="45"/>
        <v>116.85693039393728</v>
      </c>
      <c r="E752" s="10">
        <f t="shared" si="46"/>
        <v>8061.4863706378737</v>
      </c>
      <c r="F752" s="10">
        <f t="shared" si="47"/>
        <v>7594.0586490621254</v>
      </c>
    </row>
    <row r="753" spans="1:6" s="10" customFormat="1" x14ac:dyDescent="0.3">
      <c r="A753" s="24">
        <v>42271</v>
      </c>
      <c r="B753" s="10">
        <v>7868.5</v>
      </c>
      <c r="C753" s="10">
        <f t="shared" si="44"/>
        <v>7831.6050049500018</v>
      </c>
      <c r="D753" s="10">
        <f t="shared" si="45"/>
        <v>116.87371723984901</v>
      </c>
      <c r="E753" s="10">
        <f t="shared" si="46"/>
        <v>8065.3524394297001</v>
      </c>
      <c r="F753" s="10">
        <f t="shared" si="47"/>
        <v>7597.8575704703035</v>
      </c>
    </row>
    <row r="754" spans="1:6" s="10" customFormat="1" x14ac:dyDescent="0.3">
      <c r="A754" s="24">
        <v>42275</v>
      </c>
      <c r="B754" s="10">
        <v>7795.7001950000003</v>
      </c>
      <c r="C754" s="10">
        <f t="shared" si="44"/>
        <v>7823.9425049500014</v>
      </c>
      <c r="D754" s="10">
        <f t="shared" si="45"/>
        <v>113.75755231664687</v>
      </c>
      <c r="E754" s="10">
        <f t="shared" si="46"/>
        <v>8051.4576095832954</v>
      </c>
      <c r="F754" s="10">
        <f t="shared" si="47"/>
        <v>7596.4274003167075</v>
      </c>
    </row>
    <row r="755" spans="1:6" s="10" customFormat="1" x14ac:dyDescent="0.3">
      <c r="A755" s="24">
        <v>42276</v>
      </c>
      <c r="B755" s="10">
        <v>7843.2998049999997</v>
      </c>
      <c r="C755" s="10">
        <f t="shared" ref="C755:C818" si="48">AVERAGE(B736:B755)</f>
        <v>7816.0099854500004</v>
      </c>
      <c r="D755" s="10">
        <f t="shared" si="45"/>
        <v>105.95537876820188</v>
      </c>
      <c r="E755" s="10">
        <f t="shared" si="46"/>
        <v>8027.9207429864045</v>
      </c>
      <c r="F755" s="10">
        <f t="shared" si="47"/>
        <v>7604.0992279135962</v>
      </c>
    </row>
    <row r="756" spans="1:6" s="10" customFormat="1" x14ac:dyDescent="0.3">
      <c r="A756" s="24">
        <v>42277</v>
      </c>
      <c r="B756" s="10">
        <v>7948.8999020000001</v>
      </c>
      <c r="C756" s="10">
        <f t="shared" si="48"/>
        <v>7814.8899903000001</v>
      </c>
      <c r="D756" s="10">
        <f t="shared" si="45"/>
        <v>104.33347789670526</v>
      </c>
      <c r="E756" s="10">
        <f t="shared" si="46"/>
        <v>8023.5569460934103</v>
      </c>
      <c r="F756" s="10">
        <f t="shared" si="47"/>
        <v>7606.22303450659</v>
      </c>
    </row>
    <row r="757" spans="1:6" s="10" customFormat="1" x14ac:dyDescent="0.3">
      <c r="A757" s="24">
        <v>42278</v>
      </c>
      <c r="B757" s="10">
        <v>7950.8999020000001</v>
      </c>
      <c r="C757" s="10">
        <f t="shared" si="48"/>
        <v>7823.1424805000006</v>
      </c>
      <c r="D757" s="10">
        <f t="shared" si="45"/>
        <v>108.36520281370375</v>
      </c>
      <c r="E757" s="10">
        <f t="shared" si="46"/>
        <v>8039.8728861274085</v>
      </c>
      <c r="F757" s="10">
        <f t="shared" si="47"/>
        <v>7606.4120748725927</v>
      </c>
    </row>
    <row r="758" spans="1:6" s="10" customFormat="1" x14ac:dyDescent="0.3">
      <c r="A758" s="24">
        <v>42282</v>
      </c>
      <c r="B758" s="10">
        <v>8119.2998049999997</v>
      </c>
      <c r="C758" s="10">
        <f t="shared" si="48"/>
        <v>7843.2574707499998</v>
      </c>
      <c r="D758" s="10">
        <f t="shared" si="45"/>
        <v>123.85645436497533</v>
      </c>
      <c r="E758" s="10">
        <f t="shared" si="46"/>
        <v>8090.9703794799507</v>
      </c>
      <c r="F758" s="10">
        <f t="shared" si="47"/>
        <v>7595.5445620200489</v>
      </c>
    </row>
    <row r="759" spans="1:6" s="10" customFormat="1" x14ac:dyDescent="0.3">
      <c r="A759" s="24">
        <v>42283</v>
      </c>
      <c r="B759" s="10">
        <v>8152.8999020000001</v>
      </c>
      <c r="C759" s="10">
        <f t="shared" si="48"/>
        <v>7859.7524658499997</v>
      </c>
      <c r="D759" s="10">
        <f t="shared" si="45"/>
        <v>141.69915821011423</v>
      </c>
      <c r="E759" s="10">
        <f t="shared" si="46"/>
        <v>8143.1507822702279</v>
      </c>
      <c r="F759" s="10">
        <f t="shared" si="47"/>
        <v>7576.3541494297715</v>
      </c>
    </row>
    <row r="760" spans="1:6" s="10" customFormat="1" x14ac:dyDescent="0.3">
      <c r="A760" s="24">
        <v>42284</v>
      </c>
      <c r="B760" s="10">
        <v>8177.3999020000001</v>
      </c>
      <c r="C760" s="10">
        <f t="shared" si="48"/>
        <v>7885.8699706999996</v>
      </c>
      <c r="D760" s="10">
        <f t="shared" si="45"/>
        <v>149.88567756678796</v>
      </c>
      <c r="E760" s="10">
        <f t="shared" si="46"/>
        <v>8185.6413258335751</v>
      </c>
      <c r="F760" s="10">
        <f t="shared" si="47"/>
        <v>7586.0986155664241</v>
      </c>
    </row>
    <row r="761" spans="1:6" s="10" customFormat="1" x14ac:dyDescent="0.3">
      <c r="A761" s="24">
        <v>42285</v>
      </c>
      <c r="B761" s="10">
        <v>8129.3500979999999</v>
      </c>
      <c r="C761" s="10">
        <f t="shared" si="48"/>
        <v>7914.3974853499994</v>
      </c>
      <c r="D761" s="10">
        <f t="shared" si="45"/>
        <v>138.19892369721919</v>
      </c>
      <c r="E761" s="10">
        <f t="shared" si="46"/>
        <v>8190.7953327444375</v>
      </c>
      <c r="F761" s="10">
        <f t="shared" si="47"/>
        <v>7637.9996379555614</v>
      </c>
    </row>
    <row r="762" spans="1:6" s="10" customFormat="1" x14ac:dyDescent="0.3">
      <c r="A762" s="24">
        <v>42286</v>
      </c>
      <c r="B762" s="10">
        <v>8189.7001950000003</v>
      </c>
      <c r="C762" s="10">
        <f t="shared" si="48"/>
        <v>7939.4699951000021</v>
      </c>
      <c r="D762" s="10">
        <f t="shared" si="45"/>
        <v>140.47966506103549</v>
      </c>
      <c r="E762" s="10">
        <f t="shared" si="46"/>
        <v>8220.4293252220723</v>
      </c>
      <c r="F762" s="10">
        <f t="shared" si="47"/>
        <v>7658.5106649779309</v>
      </c>
    </row>
    <row r="763" spans="1:6" s="10" customFormat="1" x14ac:dyDescent="0.3">
      <c r="A763" s="24">
        <v>42289</v>
      </c>
      <c r="B763" s="10">
        <v>8143.6000979999999</v>
      </c>
      <c r="C763" s="10">
        <f t="shared" si="48"/>
        <v>7955.7199951000002</v>
      </c>
      <c r="D763" s="10">
        <f t="shared" si="45"/>
        <v>144.50177680614999</v>
      </c>
      <c r="E763" s="10">
        <f t="shared" si="46"/>
        <v>8244.7235487122998</v>
      </c>
      <c r="F763" s="10">
        <f t="shared" si="47"/>
        <v>7666.7164414877006</v>
      </c>
    </row>
    <row r="764" spans="1:6" s="10" customFormat="1" x14ac:dyDescent="0.3">
      <c r="A764" s="24">
        <v>42290</v>
      </c>
      <c r="B764" s="10">
        <v>8131.7001950000003</v>
      </c>
      <c r="C764" s="10">
        <f t="shared" si="48"/>
        <v>7972.8999999500029</v>
      </c>
      <c r="D764" s="10">
        <f t="shared" si="45"/>
        <v>143.94883155641074</v>
      </c>
      <c r="E764" s="10">
        <f t="shared" si="46"/>
        <v>8260.7976630628236</v>
      </c>
      <c r="F764" s="10">
        <f t="shared" si="47"/>
        <v>7685.0023368371812</v>
      </c>
    </row>
    <row r="765" spans="1:6" s="10" customFormat="1" x14ac:dyDescent="0.3">
      <c r="A765" s="24">
        <v>42291</v>
      </c>
      <c r="B765" s="10">
        <v>8107.8999020000001</v>
      </c>
      <c r="C765" s="10">
        <f t="shared" si="48"/>
        <v>7988.8300048000019</v>
      </c>
      <c r="D765" s="10">
        <f t="shared" si="45"/>
        <v>140.1399107095765</v>
      </c>
      <c r="E765" s="10">
        <f t="shared" si="46"/>
        <v>8269.1098262191554</v>
      </c>
      <c r="F765" s="10">
        <f t="shared" si="47"/>
        <v>7708.5501833808485</v>
      </c>
    </row>
    <row r="766" spans="1:6" s="10" customFormat="1" x14ac:dyDescent="0.3">
      <c r="A766" s="24">
        <v>42292</v>
      </c>
      <c r="B766" s="10">
        <v>8179.5</v>
      </c>
      <c r="C766" s="10">
        <f t="shared" si="48"/>
        <v>8004.1925048000021</v>
      </c>
      <c r="D766" s="10">
        <f t="shared" si="45"/>
        <v>143.48825705216095</v>
      </c>
      <c r="E766" s="10">
        <f t="shared" si="46"/>
        <v>8291.1690189043238</v>
      </c>
      <c r="F766" s="10">
        <f t="shared" si="47"/>
        <v>7717.2159906956804</v>
      </c>
    </row>
    <row r="767" spans="1:6" s="10" customFormat="1" x14ac:dyDescent="0.3">
      <c r="A767" s="24">
        <v>42293</v>
      </c>
      <c r="B767" s="10">
        <v>8238.1503909999992</v>
      </c>
      <c r="C767" s="10">
        <f t="shared" si="48"/>
        <v>8024.6450194500012</v>
      </c>
      <c r="D767" s="10">
        <f t="shared" si="45"/>
        <v>146.34162497595517</v>
      </c>
      <c r="E767" s="10">
        <f t="shared" si="46"/>
        <v>8317.3282694019108</v>
      </c>
      <c r="F767" s="10">
        <f t="shared" si="47"/>
        <v>7731.9617694980907</v>
      </c>
    </row>
    <row r="768" spans="1:6" s="10" customFormat="1" x14ac:dyDescent="0.3">
      <c r="A768" s="24">
        <v>42296</v>
      </c>
      <c r="B768" s="10">
        <v>8275.0498050000006</v>
      </c>
      <c r="C768" s="10">
        <f t="shared" si="48"/>
        <v>8043.4400145999989</v>
      </c>
      <c r="D768" s="10">
        <f t="shared" si="45"/>
        <v>153.34688026964795</v>
      </c>
      <c r="E768" s="10">
        <f t="shared" si="46"/>
        <v>8350.1337751392948</v>
      </c>
      <c r="F768" s="10">
        <f t="shared" si="47"/>
        <v>7736.746254060703</v>
      </c>
    </row>
    <row r="769" spans="1:6" s="10" customFormat="1" x14ac:dyDescent="0.3">
      <c r="A769" s="24">
        <v>42297</v>
      </c>
      <c r="B769" s="10">
        <v>8261.6503909999992</v>
      </c>
      <c r="C769" s="10">
        <f t="shared" si="48"/>
        <v>8057.4275390499988</v>
      </c>
      <c r="D769" s="10">
        <f t="shared" si="45"/>
        <v>160.05025759779051</v>
      </c>
      <c r="E769" s="10">
        <f t="shared" si="46"/>
        <v>8377.5280542455803</v>
      </c>
      <c r="F769" s="10">
        <f t="shared" si="47"/>
        <v>7737.3270238544173</v>
      </c>
    </row>
    <row r="770" spans="1:6" s="10" customFormat="1" x14ac:dyDescent="0.3">
      <c r="A770" s="24">
        <v>42298</v>
      </c>
      <c r="B770" s="10">
        <v>8251.7001949999994</v>
      </c>
      <c r="C770" s="10">
        <f t="shared" si="48"/>
        <v>8071.1575438999989</v>
      </c>
      <c r="D770" s="10">
        <f t="shared" si="45"/>
        <v>164.51279274938949</v>
      </c>
      <c r="E770" s="10">
        <f t="shared" si="46"/>
        <v>8400.183129398778</v>
      </c>
      <c r="F770" s="10">
        <f t="shared" si="47"/>
        <v>7742.1319584012199</v>
      </c>
    </row>
    <row r="771" spans="1:6" s="10" customFormat="1" x14ac:dyDescent="0.3">
      <c r="A771" s="24">
        <v>42300</v>
      </c>
      <c r="B771" s="10">
        <v>8295.4501949999994</v>
      </c>
      <c r="C771" s="10">
        <f t="shared" si="48"/>
        <v>8095.330053650001</v>
      </c>
      <c r="D771" s="10">
        <f t="shared" si="45"/>
        <v>159.88204151988802</v>
      </c>
      <c r="E771" s="10">
        <f t="shared" si="46"/>
        <v>8415.0941366897769</v>
      </c>
      <c r="F771" s="10">
        <f t="shared" si="47"/>
        <v>7775.5659706102251</v>
      </c>
    </row>
    <row r="772" spans="1:6" s="10" customFormat="1" x14ac:dyDescent="0.3">
      <c r="A772" s="24">
        <v>42303</v>
      </c>
      <c r="B772" s="10">
        <v>8260.5498050000006</v>
      </c>
      <c r="C772" s="10">
        <f t="shared" si="48"/>
        <v>8116.0600341500003</v>
      </c>
      <c r="D772" s="10">
        <f t="shared" si="45"/>
        <v>152.55640670637058</v>
      </c>
      <c r="E772" s="10">
        <f t="shared" si="46"/>
        <v>8421.1728475627424</v>
      </c>
      <c r="F772" s="10">
        <f t="shared" si="47"/>
        <v>7810.9472207372592</v>
      </c>
    </row>
    <row r="773" spans="1:6" s="10" customFormat="1" x14ac:dyDescent="0.3">
      <c r="A773" s="24">
        <v>42304</v>
      </c>
      <c r="B773" s="10">
        <v>8232.9003909999992</v>
      </c>
      <c r="C773" s="10">
        <f t="shared" si="48"/>
        <v>8134.2800537000003</v>
      </c>
      <c r="D773" s="10">
        <f t="shared" si="45"/>
        <v>142.88788456402671</v>
      </c>
      <c r="E773" s="10">
        <f t="shared" si="46"/>
        <v>8420.0558228280534</v>
      </c>
      <c r="F773" s="10">
        <f t="shared" si="47"/>
        <v>7848.5042845719472</v>
      </c>
    </row>
    <row r="774" spans="1:6" s="10" customFormat="1" x14ac:dyDescent="0.3">
      <c r="A774" s="24">
        <v>42305</v>
      </c>
      <c r="B774" s="10">
        <v>8171.2001950000003</v>
      </c>
      <c r="C774" s="10">
        <f t="shared" si="48"/>
        <v>8153.0550536999999</v>
      </c>
      <c r="D774" s="10">
        <f t="shared" si="45"/>
        <v>118.67664319591728</v>
      </c>
      <c r="E774" s="10">
        <f t="shared" si="46"/>
        <v>8390.4083400918353</v>
      </c>
      <c r="F774" s="10">
        <f t="shared" si="47"/>
        <v>7915.7017673081655</v>
      </c>
    </row>
    <row r="775" spans="1:6" s="10" customFormat="1" x14ac:dyDescent="0.3">
      <c r="A775" s="24">
        <v>42306</v>
      </c>
      <c r="B775" s="10">
        <v>8111.75</v>
      </c>
      <c r="C775" s="10">
        <f t="shared" si="48"/>
        <v>8166.4775634500011</v>
      </c>
      <c r="D775" s="10">
        <f t="shared" si="45"/>
        <v>94.521867469622876</v>
      </c>
      <c r="E775" s="10">
        <f t="shared" si="46"/>
        <v>8355.521298389247</v>
      </c>
      <c r="F775" s="10">
        <f t="shared" si="47"/>
        <v>7977.4338285107551</v>
      </c>
    </row>
    <row r="776" spans="1:6" s="10" customFormat="1" x14ac:dyDescent="0.3">
      <c r="A776" s="24">
        <v>42307</v>
      </c>
      <c r="B776" s="10">
        <v>8065.7998049999997</v>
      </c>
      <c r="C776" s="10">
        <f t="shared" si="48"/>
        <v>8172.3225585999999</v>
      </c>
      <c r="D776" s="10">
        <f t="shared" si="45"/>
        <v>83.308550798680258</v>
      </c>
      <c r="E776" s="10">
        <f t="shared" si="46"/>
        <v>8338.9396601973604</v>
      </c>
      <c r="F776" s="10">
        <f t="shared" si="47"/>
        <v>8005.7054570026394</v>
      </c>
    </row>
    <row r="777" spans="1:6" s="10" customFormat="1" x14ac:dyDescent="0.3">
      <c r="A777" s="24">
        <v>42310</v>
      </c>
      <c r="B777" s="10">
        <v>8050.7998049999997</v>
      </c>
      <c r="C777" s="10">
        <f t="shared" si="48"/>
        <v>8177.3175537499992</v>
      </c>
      <c r="D777" s="10">
        <f t="shared" si="45"/>
        <v>71.490435629384422</v>
      </c>
      <c r="E777" s="10">
        <f t="shared" si="46"/>
        <v>8320.2984250087684</v>
      </c>
      <c r="F777" s="10">
        <f t="shared" si="47"/>
        <v>8034.33668249123</v>
      </c>
    </row>
    <row r="778" spans="1:6" s="10" customFormat="1" x14ac:dyDescent="0.3">
      <c r="A778" s="24">
        <v>42311</v>
      </c>
      <c r="B778" s="10">
        <v>8060.7001950000003</v>
      </c>
      <c r="C778" s="10">
        <f t="shared" si="48"/>
        <v>8174.3875732500001</v>
      </c>
      <c r="D778" s="10">
        <f t="shared" si="45"/>
        <v>75.102953484675155</v>
      </c>
      <c r="E778" s="10">
        <f t="shared" si="46"/>
        <v>8324.5934802193497</v>
      </c>
      <c r="F778" s="10">
        <f t="shared" si="47"/>
        <v>8024.1816662806496</v>
      </c>
    </row>
    <row r="779" spans="1:6" s="10" customFormat="1" x14ac:dyDescent="0.3">
      <c r="A779" s="24">
        <v>42312</v>
      </c>
      <c r="B779" s="10">
        <v>8040.2001950000003</v>
      </c>
      <c r="C779" s="10">
        <f t="shared" si="48"/>
        <v>8168.7525878999995</v>
      </c>
      <c r="D779" s="10">
        <f t="shared" si="45"/>
        <v>80.811049950606986</v>
      </c>
      <c r="E779" s="10">
        <f t="shared" si="46"/>
        <v>8330.3746878012134</v>
      </c>
      <c r="F779" s="10">
        <f t="shared" si="47"/>
        <v>8007.1304879987856</v>
      </c>
    </row>
    <row r="780" spans="1:6" s="10" customFormat="1" x14ac:dyDescent="0.3">
      <c r="A780" s="24">
        <v>42313</v>
      </c>
      <c r="B780" s="10">
        <v>7955.4501950000003</v>
      </c>
      <c r="C780" s="10">
        <f t="shared" si="48"/>
        <v>8157.6551025500012</v>
      </c>
      <c r="D780" s="10">
        <f t="shared" si="45"/>
        <v>93.762898408733435</v>
      </c>
      <c r="E780" s="10">
        <f t="shared" si="46"/>
        <v>8345.1808993674676</v>
      </c>
      <c r="F780" s="10">
        <f t="shared" si="47"/>
        <v>7970.1293057325347</v>
      </c>
    </row>
    <row r="781" spans="1:6" s="10" customFormat="1" x14ac:dyDescent="0.3">
      <c r="A781" s="24">
        <v>42314</v>
      </c>
      <c r="B781" s="10">
        <v>7954.2998049999997</v>
      </c>
      <c r="C781" s="10">
        <f t="shared" si="48"/>
        <v>8148.902587900001</v>
      </c>
      <c r="D781" s="10">
        <f t="shared" si="45"/>
        <v>104.14014210294935</v>
      </c>
      <c r="E781" s="10">
        <f t="shared" si="46"/>
        <v>8357.1828721058992</v>
      </c>
      <c r="F781" s="10">
        <f t="shared" si="47"/>
        <v>7940.6223036941019</v>
      </c>
    </row>
    <row r="782" spans="1:6" s="10" customFormat="1" x14ac:dyDescent="0.3">
      <c r="A782" s="24">
        <v>42317</v>
      </c>
      <c r="B782" s="10">
        <v>7915.2001950000003</v>
      </c>
      <c r="C782" s="10">
        <f t="shared" si="48"/>
        <v>8135.1775879000006</v>
      </c>
      <c r="D782" s="10">
        <f t="shared" si="45"/>
        <v>115.90446745609233</v>
      </c>
      <c r="E782" s="10">
        <f t="shared" si="46"/>
        <v>8366.9865228121853</v>
      </c>
      <c r="F782" s="10">
        <f t="shared" si="47"/>
        <v>7903.3686529878159</v>
      </c>
    </row>
    <row r="783" spans="1:6" s="10" customFormat="1" x14ac:dyDescent="0.3">
      <c r="A783" s="24">
        <v>42318</v>
      </c>
      <c r="B783" s="10">
        <v>7783.3500979999999</v>
      </c>
      <c r="C783" s="10">
        <f t="shared" si="48"/>
        <v>8117.165087899999</v>
      </c>
      <c r="D783" s="10">
        <f t="shared" si="45"/>
        <v>140.01235035698909</v>
      </c>
      <c r="E783" s="10">
        <f t="shared" si="46"/>
        <v>8397.1897886139777</v>
      </c>
      <c r="F783" s="10">
        <f t="shared" si="47"/>
        <v>7837.1403871860211</v>
      </c>
    </row>
    <row r="784" spans="1:6" s="10" customFormat="1" x14ac:dyDescent="0.3">
      <c r="A784" s="24">
        <v>42319</v>
      </c>
      <c r="B784" s="10">
        <v>7825</v>
      </c>
      <c r="C784" s="10">
        <f t="shared" si="48"/>
        <v>8101.8300781500002</v>
      </c>
      <c r="D784" s="10">
        <f t="shared" si="45"/>
        <v>154.39382752282884</v>
      </c>
      <c r="E784" s="10">
        <f t="shared" si="46"/>
        <v>8410.6177331956587</v>
      </c>
      <c r="F784" s="10">
        <f t="shared" si="47"/>
        <v>7793.0424231043426</v>
      </c>
    </row>
    <row r="785" spans="1:6" s="10" customFormat="1" x14ac:dyDescent="0.3">
      <c r="A785" s="24">
        <v>42321</v>
      </c>
      <c r="B785" s="10">
        <v>7762.25</v>
      </c>
      <c r="C785" s="10">
        <f t="shared" si="48"/>
        <v>8084.54758305</v>
      </c>
      <c r="D785" s="10">
        <f t="shared" si="45"/>
        <v>172.01831596832491</v>
      </c>
      <c r="E785" s="10">
        <f t="shared" si="46"/>
        <v>8428.5842149866494</v>
      </c>
      <c r="F785" s="10">
        <f t="shared" si="47"/>
        <v>7740.5109511133505</v>
      </c>
    </row>
    <row r="786" spans="1:6" s="10" customFormat="1" x14ac:dyDescent="0.3">
      <c r="A786" s="24">
        <v>42324</v>
      </c>
      <c r="B786" s="10">
        <v>7806.6000979999999</v>
      </c>
      <c r="C786" s="10">
        <f t="shared" si="48"/>
        <v>8065.9025879499995</v>
      </c>
      <c r="D786" s="10">
        <f t="shared" si="45"/>
        <v>181.15155702780791</v>
      </c>
      <c r="E786" s="10">
        <f t="shared" si="46"/>
        <v>8428.2057020056145</v>
      </c>
      <c r="F786" s="10">
        <f t="shared" si="47"/>
        <v>7703.5994738943837</v>
      </c>
    </row>
    <row r="787" spans="1:6" s="10" customFormat="1" x14ac:dyDescent="0.3">
      <c r="A787" s="24">
        <v>42325</v>
      </c>
      <c r="B787" s="10">
        <v>7837.5498049999997</v>
      </c>
      <c r="C787" s="10">
        <f t="shared" si="48"/>
        <v>8045.8725586499986</v>
      </c>
      <c r="D787" s="10">
        <f t="shared" si="45"/>
        <v>183.23891393315836</v>
      </c>
      <c r="E787" s="10">
        <f t="shared" si="46"/>
        <v>8412.3503865163148</v>
      </c>
      <c r="F787" s="10">
        <f t="shared" si="47"/>
        <v>7679.3947307836816</v>
      </c>
    </row>
    <row r="788" spans="1:6" s="10" customFormat="1" x14ac:dyDescent="0.3">
      <c r="A788" s="24">
        <v>42326</v>
      </c>
      <c r="B788" s="10">
        <v>7731.7998049999997</v>
      </c>
      <c r="C788" s="10">
        <f t="shared" si="48"/>
        <v>8018.7100586499973</v>
      </c>
      <c r="D788" s="10">
        <f t="shared" si="45"/>
        <v>187.68912542095688</v>
      </c>
      <c r="E788" s="10">
        <f t="shared" si="46"/>
        <v>8394.0883094919118</v>
      </c>
      <c r="F788" s="10">
        <f t="shared" si="47"/>
        <v>7643.3318078080838</v>
      </c>
    </row>
    <row r="789" spans="1:6" s="10" customFormat="1" x14ac:dyDescent="0.3">
      <c r="A789" s="24">
        <v>42327</v>
      </c>
      <c r="B789" s="10">
        <v>7842.75</v>
      </c>
      <c r="C789" s="10">
        <f t="shared" si="48"/>
        <v>7997.7650390999988</v>
      </c>
      <c r="D789" s="10">
        <f t="shared" ref="D789:D852" si="49">_xlfn.STDEV.S(B770:B789)</f>
        <v>182.45186942879451</v>
      </c>
      <c r="E789" s="10">
        <f t="shared" si="46"/>
        <v>8362.6687779575877</v>
      </c>
      <c r="F789" s="10">
        <f t="shared" si="47"/>
        <v>7632.8613002424099</v>
      </c>
    </row>
    <row r="790" spans="1:6" s="10" customFormat="1" x14ac:dyDescent="0.3">
      <c r="A790" s="24">
        <v>42328</v>
      </c>
      <c r="B790" s="10">
        <v>7856.5498049999997</v>
      </c>
      <c r="C790" s="10">
        <f t="shared" si="48"/>
        <v>7978.007519599998</v>
      </c>
      <c r="D790" s="10">
        <f t="shared" si="49"/>
        <v>174.73837524880909</v>
      </c>
      <c r="E790" s="10">
        <f t="shared" ref="E790:E853" si="50">C790+2*D790</f>
        <v>8327.4842700976169</v>
      </c>
      <c r="F790" s="10">
        <f t="shared" ref="F790:F853" si="51">C790-2*D790</f>
        <v>7628.53076910238</v>
      </c>
    </row>
    <row r="791" spans="1:6" s="10" customFormat="1" x14ac:dyDescent="0.3">
      <c r="A791" s="24">
        <v>42331</v>
      </c>
      <c r="B791" s="10">
        <v>7849.25</v>
      </c>
      <c r="C791" s="10">
        <f t="shared" si="48"/>
        <v>7955.6975098499988</v>
      </c>
      <c r="D791" s="10">
        <f t="shared" si="49"/>
        <v>159.9326193473548</v>
      </c>
      <c r="E791" s="10">
        <f t="shared" si="50"/>
        <v>8275.5627485447076</v>
      </c>
      <c r="F791" s="10">
        <f t="shared" si="51"/>
        <v>7635.8322711552892</v>
      </c>
    </row>
    <row r="792" spans="1:6" s="10" customFormat="1" x14ac:dyDescent="0.3">
      <c r="A792" s="24">
        <v>42332</v>
      </c>
      <c r="B792" s="10">
        <v>7831.6000979999999</v>
      </c>
      <c r="C792" s="10">
        <f t="shared" si="48"/>
        <v>7934.2500244999974</v>
      </c>
      <c r="D792" s="10">
        <f t="shared" si="49"/>
        <v>144.96020599273879</v>
      </c>
      <c r="E792" s="10">
        <f t="shared" si="50"/>
        <v>8224.1704364854741</v>
      </c>
      <c r="F792" s="10">
        <f t="shared" si="51"/>
        <v>7644.3296125145198</v>
      </c>
    </row>
    <row r="793" spans="1:6" s="10" customFormat="1" x14ac:dyDescent="0.3">
      <c r="A793" s="24">
        <v>42334</v>
      </c>
      <c r="B793" s="10">
        <v>7883.7998049999997</v>
      </c>
      <c r="C793" s="10">
        <f t="shared" si="48"/>
        <v>7916.7949951999981</v>
      </c>
      <c r="D793" s="10">
        <f t="shared" si="49"/>
        <v>127.01334107039493</v>
      </c>
      <c r="E793" s="10">
        <f t="shared" si="50"/>
        <v>8170.8216773407876</v>
      </c>
      <c r="F793" s="10">
        <f t="shared" si="51"/>
        <v>7662.7683130592086</v>
      </c>
    </row>
    <row r="794" spans="1:6" s="10" customFormat="1" x14ac:dyDescent="0.3">
      <c r="A794" s="24">
        <v>42335</v>
      </c>
      <c r="B794" s="10">
        <v>7942.7001950000003</v>
      </c>
      <c r="C794" s="10">
        <f t="shared" si="48"/>
        <v>7905.3699951999997</v>
      </c>
      <c r="D794" s="10">
        <f t="shared" si="49"/>
        <v>112.356071341546</v>
      </c>
      <c r="E794" s="10">
        <f t="shared" si="50"/>
        <v>8130.0821378830915</v>
      </c>
      <c r="F794" s="10">
        <f t="shared" si="51"/>
        <v>7680.657852516908</v>
      </c>
    </row>
    <row r="795" spans="1:6" s="10" customFormat="1" x14ac:dyDescent="0.3">
      <c r="A795" s="24">
        <v>42338</v>
      </c>
      <c r="B795" s="10">
        <v>7935.25</v>
      </c>
      <c r="C795" s="10">
        <f t="shared" si="48"/>
        <v>7896.5449952000008</v>
      </c>
      <c r="D795" s="10">
        <f t="shared" si="49"/>
        <v>101.72106969666063</v>
      </c>
      <c r="E795" s="10">
        <f t="shared" si="50"/>
        <v>8099.9871345933225</v>
      </c>
      <c r="F795" s="10">
        <f t="shared" si="51"/>
        <v>7693.1028558066791</v>
      </c>
    </row>
    <row r="796" spans="1:6" s="10" customFormat="1" x14ac:dyDescent="0.3">
      <c r="A796" s="24">
        <v>42339</v>
      </c>
      <c r="B796" s="10">
        <v>7954.8999020000001</v>
      </c>
      <c r="C796" s="10">
        <f t="shared" si="48"/>
        <v>7891.0000000500004</v>
      </c>
      <c r="D796" s="10">
        <f t="shared" si="49"/>
        <v>94.796044073400878</v>
      </c>
      <c r="E796" s="10">
        <f t="shared" si="50"/>
        <v>8080.5920881968023</v>
      </c>
      <c r="F796" s="10">
        <f t="shared" si="51"/>
        <v>7701.4079119031985</v>
      </c>
    </row>
    <row r="797" spans="1:6" s="10" customFormat="1" x14ac:dyDescent="0.3">
      <c r="A797" s="24">
        <v>42340</v>
      </c>
      <c r="B797" s="10">
        <v>7931.3500979999999</v>
      </c>
      <c r="C797" s="10">
        <f t="shared" si="48"/>
        <v>7885.0275147000011</v>
      </c>
      <c r="D797" s="10">
        <f t="shared" si="49"/>
        <v>87.695120966350629</v>
      </c>
      <c r="E797" s="10">
        <f t="shared" si="50"/>
        <v>8060.4177566327025</v>
      </c>
      <c r="F797" s="10">
        <f t="shared" si="51"/>
        <v>7709.6372727672997</v>
      </c>
    </row>
    <row r="798" spans="1:6" s="10" customFormat="1" x14ac:dyDescent="0.3">
      <c r="A798" s="24">
        <v>42341</v>
      </c>
      <c r="B798" s="10">
        <v>7864.1499020000001</v>
      </c>
      <c r="C798" s="10">
        <f t="shared" si="48"/>
        <v>7875.2000000500002</v>
      </c>
      <c r="D798" s="10">
        <f t="shared" si="49"/>
        <v>77.378643119437513</v>
      </c>
      <c r="E798" s="10">
        <f t="shared" si="50"/>
        <v>8029.9572862888754</v>
      </c>
      <c r="F798" s="10">
        <f t="shared" si="51"/>
        <v>7720.442713811125</v>
      </c>
    </row>
    <row r="799" spans="1:6" s="10" customFormat="1" x14ac:dyDescent="0.3">
      <c r="A799" s="24">
        <v>42342</v>
      </c>
      <c r="B799" s="10">
        <v>7781.8999020000001</v>
      </c>
      <c r="C799" s="10">
        <f t="shared" si="48"/>
        <v>7862.2849853999996</v>
      </c>
      <c r="D799" s="10">
        <f t="shared" si="49"/>
        <v>69.549499867098589</v>
      </c>
      <c r="E799" s="10">
        <f t="shared" si="50"/>
        <v>8001.3839851341972</v>
      </c>
      <c r="F799" s="10">
        <f t="shared" si="51"/>
        <v>7723.185985665802</v>
      </c>
    </row>
    <row r="800" spans="1:6" s="10" customFormat="1" x14ac:dyDescent="0.3">
      <c r="A800" s="24">
        <v>42345</v>
      </c>
      <c r="B800" s="10">
        <v>7765.3999020000001</v>
      </c>
      <c r="C800" s="10">
        <f t="shared" si="48"/>
        <v>7852.7824707500013</v>
      </c>
      <c r="D800" s="10">
        <f t="shared" si="49"/>
        <v>69.132417986160519</v>
      </c>
      <c r="E800" s="10">
        <f t="shared" si="50"/>
        <v>7991.047306722322</v>
      </c>
      <c r="F800" s="10">
        <f t="shared" si="51"/>
        <v>7714.5176347776805</v>
      </c>
    </row>
    <row r="801" spans="1:6" s="10" customFormat="1" x14ac:dyDescent="0.3">
      <c r="A801" s="24">
        <v>42346</v>
      </c>
      <c r="B801" s="10">
        <v>7701.7001950000003</v>
      </c>
      <c r="C801" s="10">
        <f t="shared" si="48"/>
        <v>7840.1524902500005</v>
      </c>
      <c r="D801" s="10">
        <f t="shared" si="49"/>
        <v>72.59704570602689</v>
      </c>
      <c r="E801" s="10">
        <f t="shared" si="50"/>
        <v>7985.3465816620546</v>
      </c>
      <c r="F801" s="10">
        <f t="shared" si="51"/>
        <v>7694.9583988379463</v>
      </c>
    </row>
    <row r="802" spans="1:6" s="10" customFormat="1" x14ac:dyDescent="0.3">
      <c r="A802" s="24">
        <v>42347</v>
      </c>
      <c r="B802" s="10">
        <v>7612.5</v>
      </c>
      <c r="C802" s="10">
        <f t="shared" si="48"/>
        <v>7825.0174805000015</v>
      </c>
      <c r="D802" s="10">
        <f t="shared" si="49"/>
        <v>86.373856237608877</v>
      </c>
      <c r="E802" s="10">
        <f t="shared" si="50"/>
        <v>7997.7651929752192</v>
      </c>
      <c r="F802" s="10">
        <f t="shared" si="51"/>
        <v>7652.2697680247838</v>
      </c>
    </row>
    <row r="803" spans="1:6" s="10" customFormat="1" x14ac:dyDescent="0.3">
      <c r="A803" s="24">
        <v>42348</v>
      </c>
      <c r="B803" s="10">
        <v>7683.2998049999997</v>
      </c>
      <c r="C803" s="10">
        <f t="shared" si="48"/>
        <v>7820.0149658499995</v>
      </c>
      <c r="D803" s="10">
        <f t="shared" si="49"/>
        <v>91.650263017970474</v>
      </c>
      <c r="E803" s="10">
        <f t="shared" si="50"/>
        <v>8003.31549188594</v>
      </c>
      <c r="F803" s="10">
        <f t="shared" si="51"/>
        <v>7636.714439814059</v>
      </c>
    </row>
    <row r="804" spans="1:6" s="10" customFormat="1" x14ac:dyDescent="0.3">
      <c r="A804" s="24">
        <v>42349</v>
      </c>
      <c r="B804" s="10">
        <v>7610.4501950000003</v>
      </c>
      <c r="C804" s="10">
        <f t="shared" si="48"/>
        <v>7809.2874756000001</v>
      </c>
      <c r="D804" s="10">
        <f t="shared" si="49"/>
        <v>102.90174291108957</v>
      </c>
      <c r="E804" s="10">
        <f t="shared" si="50"/>
        <v>8015.0909614221791</v>
      </c>
      <c r="F804" s="10">
        <f t="shared" si="51"/>
        <v>7603.4839897778211</v>
      </c>
    </row>
    <row r="805" spans="1:6" s="10" customFormat="1" x14ac:dyDescent="0.3">
      <c r="A805" s="24">
        <v>42352</v>
      </c>
      <c r="B805" s="10">
        <v>7650.0498049999997</v>
      </c>
      <c r="C805" s="10">
        <f t="shared" si="48"/>
        <v>7803.6774658499999</v>
      </c>
      <c r="D805" s="10">
        <f t="shared" si="49"/>
        <v>108.50691771011681</v>
      </c>
      <c r="E805" s="10">
        <f t="shared" si="50"/>
        <v>8020.6913012702335</v>
      </c>
      <c r="F805" s="10">
        <f t="shared" si="51"/>
        <v>7586.6636304297663</v>
      </c>
    </row>
    <row r="806" spans="1:6" s="10" customFormat="1" x14ac:dyDescent="0.3">
      <c r="A806" s="24">
        <v>42353</v>
      </c>
      <c r="B806" s="10">
        <v>7700.8999020000001</v>
      </c>
      <c r="C806" s="10">
        <f t="shared" si="48"/>
        <v>7798.39245605</v>
      </c>
      <c r="D806" s="10">
        <f t="shared" si="49"/>
        <v>110.90473197360019</v>
      </c>
      <c r="E806" s="10">
        <f t="shared" si="50"/>
        <v>8020.2019199972001</v>
      </c>
      <c r="F806" s="10">
        <f t="shared" si="51"/>
        <v>7576.5829921027998</v>
      </c>
    </row>
    <row r="807" spans="1:6" s="10" customFormat="1" x14ac:dyDescent="0.3">
      <c r="A807" s="24">
        <v>42354</v>
      </c>
      <c r="B807" s="10">
        <v>7750.8999020000001</v>
      </c>
      <c r="C807" s="10">
        <f t="shared" si="48"/>
        <v>7794.059960900001</v>
      </c>
      <c r="D807" s="10">
        <f t="shared" si="49"/>
        <v>110.98699931867091</v>
      </c>
      <c r="E807" s="10">
        <f t="shared" si="50"/>
        <v>8016.0339595373425</v>
      </c>
      <c r="F807" s="10">
        <f t="shared" si="51"/>
        <v>7572.0859622626595</v>
      </c>
    </row>
    <row r="808" spans="1:6" s="10" customFormat="1" x14ac:dyDescent="0.3">
      <c r="A808" s="24">
        <v>42355</v>
      </c>
      <c r="B808" s="10">
        <v>7844.3500979999999</v>
      </c>
      <c r="C808" s="10">
        <f t="shared" si="48"/>
        <v>7799.6874755500003</v>
      </c>
      <c r="D808" s="10">
        <f t="shared" si="49"/>
        <v>110.51638573237993</v>
      </c>
      <c r="E808" s="10">
        <f t="shared" si="50"/>
        <v>8020.7202470147604</v>
      </c>
      <c r="F808" s="10">
        <f t="shared" si="51"/>
        <v>7578.6547040852402</v>
      </c>
    </row>
    <row r="809" spans="1:6" s="10" customFormat="1" x14ac:dyDescent="0.3">
      <c r="A809" s="24">
        <v>42356</v>
      </c>
      <c r="B809" s="10">
        <v>7761.9501950000003</v>
      </c>
      <c r="C809" s="10">
        <f t="shared" si="48"/>
        <v>7795.6474853000009</v>
      </c>
      <c r="D809" s="10">
        <f t="shared" si="49"/>
        <v>110.33605358618978</v>
      </c>
      <c r="E809" s="10">
        <f t="shared" si="50"/>
        <v>8016.3195924723805</v>
      </c>
      <c r="F809" s="10">
        <f t="shared" si="51"/>
        <v>7574.9753781276213</v>
      </c>
    </row>
    <row r="810" spans="1:6" s="10" customFormat="1" x14ac:dyDescent="0.3">
      <c r="A810" s="24">
        <v>42359</v>
      </c>
      <c r="B810" s="10">
        <v>7834.4501950000003</v>
      </c>
      <c r="C810" s="10">
        <f t="shared" si="48"/>
        <v>7794.5425048000006</v>
      </c>
      <c r="D810" s="10">
        <f t="shared" si="49"/>
        <v>109.80340992587141</v>
      </c>
      <c r="E810" s="10">
        <f t="shared" si="50"/>
        <v>8014.1493246517439</v>
      </c>
      <c r="F810" s="10">
        <f t="shared" si="51"/>
        <v>7574.9356849482574</v>
      </c>
    </row>
    <row r="811" spans="1:6" s="10" customFormat="1" x14ac:dyDescent="0.3">
      <c r="A811" s="24">
        <v>42360</v>
      </c>
      <c r="B811" s="10">
        <v>7786.1000979999999</v>
      </c>
      <c r="C811" s="10">
        <f t="shared" si="48"/>
        <v>7791.3850097000013</v>
      </c>
      <c r="D811" s="10">
        <f t="shared" si="49"/>
        <v>109.05284969152834</v>
      </c>
      <c r="E811" s="10">
        <f t="shared" si="50"/>
        <v>8009.4907090830584</v>
      </c>
      <c r="F811" s="10">
        <f t="shared" si="51"/>
        <v>7573.2793103169442</v>
      </c>
    </row>
    <row r="812" spans="1:6" s="10" customFormat="1" x14ac:dyDescent="0.3">
      <c r="A812" s="24">
        <v>42361</v>
      </c>
      <c r="B812" s="10">
        <v>7865.9501950000003</v>
      </c>
      <c r="C812" s="10">
        <f t="shared" si="48"/>
        <v>7793.1025145500007</v>
      </c>
      <c r="D812" s="10">
        <f t="shared" si="49"/>
        <v>109.98604542219972</v>
      </c>
      <c r="E812" s="10">
        <f t="shared" si="50"/>
        <v>8013.0746053944004</v>
      </c>
      <c r="F812" s="10">
        <f t="shared" si="51"/>
        <v>7573.1304237056011</v>
      </c>
    </row>
    <row r="813" spans="1:6" s="10" customFormat="1" x14ac:dyDescent="0.3">
      <c r="A813" s="24">
        <v>42362</v>
      </c>
      <c r="B813" s="10">
        <v>7861.0498049999997</v>
      </c>
      <c r="C813" s="10">
        <f t="shared" si="48"/>
        <v>7791.96501455</v>
      </c>
      <c r="D813" s="10">
        <f t="shared" si="49"/>
        <v>109.11284145184034</v>
      </c>
      <c r="E813" s="10">
        <f t="shared" si="50"/>
        <v>8010.1906974536805</v>
      </c>
      <c r="F813" s="10">
        <f t="shared" si="51"/>
        <v>7573.7393316463194</v>
      </c>
    </row>
    <row r="814" spans="1:6" s="10" customFormat="1" x14ac:dyDescent="0.3">
      <c r="A814" s="24">
        <v>42366</v>
      </c>
      <c r="B814" s="10">
        <v>7925.1499020000001</v>
      </c>
      <c r="C814" s="10">
        <f t="shared" si="48"/>
        <v>7791.0874999000007</v>
      </c>
      <c r="D814" s="10">
        <f t="shared" si="49"/>
        <v>107.90062440791728</v>
      </c>
      <c r="E814" s="10">
        <f t="shared" si="50"/>
        <v>8006.8887487158354</v>
      </c>
      <c r="F814" s="10">
        <f t="shared" si="51"/>
        <v>7575.286251084166</v>
      </c>
    </row>
    <row r="815" spans="1:6" s="10" customFormat="1" x14ac:dyDescent="0.3">
      <c r="A815" s="24">
        <v>42367</v>
      </c>
      <c r="B815" s="10">
        <v>7928.9501950000003</v>
      </c>
      <c r="C815" s="10">
        <f t="shared" si="48"/>
        <v>7790.7725096499998</v>
      </c>
      <c r="D815" s="10">
        <f t="shared" si="49"/>
        <v>107.46594615890668</v>
      </c>
      <c r="E815" s="10">
        <f t="shared" si="50"/>
        <v>8005.7044019678133</v>
      </c>
      <c r="F815" s="10">
        <f t="shared" si="51"/>
        <v>7575.8406173321864</v>
      </c>
    </row>
    <row r="816" spans="1:6" s="10" customFormat="1" x14ac:dyDescent="0.3">
      <c r="A816" s="24">
        <v>42368</v>
      </c>
      <c r="B816" s="10">
        <v>7896.25</v>
      </c>
      <c r="C816" s="10">
        <f t="shared" si="48"/>
        <v>7787.84001455</v>
      </c>
      <c r="D816" s="10">
        <f t="shared" si="49"/>
        <v>103.47778088313007</v>
      </c>
      <c r="E816" s="10">
        <f t="shared" si="50"/>
        <v>7994.7955763162599</v>
      </c>
      <c r="F816" s="10">
        <f t="shared" si="51"/>
        <v>7580.88445278374</v>
      </c>
    </row>
    <row r="817" spans="1:6" s="10" customFormat="1" x14ac:dyDescent="0.3">
      <c r="A817" s="24">
        <v>42369</v>
      </c>
      <c r="B817" s="10">
        <v>7946.3500979999999</v>
      </c>
      <c r="C817" s="10">
        <f t="shared" si="48"/>
        <v>7788.59001455</v>
      </c>
      <c r="D817" s="10">
        <f t="shared" si="49"/>
        <v>104.62072454873528</v>
      </c>
      <c r="E817" s="10">
        <f t="shared" si="50"/>
        <v>7997.8314636474706</v>
      </c>
      <c r="F817" s="10">
        <f t="shared" si="51"/>
        <v>7579.3485654525293</v>
      </c>
    </row>
    <row r="818" spans="1:6" s="10" customFormat="1" x14ac:dyDescent="0.3">
      <c r="A818" s="24">
        <v>42373</v>
      </c>
      <c r="B818" s="10">
        <v>7791.2998049999997</v>
      </c>
      <c r="C818" s="10">
        <f t="shared" si="48"/>
        <v>7784.9475096999986</v>
      </c>
      <c r="D818" s="10">
        <f t="shared" si="49"/>
        <v>103.1088116195</v>
      </c>
      <c r="E818" s="10">
        <f t="shared" si="50"/>
        <v>7991.1651329389988</v>
      </c>
      <c r="F818" s="10">
        <f t="shared" si="51"/>
        <v>7578.7298864609984</v>
      </c>
    </row>
    <row r="819" spans="1:6" s="10" customFormat="1" x14ac:dyDescent="0.3">
      <c r="A819" s="24">
        <v>42374</v>
      </c>
      <c r="B819" s="10">
        <v>7784.6499020000001</v>
      </c>
      <c r="C819" s="10">
        <f t="shared" ref="C819:C882" si="52">AVERAGE(B800:B819)</f>
        <v>7785.0850096999984</v>
      </c>
      <c r="D819" s="10">
        <f t="shared" si="49"/>
        <v>103.10636719600099</v>
      </c>
      <c r="E819" s="10">
        <f t="shared" si="50"/>
        <v>7991.2977440920004</v>
      </c>
      <c r="F819" s="10">
        <f t="shared" si="51"/>
        <v>7578.8722753079965</v>
      </c>
    </row>
    <row r="820" spans="1:6" s="10" customFormat="1" x14ac:dyDescent="0.3">
      <c r="A820" s="24">
        <v>42375</v>
      </c>
      <c r="B820" s="10">
        <v>7741</v>
      </c>
      <c r="C820" s="10">
        <f t="shared" si="52"/>
        <v>7783.8650146</v>
      </c>
      <c r="D820" s="10">
        <f t="shared" si="49"/>
        <v>103.49516973854213</v>
      </c>
      <c r="E820" s="10">
        <f t="shared" si="50"/>
        <v>7990.8553540770845</v>
      </c>
      <c r="F820" s="10">
        <f t="shared" si="51"/>
        <v>7576.8746751229155</v>
      </c>
    </row>
    <row r="821" spans="1:6" s="10" customFormat="1" x14ac:dyDescent="0.3">
      <c r="A821" s="24">
        <v>42376</v>
      </c>
      <c r="B821" s="10">
        <v>7568.2998049999997</v>
      </c>
      <c r="C821" s="10">
        <f t="shared" si="52"/>
        <v>7777.1949950999988</v>
      </c>
      <c r="D821" s="10">
        <f t="shared" si="49"/>
        <v>112.93716740139584</v>
      </c>
      <c r="E821" s="10">
        <f t="shared" si="50"/>
        <v>8003.0693299027907</v>
      </c>
      <c r="F821" s="10">
        <f t="shared" si="51"/>
        <v>7551.3206602972068</v>
      </c>
    </row>
    <row r="822" spans="1:6" s="10" customFormat="1" x14ac:dyDescent="0.3">
      <c r="A822" s="24">
        <v>42377</v>
      </c>
      <c r="B822" s="10">
        <v>7601.3500979999999</v>
      </c>
      <c r="C822" s="10">
        <f t="shared" si="52"/>
        <v>7776.6374999999989</v>
      </c>
      <c r="D822" s="10">
        <f t="shared" si="49"/>
        <v>113.81703744485741</v>
      </c>
      <c r="E822" s="10">
        <f t="shared" si="50"/>
        <v>8004.2715748897135</v>
      </c>
      <c r="F822" s="10">
        <f t="shared" si="51"/>
        <v>7549.0034251102843</v>
      </c>
    </row>
    <row r="823" spans="1:6" s="10" customFormat="1" x14ac:dyDescent="0.3">
      <c r="A823" s="24">
        <v>42380</v>
      </c>
      <c r="B823" s="10">
        <v>7563.8500979999999</v>
      </c>
      <c r="C823" s="10">
        <f t="shared" si="52"/>
        <v>7770.6650146499987</v>
      </c>
      <c r="D823" s="10">
        <f t="shared" si="49"/>
        <v>121.8249788055831</v>
      </c>
      <c r="E823" s="10">
        <f t="shared" si="50"/>
        <v>8014.3149722611652</v>
      </c>
      <c r="F823" s="10">
        <f t="shared" si="51"/>
        <v>7527.0150570388323</v>
      </c>
    </row>
    <row r="824" spans="1:6" s="10" customFormat="1" x14ac:dyDescent="0.3">
      <c r="A824" s="24">
        <v>42381</v>
      </c>
      <c r="B824" s="10">
        <v>7510.2998049999997</v>
      </c>
      <c r="C824" s="10">
        <f t="shared" si="52"/>
        <v>7765.6574951499988</v>
      </c>
      <c r="D824" s="10">
        <f t="shared" si="49"/>
        <v>130.50608630461079</v>
      </c>
      <c r="E824" s="10">
        <f t="shared" si="50"/>
        <v>8026.6696677592208</v>
      </c>
      <c r="F824" s="10">
        <f t="shared" si="51"/>
        <v>7504.6453225407768</v>
      </c>
    </row>
    <row r="825" spans="1:6" s="10" customFormat="1" x14ac:dyDescent="0.3">
      <c r="A825" s="24">
        <v>42382</v>
      </c>
      <c r="B825" s="10">
        <v>7562.3999020000001</v>
      </c>
      <c r="C825" s="10">
        <f t="shared" si="52"/>
        <v>7761.2749999999996</v>
      </c>
      <c r="D825" s="10">
        <f t="shared" si="49"/>
        <v>135.95071060477082</v>
      </c>
      <c r="E825" s="10">
        <f t="shared" si="50"/>
        <v>8033.1764212095413</v>
      </c>
      <c r="F825" s="10">
        <f t="shared" si="51"/>
        <v>7489.3735787904579</v>
      </c>
    </row>
    <row r="826" spans="1:6" s="10" customFormat="1" x14ac:dyDescent="0.3">
      <c r="A826" s="24">
        <v>42383</v>
      </c>
      <c r="B826" s="10">
        <v>7536.7998049999997</v>
      </c>
      <c r="C826" s="10">
        <f t="shared" si="52"/>
        <v>7753.0699951499992</v>
      </c>
      <c r="D826" s="10">
        <f t="shared" si="49"/>
        <v>144.47123865740795</v>
      </c>
      <c r="E826" s="10">
        <f t="shared" si="50"/>
        <v>8042.0124724648149</v>
      </c>
      <c r="F826" s="10">
        <f t="shared" si="51"/>
        <v>7464.1275178351834</v>
      </c>
    </row>
    <row r="827" spans="1:6" s="10" customFormat="1" x14ac:dyDescent="0.3">
      <c r="A827" s="24">
        <v>42384</v>
      </c>
      <c r="B827" s="10">
        <v>7437.7998049999997</v>
      </c>
      <c r="C827" s="10">
        <f t="shared" si="52"/>
        <v>7737.414990299998</v>
      </c>
      <c r="D827" s="10">
        <f t="shared" si="49"/>
        <v>160.76393892922891</v>
      </c>
      <c r="E827" s="10">
        <f t="shared" si="50"/>
        <v>8058.9428681584559</v>
      </c>
      <c r="F827" s="10">
        <f t="shared" si="51"/>
        <v>7415.88711244154</v>
      </c>
    </row>
    <row r="828" spans="1:6" s="10" customFormat="1" x14ac:dyDescent="0.3">
      <c r="A828" s="24">
        <v>42387</v>
      </c>
      <c r="B828" s="10">
        <v>7351</v>
      </c>
      <c r="C828" s="10">
        <f t="shared" si="52"/>
        <v>7712.7474853999984</v>
      </c>
      <c r="D828" s="10">
        <f t="shared" si="49"/>
        <v>180.17061338904125</v>
      </c>
      <c r="E828" s="10">
        <f t="shared" si="50"/>
        <v>8073.0887121780806</v>
      </c>
      <c r="F828" s="10">
        <f t="shared" si="51"/>
        <v>7352.4062586219161</v>
      </c>
    </row>
    <row r="829" spans="1:6" s="10" customFormat="1" x14ac:dyDescent="0.3">
      <c r="A829" s="24">
        <v>42388</v>
      </c>
      <c r="B829" s="10">
        <v>7435.1000979999999</v>
      </c>
      <c r="C829" s="10">
        <f t="shared" si="52"/>
        <v>7696.404980549999</v>
      </c>
      <c r="D829" s="10">
        <f t="shared" si="49"/>
        <v>190.02675219603637</v>
      </c>
      <c r="E829" s="10">
        <f t="shared" si="50"/>
        <v>8076.4584849420717</v>
      </c>
      <c r="F829" s="10">
        <f t="shared" si="51"/>
        <v>7316.3514761579263</v>
      </c>
    </row>
    <row r="830" spans="1:6" s="10" customFormat="1" x14ac:dyDescent="0.3">
      <c r="A830" s="24">
        <v>42389</v>
      </c>
      <c r="B830" s="10">
        <v>7309.2998049999997</v>
      </c>
      <c r="C830" s="10">
        <f t="shared" si="52"/>
        <v>7670.147461049999</v>
      </c>
      <c r="D830" s="10">
        <f t="shared" si="49"/>
        <v>205.59259068572518</v>
      </c>
      <c r="E830" s="10">
        <f t="shared" si="50"/>
        <v>8081.3326424214492</v>
      </c>
      <c r="F830" s="10">
        <f t="shared" si="51"/>
        <v>7258.9622796785488</v>
      </c>
    </row>
    <row r="831" spans="1:6" s="10" customFormat="1" x14ac:dyDescent="0.3">
      <c r="A831" s="24">
        <v>42390</v>
      </c>
      <c r="B831" s="10">
        <v>7276.7998049999997</v>
      </c>
      <c r="C831" s="10">
        <f t="shared" si="52"/>
        <v>7644.6824463999992</v>
      </c>
      <c r="D831" s="10">
        <f t="shared" si="49"/>
        <v>221.40769475459936</v>
      </c>
      <c r="E831" s="10">
        <f t="shared" si="50"/>
        <v>8087.4978359091983</v>
      </c>
      <c r="F831" s="10">
        <f t="shared" si="51"/>
        <v>7201.8670568908001</v>
      </c>
    </row>
    <row r="832" spans="1:6" s="10" customFormat="1" x14ac:dyDescent="0.3">
      <c r="A832" s="24">
        <v>42391</v>
      </c>
      <c r="B832" s="10">
        <v>7422.4501950000003</v>
      </c>
      <c r="C832" s="10">
        <f t="shared" si="52"/>
        <v>7622.507446399999</v>
      </c>
      <c r="D832" s="10">
        <f t="shared" si="49"/>
        <v>220.28678952270269</v>
      </c>
      <c r="E832" s="10">
        <f t="shared" si="50"/>
        <v>8063.0810254454045</v>
      </c>
      <c r="F832" s="10">
        <f t="shared" si="51"/>
        <v>7181.9338673545935</v>
      </c>
    </row>
    <row r="833" spans="1:6" s="10" customFormat="1" x14ac:dyDescent="0.3">
      <c r="A833" s="24">
        <v>42394</v>
      </c>
      <c r="B833" s="10">
        <v>7436.1499020000001</v>
      </c>
      <c r="C833" s="10">
        <f t="shared" si="52"/>
        <v>7601.2624512500015</v>
      </c>
      <c r="D833" s="10">
        <f t="shared" si="49"/>
        <v>216.52747537535171</v>
      </c>
      <c r="E833" s="10">
        <f t="shared" si="50"/>
        <v>8034.3174020007045</v>
      </c>
      <c r="F833" s="10">
        <f t="shared" si="51"/>
        <v>7168.2075004992985</v>
      </c>
    </row>
    <row r="834" spans="1:6" s="10" customFormat="1" x14ac:dyDescent="0.3">
      <c r="A834" s="24">
        <v>42396</v>
      </c>
      <c r="B834" s="10">
        <v>7437.75</v>
      </c>
      <c r="C834" s="10">
        <f t="shared" si="52"/>
        <v>7576.8924561500007</v>
      </c>
      <c r="D834" s="10">
        <f t="shared" si="49"/>
        <v>205.29236045890832</v>
      </c>
      <c r="E834" s="10">
        <f t="shared" si="50"/>
        <v>7987.4771770678171</v>
      </c>
      <c r="F834" s="10">
        <f t="shared" si="51"/>
        <v>7166.3077352321843</v>
      </c>
    </row>
    <row r="835" spans="1:6" s="10" customFormat="1" x14ac:dyDescent="0.3">
      <c r="A835" s="24">
        <v>42397</v>
      </c>
      <c r="B835" s="10">
        <v>7424.6499020000001</v>
      </c>
      <c r="C835" s="10">
        <f t="shared" si="52"/>
        <v>7551.6774415000009</v>
      </c>
      <c r="D835" s="10">
        <f t="shared" si="49"/>
        <v>190.18983819870783</v>
      </c>
      <c r="E835" s="10">
        <f t="shared" si="50"/>
        <v>7932.0571178974169</v>
      </c>
      <c r="F835" s="10">
        <f t="shared" si="51"/>
        <v>7171.2977651025849</v>
      </c>
    </row>
    <row r="836" spans="1:6" s="10" customFormat="1" x14ac:dyDescent="0.3">
      <c r="A836" s="24">
        <v>42398</v>
      </c>
      <c r="B836" s="10">
        <v>7563.5498049999997</v>
      </c>
      <c r="C836" s="10">
        <f t="shared" si="52"/>
        <v>7535.0424317500001</v>
      </c>
      <c r="D836" s="10">
        <f t="shared" si="49"/>
        <v>172.16081076212177</v>
      </c>
      <c r="E836" s="10">
        <f t="shared" si="50"/>
        <v>7879.3640532742438</v>
      </c>
      <c r="F836" s="10">
        <f t="shared" si="51"/>
        <v>7190.7208102257564</v>
      </c>
    </row>
    <row r="837" spans="1:6" s="10" customFormat="1" x14ac:dyDescent="0.3">
      <c r="A837" s="24">
        <v>42401</v>
      </c>
      <c r="B837" s="10">
        <v>7555.9501950000003</v>
      </c>
      <c r="C837" s="10">
        <f t="shared" si="52"/>
        <v>7515.5224365999993</v>
      </c>
      <c r="D837" s="10">
        <f t="shared" si="49"/>
        <v>142.67926573043161</v>
      </c>
      <c r="E837" s="10">
        <f t="shared" si="50"/>
        <v>7800.8809680608629</v>
      </c>
      <c r="F837" s="10">
        <f t="shared" si="51"/>
        <v>7230.1639051391357</v>
      </c>
    </row>
    <row r="838" spans="1:6" s="10" customFormat="1" x14ac:dyDescent="0.3">
      <c r="A838" s="24">
        <v>42402</v>
      </c>
      <c r="B838" s="10">
        <v>7455.5498049999997</v>
      </c>
      <c r="C838" s="10">
        <f t="shared" si="52"/>
        <v>7498.7349365999999</v>
      </c>
      <c r="D838" s="10">
        <f t="shared" si="49"/>
        <v>127.46459591269118</v>
      </c>
      <c r="E838" s="10">
        <f t="shared" si="50"/>
        <v>7753.6641284253819</v>
      </c>
      <c r="F838" s="10">
        <f t="shared" si="51"/>
        <v>7243.8057447746178</v>
      </c>
    </row>
    <row r="839" spans="1:6" s="10" customFormat="1" x14ac:dyDescent="0.3">
      <c r="A839" s="24">
        <v>42403</v>
      </c>
      <c r="B839" s="10">
        <v>7361.7998049999997</v>
      </c>
      <c r="C839" s="10">
        <f t="shared" si="52"/>
        <v>7477.5924317500003</v>
      </c>
      <c r="D839" s="10">
        <f t="shared" si="49"/>
        <v>111.62931929817587</v>
      </c>
      <c r="E839" s="10">
        <f t="shared" si="50"/>
        <v>7700.8510703463517</v>
      </c>
      <c r="F839" s="10">
        <f t="shared" si="51"/>
        <v>7254.3337931536489</v>
      </c>
    </row>
    <row r="840" spans="1:6" s="10" customFormat="1" x14ac:dyDescent="0.3">
      <c r="A840" s="24">
        <v>42404</v>
      </c>
      <c r="B840" s="10">
        <v>7404</v>
      </c>
      <c r="C840" s="10">
        <f t="shared" si="52"/>
        <v>7460.7424317499999</v>
      </c>
      <c r="D840" s="10">
        <f t="shared" si="49"/>
        <v>93.784423185361319</v>
      </c>
      <c r="E840" s="10">
        <f t="shared" si="50"/>
        <v>7648.3112781207228</v>
      </c>
      <c r="F840" s="10">
        <f t="shared" si="51"/>
        <v>7273.173585379277</v>
      </c>
    </row>
    <row r="841" spans="1:6" s="10" customFormat="1" x14ac:dyDescent="0.3">
      <c r="A841" s="24">
        <v>42405</v>
      </c>
      <c r="B841" s="10">
        <v>7489.1000979999999</v>
      </c>
      <c r="C841" s="10">
        <f t="shared" si="52"/>
        <v>7456.7824464000005</v>
      </c>
      <c r="D841" s="10">
        <f t="shared" si="49"/>
        <v>90.622636194876591</v>
      </c>
      <c r="E841" s="10">
        <f t="shared" si="50"/>
        <v>7638.0277187897536</v>
      </c>
      <c r="F841" s="10">
        <f t="shared" si="51"/>
        <v>7275.5371740102473</v>
      </c>
    </row>
    <row r="842" spans="1:6" s="10" customFormat="1" x14ac:dyDescent="0.3">
      <c r="A842" s="24">
        <v>42408</v>
      </c>
      <c r="B842" s="10">
        <v>7387.25</v>
      </c>
      <c r="C842" s="10">
        <f t="shared" si="52"/>
        <v>7446.0774415000005</v>
      </c>
      <c r="D842" s="10">
        <f t="shared" si="49"/>
        <v>85.125231042987963</v>
      </c>
      <c r="E842" s="10">
        <f t="shared" si="50"/>
        <v>7616.3279035859769</v>
      </c>
      <c r="F842" s="10">
        <f t="shared" si="51"/>
        <v>7275.8269794140242</v>
      </c>
    </row>
    <row r="843" spans="1:6" s="10" customFormat="1" x14ac:dyDescent="0.3">
      <c r="A843" s="24">
        <v>42409</v>
      </c>
      <c r="B843" s="10">
        <v>7298.2001950000003</v>
      </c>
      <c r="C843" s="10">
        <f t="shared" si="52"/>
        <v>7432.7949463500017</v>
      </c>
      <c r="D843" s="10">
        <f t="shared" si="49"/>
        <v>86.495689611946844</v>
      </c>
      <c r="E843" s="10">
        <f t="shared" si="50"/>
        <v>7605.7863255738957</v>
      </c>
      <c r="F843" s="10">
        <f t="shared" si="51"/>
        <v>7259.8035671261077</v>
      </c>
    </row>
    <row r="844" spans="1:6" s="10" customFormat="1" x14ac:dyDescent="0.3">
      <c r="A844" s="24">
        <v>42410</v>
      </c>
      <c r="B844" s="10">
        <v>7215.7001950000003</v>
      </c>
      <c r="C844" s="10">
        <f t="shared" si="52"/>
        <v>7418.0649658500015</v>
      </c>
      <c r="D844" s="10">
        <f t="shared" si="49"/>
        <v>97.043740421857635</v>
      </c>
      <c r="E844" s="10">
        <f t="shared" si="50"/>
        <v>7612.1524466937171</v>
      </c>
      <c r="F844" s="10">
        <f t="shared" si="51"/>
        <v>7223.9774850062859</v>
      </c>
    </row>
    <row r="845" spans="1:6" s="10" customFormat="1" x14ac:dyDescent="0.3">
      <c r="A845" s="24">
        <v>42411</v>
      </c>
      <c r="B845" s="10">
        <v>6976.3500979999999</v>
      </c>
      <c r="C845" s="10">
        <f t="shared" si="52"/>
        <v>7388.7624756500009</v>
      </c>
      <c r="D845" s="10">
        <f t="shared" si="49"/>
        <v>132.98970985007375</v>
      </c>
      <c r="E845" s="10">
        <f t="shared" si="50"/>
        <v>7654.7418953501483</v>
      </c>
      <c r="F845" s="10">
        <f t="shared" si="51"/>
        <v>7122.7830559498534</v>
      </c>
    </row>
    <row r="846" spans="1:6" s="10" customFormat="1" x14ac:dyDescent="0.3">
      <c r="A846" s="24">
        <v>42412</v>
      </c>
      <c r="B846" s="10">
        <v>6980.9501950000003</v>
      </c>
      <c r="C846" s="10">
        <f t="shared" si="52"/>
        <v>7360.9699951500006</v>
      </c>
      <c r="D846" s="10">
        <f t="shared" si="49"/>
        <v>156.43837890854653</v>
      </c>
      <c r="E846" s="10">
        <f t="shared" si="50"/>
        <v>7673.8467529670934</v>
      </c>
      <c r="F846" s="10">
        <f t="shared" si="51"/>
        <v>7048.0932373329078</v>
      </c>
    </row>
    <row r="847" spans="1:6" s="10" customFormat="1" x14ac:dyDescent="0.3">
      <c r="A847" s="24">
        <v>42415</v>
      </c>
      <c r="B847" s="10">
        <v>7162.9501950000003</v>
      </c>
      <c r="C847" s="10">
        <f t="shared" si="52"/>
        <v>7347.2275146500006</v>
      </c>
      <c r="D847" s="10">
        <f t="shared" si="49"/>
        <v>161.32971594306758</v>
      </c>
      <c r="E847" s="10">
        <f t="shared" si="50"/>
        <v>7669.8869465361358</v>
      </c>
      <c r="F847" s="10">
        <f t="shared" si="51"/>
        <v>7024.5680827638653</v>
      </c>
    </row>
    <row r="848" spans="1:6" s="10" customFormat="1" x14ac:dyDescent="0.3">
      <c r="A848" s="24">
        <v>42416</v>
      </c>
      <c r="B848" s="10">
        <v>7048.25</v>
      </c>
      <c r="C848" s="10">
        <f t="shared" si="52"/>
        <v>7332.0900146500007</v>
      </c>
      <c r="D848" s="10">
        <f t="shared" si="49"/>
        <v>174.6136656156161</v>
      </c>
      <c r="E848" s="10">
        <f t="shared" si="50"/>
        <v>7681.3173458812325</v>
      </c>
      <c r="F848" s="10">
        <f t="shared" si="51"/>
        <v>6982.8626834187689</v>
      </c>
    </row>
    <row r="849" spans="1:6" s="10" customFormat="1" x14ac:dyDescent="0.3">
      <c r="A849" s="24">
        <v>42417</v>
      </c>
      <c r="B849" s="10">
        <v>7108.4501950000003</v>
      </c>
      <c r="C849" s="10">
        <f t="shared" si="52"/>
        <v>7315.7575194999999</v>
      </c>
      <c r="D849" s="10">
        <f t="shared" si="49"/>
        <v>179.67476404816867</v>
      </c>
      <c r="E849" s="10">
        <f t="shared" si="50"/>
        <v>7675.107047596337</v>
      </c>
      <c r="F849" s="10">
        <f t="shared" si="51"/>
        <v>6956.4079914036629</v>
      </c>
    </row>
    <row r="850" spans="1:6" s="10" customFormat="1" x14ac:dyDescent="0.3">
      <c r="A850" s="24">
        <v>42418</v>
      </c>
      <c r="B850" s="10">
        <v>7191.75</v>
      </c>
      <c r="C850" s="10">
        <f t="shared" si="52"/>
        <v>7309.8800292499991</v>
      </c>
      <c r="D850" s="10">
        <f t="shared" si="49"/>
        <v>181.80710727563331</v>
      </c>
      <c r="E850" s="10">
        <f t="shared" si="50"/>
        <v>7673.4942438012658</v>
      </c>
      <c r="F850" s="10">
        <f t="shared" si="51"/>
        <v>6946.2658146987324</v>
      </c>
    </row>
    <row r="851" spans="1:6" s="10" customFormat="1" x14ac:dyDescent="0.3">
      <c r="A851" s="24">
        <v>42419</v>
      </c>
      <c r="B851" s="10">
        <v>7210.75</v>
      </c>
      <c r="C851" s="10">
        <f t="shared" si="52"/>
        <v>7306.5775389999999</v>
      </c>
      <c r="D851" s="10">
        <f t="shared" si="49"/>
        <v>183.0353709688502</v>
      </c>
      <c r="E851" s="10">
        <f t="shared" si="50"/>
        <v>7672.6482809377003</v>
      </c>
      <c r="F851" s="10">
        <f t="shared" si="51"/>
        <v>6940.5067970622995</v>
      </c>
    </row>
    <row r="852" spans="1:6" s="10" customFormat="1" x14ac:dyDescent="0.3">
      <c r="A852" s="24">
        <v>42422</v>
      </c>
      <c r="B852" s="10">
        <v>7234.5498049999997</v>
      </c>
      <c r="C852" s="10">
        <f t="shared" si="52"/>
        <v>7297.1825195000001</v>
      </c>
      <c r="D852" s="10">
        <f t="shared" si="49"/>
        <v>181.59138452160005</v>
      </c>
      <c r="E852" s="10">
        <f t="shared" si="50"/>
        <v>7660.3652885432002</v>
      </c>
      <c r="F852" s="10">
        <f t="shared" si="51"/>
        <v>6933.9997504568</v>
      </c>
    </row>
    <row r="853" spans="1:6" s="10" customFormat="1" x14ac:dyDescent="0.3">
      <c r="A853" s="24">
        <v>42423</v>
      </c>
      <c r="B853" s="10">
        <v>7109.5498049999997</v>
      </c>
      <c r="C853" s="10">
        <f t="shared" si="52"/>
        <v>7280.8525146499978</v>
      </c>
      <c r="D853" s="10">
        <f t="shared" ref="D853:D916" si="53">_xlfn.STDEV.S(B834:B853)</f>
        <v>183.1154235794113</v>
      </c>
      <c r="E853" s="10">
        <f t="shared" si="50"/>
        <v>7647.08336180882</v>
      </c>
      <c r="F853" s="10">
        <f t="shared" si="51"/>
        <v>6914.6216674911757</v>
      </c>
    </row>
    <row r="854" spans="1:6" s="10" customFormat="1" x14ac:dyDescent="0.3">
      <c r="A854" s="24">
        <v>42424</v>
      </c>
      <c r="B854" s="10">
        <v>7018.7001950000003</v>
      </c>
      <c r="C854" s="10">
        <f t="shared" si="52"/>
        <v>7259.9000243999999</v>
      </c>
      <c r="D854" s="10">
        <f t="shared" si="53"/>
        <v>188.12380995054585</v>
      </c>
      <c r="E854" s="10">
        <f t="shared" ref="E854:E917" si="54">C854+2*D854</f>
        <v>7636.1476443010915</v>
      </c>
      <c r="F854" s="10">
        <f t="shared" ref="F854:F917" si="55">C854-2*D854</f>
        <v>6883.6524044989083</v>
      </c>
    </row>
    <row r="855" spans="1:6" s="10" customFormat="1" x14ac:dyDescent="0.3">
      <c r="A855" s="24">
        <v>42425</v>
      </c>
      <c r="B855" s="10">
        <v>6970.6000979999999</v>
      </c>
      <c r="C855" s="10">
        <f t="shared" si="52"/>
        <v>7237.1975341999987</v>
      </c>
      <c r="D855" s="10">
        <f t="shared" si="53"/>
        <v>194.4851034149404</v>
      </c>
      <c r="E855" s="10">
        <f t="shared" si="54"/>
        <v>7626.1677410298798</v>
      </c>
      <c r="F855" s="10">
        <f t="shared" si="55"/>
        <v>6848.2273273701176</v>
      </c>
    </row>
    <row r="856" spans="1:6" s="10" customFormat="1" x14ac:dyDescent="0.3">
      <c r="A856" s="24">
        <v>42426</v>
      </c>
      <c r="B856" s="10">
        <v>7029.75</v>
      </c>
      <c r="C856" s="10">
        <f t="shared" si="52"/>
        <v>7210.5075439499997</v>
      </c>
      <c r="D856" s="10">
        <f t="shared" si="53"/>
        <v>183.66821011849817</v>
      </c>
      <c r="E856" s="10">
        <f t="shared" si="54"/>
        <v>7577.8439641869963</v>
      </c>
      <c r="F856" s="10">
        <f t="shared" si="55"/>
        <v>6843.171123713003</v>
      </c>
    </row>
    <row r="857" spans="1:6" s="10" customFormat="1" x14ac:dyDescent="0.3">
      <c r="A857" s="24">
        <v>42429</v>
      </c>
      <c r="B857" s="10">
        <v>6987.0498049999997</v>
      </c>
      <c r="C857" s="10">
        <f t="shared" si="52"/>
        <v>7182.0625244499988</v>
      </c>
      <c r="D857" s="10">
        <f t="shared" si="53"/>
        <v>170.96730527695541</v>
      </c>
      <c r="E857" s="10">
        <f t="shared" si="54"/>
        <v>7523.9971350039095</v>
      </c>
      <c r="F857" s="10">
        <f t="shared" si="55"/>
        <v>6840.1279138960881</v>
      </c>
    </row>
    <row r="858" spans="1:6" s="10" customFormat="1" x14ac:dyDescent="0.3">
      <c r="A858" s="24">
        <v>42430</v>
      </c>
      <c r="B858" s="10">
        <v>7222.2998049999997</v>
      </c>
      <c r="C858" s="10">
        <f t="shared" si="52"/>
        <v>7170.4000244499985</v>
      </c>
      <c r="D858" s="10">
        <f t="shared" si="53"/>
        <v>158.85611463771647</v>
      </c>
      <c r="E858" s="10">
        <f t="shared" si="54"/>
        <v>7488.1122537254314</v>
      </c>
      <c r="F858" s="10">
        <f t="shared" si="55"/>
        <v>6852.6877951745655</v>
      </c>
    </row>
    <row r="859" spans="1:6" s="10" customFormat="1" x14ac:dyDescent="0.3">
      <c r="A859" s="24">
        <v>42431</v>
      </c>
      <c r="B859" s="10">
        <v>7368.8500979999999</v>
      </c>
      <c r="C859" s="10">
        <f t="shared" si="52"/>
        <v>7170.752539099999</v>
      </c>
      <c r="D859" s="10">
        <f t="shared" si="53"/>
        <v>159.31037372703074</v>
      </c>
      <c r="E859" s="10">
        <f t="shared" si="54"/>
        <v>7489.3732865540605</v>
      </c>
      <c r="F859" s="10">
        <f t="shared" si="55"/>
        <v>6852.1317916459375</v>
      </c>
    </row>
    <row r="860" spans="1:6" s="10" customFormat="1" x14ac:dyDescent="0.3">
      <c r="A860" s="24">
        <v>42432</v>
      </c>
      <c r="B860" s="10">
        <v>7475.6000979999999</v>
      </c>
      <c r="C860" s="10">
        <f t="shared" si="52"/>
        <v>7174.3325439999999</v>
      </c>
      <c r="D860" s="10">
        <f t="shared" si="53"/>
        <v>165.5115572070882</v>
      </c>
      <c r="E860" s="10">
        <f t="shared" si="54"/>
        <v>7505.3556584141761</v>
      </c>
      <c r="F860" s="10">
        <f t="shared" si="55"/>
        <v>6843.3094295858236</v>
      </c>
    </row>
    <row r="861" spans="1:6" s="10" customFormat="1" x14ac:dyDescent="0.3">
      <c r="A861" s="24">
        <v>42433</v>
      </c>
      <c r="B861" s="10">
        <v>7485.3500979999999</v>
      </c>
      <c r="C861" s="10">
        <f t="shared" si="52"/>
        <v>7174.1450439999999</v>
      </c>
      <c r="D861" s="10">
        <f t="shared" si="53"/>
        <v>165.13790704696507</v>
      </c>
      <c r="E861" s="10">
        <f t="shared" si="54"/>
        <v>7504.4208580939303</v>
      </c>
      <c r="F861" s="10">
        <f t="shared" si="55"/>
        <v>6843.8692299060694</v>
      </c>
    </row>
    <row r="862" spans="1:6" s="10" customFormat="1" x14ac:dyDescent="0.3">
      <c r="A862" s="24">
        <v>42437</v>
      </c>
      <c r="B862" s="10">
        <v>7485.2998049999997</v>
      </c>
      <c r="C862" s="10">
        <f t="shared" si="52"/>
        <v>7179.0475342499994</v>
      </c>
      <c r="D862" s="10">
        <f t="shared" si="53"/>
        <v>173.06264660389789</v>
      </c>
      <c r="E862" s="10">
        <f t="shared" si="54"/>
        <v>7525.1728274577954</v>
      </c>
      <c r="F862" s="10">
        <f t="shared" si="55"/>
        <v>6832.9222410422035</v>
      </c>
    </row>
    <row r="863" spans="1:6" s="10" customFormat="1" x14ac:dyDescent="0.3">
      <c r="A863" s="24">
        <v>42438</v>
      </c>
      <c r="B863" s="10">
        <v>7531.7998049999997</v>
      </c>
      <c r="C863" s="10">
        <f t="shared" si="52"/>
        <v>7190.7275147499986</v>
      </c>
      <c r="D863" s="10">
        <f t="shared" si="53"/>
        <v>188.70351046956904</v>
      </c>
      <c r="E863" s="10">
        <f t="shared" si="54"/>
        <v>7568.134535689137</v>
      </c>
      <c r="F863" s="10">
        <f t="shared" si="55"/>
        <v>6813.3204938108602</v>
      </c>
    </row>
    <row r="864" spans="1:6" s="10" customFormat="1" x14ac:dyDescent="0.3">
      <c r="A864" s="24">
        <v>42439</v>
      </c>
      <c r="B864" s="10">
        <v>7486.1499020000001</v>
      </c>
      <c r="C864" s="10">
        <f t="shared" si="52"/>
        <v>7204.2500000999989</v>
      </c>
      <c r="D864" s="10">
        <f t="shared" si="53"/>
        <v>199.94273947887618</v>
      </c>
      <c r="E864" s="10">
        <f t="shared" si="54"/>
        <v>7604.1354790577516</v>
      </c>
      <c r="F864" s="10">
        <f t="shared" si="55"/>
        <v>6804.3645211422463</v>
      </c>
    </row>
    <row r="865" spans="1:6" s="10" customFormat="1" x14ac:dyDescent="0.3">
      <c r="A865" s="24">
        <v>42440</v>
      </c>
      <c r="B865" s="10">
        <v>7510.2001950000003</v>
      </c>
      <c r="C865" s="10">
        <f t="shared" si="52"/>
        <v>7230.9425049500005</v>
      </c>
      <c r="D865" s="10">
        <f t="shared" si="53"/>
        <v>203.51933083084327</v>
      </c>
      <c r="E865" s="10">
        <f t="shared" si="54"/>
        <v>7637.9811666116875</v>
      </c>
      <c r="F865" s="10">
        <f t="shared" si="55"/>
        <v>6823.9038432883135</v>
      </c>
    </row>
    <row r="866" spans="1:6" s="10" customFormat="1" x14ac:dyDescent="0.3">
      <c r="A866" s="24">
        <v>42443</v>
      </c>
      <c r="B866" s="10">
        <v>7538.75</v>
      </c>
      <c r="C866" s="10">
        <f t="shared" si="52"/>
        <v>7258.8324952000012</v>
      </c>
      <c r="D866" s="10">
        <f t="shared" si="53"/>
        <v>205.66637653027544</v>
      </c>
      <c r="E866" s="10">
        <f t="shared" si="54"/>
        <v>7670.1652482605523</v>
      </c>
      <c r="F866" s="10">
        <f t="shared" si="55"/>
        <v>6847.4997421394501</v>
      </c>
    </row>
    <row r="867" spans="1:6" s="10" customFormat="1" x14ac:dyDescent="0.3">
      <c r="A867" s="24">
        <v>42444</v>
      </c>
      <c r="B867" s="10">
        <v>7460.6000979999999</v>
      </c>
      <c r="C867" s="10">
        <f t="shared" si="52"/>
        <v>7273.7149903500003</v>
      </c>
      <c r="D867" s="10">
        <f t="shared" si="53"/>
        <v>209.10353606174544</v>
      </c>
      <c r="E867" s="10">
        <f t="shared" si="54"/>
        <v>7691.9220624734917</v>
      </c>
      <c r="F867" s="10">
        <f t="shared" si="55"/>
        <v>6855.507918226509</v>
      </c>
    </row>
    <row r="868" spans="1:6" s="10" customFormat="1" x14ac:dyDescent="0.3">
      <c r="A868" s="24">
        <v>42445</v>
      </c>
      <c r="B868" s="10">
        <v>7498.75</v>
      </c>
      <c r="C868" s="10">
        <f t="shared" si="52"/>
        <v>7296.23999035</v>
      </c>
      <c r="D868" s="10">
        <f t="shared" si="53"/>
        <v>207.7980127902091</v>
      </c>
      <c r="E868" s="10">
        <f t="shared" si="54"/>
        <v>7711.8360159304184</v>
      </c>
      <c r="F868" s="10">
        <f t="shared" si="55"/>
        <v>6880.6439647695815</v>
      </c>
    </row>
    <row r="869" spans="1:6" s="10" customFormat="1" x14ac:dyDescent="0.3">
      <c r="A869" s="24">
        <v>42446</v>
      </c>
      <c r="B869" s="10">
        <v>7512.5498049999997</v>
      </c>
      <c r="C869" s="10">
        <f t="shared" si="52"/>
        <v>7316.4449708499988</v>
      </c>
      <c r="D869" s="10">
        <f t="shared" si="53"/>
        <v>208.22310557464593</v>
      </c>
      <c r="E869" s="10">
        <f t="shared" si="54"/>
        <v>7732.8911819992909</v>
      </c>
      <c r="F869" s="10">
        <f t="shared" si="55"/>
        <v>6899.9987597007066</v>
      </c>
    </row>
    <row r="870" spans="1:6" s="10" customFormat="1" x14ac:dyDescent="0.3">
      <c r="A870" s="24">
        <v>42447</v>
      </c>
      <c r="B870" s="10">
        <v>7604.3500979999999</v>
      </c>
      <c r="C870" s="10">
        <f t="shared" si="52"/>
        <v>7337.0749757499989</v>
      </c>
      <c r="D870" s="10">
        <f t="shared" si="53"/>
        <v>215.52981923968662</v>
      </c>
      <c r="E870" s="10">
        <f t="shared" si="54"/>
        <v>7768.1346142293723</v>
      </c>
      <c r="F870" s="10">
        <f t="shared" si="55"/>
        <v>6906.0153372706254</v>
      </c>
    </row>
    <row r="871" spans="1:6" s="10" customFormat="1" x14ac:dyDescent="0.3">
      <c r="A871" s="24">
        <v>42450</v>
      </c>
      <c r="B871" s="10">
        <v>7704.25</v>
      </c>
      <c r="C871" s="10">
        <f t="shared" si="52"/>
        <v>7361.74997575</v>
      </c>
      <c r="D871" s="10">
        <f t="shared" si="53"/>
        <v>228.18406041050764</v>
      </c>
      <c r="E871" s="10">
        <f t="shared" si="54"/>
        <v>7818.1180965710155</v>
      </c>
      <c r="F871" s="10">
        <f t="shared" si="55"/>
        <v>6905.3818549289845</v>
      </c>
    </row>
    <row r="872" spans="1:6" s="10" customFormat="1" x14ac:dyDescent="0.3">
      <c r="A872" s="24">
        <v>42451</v>
      </c>
      <c r="B872" s="10">
        <v>7714.8999020000001</v>
      </c>
      <c r="C872" s="10">
        <f t="shared" si="52"/>
        <v>7385.7674806000014</v>
      </c>
      <c r="D872" s="10">
        <f t="shared" si="53"/>
        <v>239.1090391289531</v>
      </c>
      <c r="E872" s="10">
        <f t="shared" si="54"/>
        <v>7863.9855588579076</v>
      </c>
      <c r="F872" s="10">
        <f t="shared" si="55"/>
        <v>6907.5494023420952</v>
      </c>
    </row>
    <row r="873" spans="1:6" s="10" customFormat="1" x14ac:dyDescent="0.3">
      <c r="A873" s="24">
        <v>42452</v>
      </c>
      <c r="B873" s="10">
        <v>7716.5</v>
      </c>
      <c r="C873" s="10">
        <f t="shared" si="52"/>
        <v>7416.11499035</v>
      </c>
      <c r="D873" s="10">
        <f t="shared" si="53"/>
        <v>240.7179926129472</v>
      </c>
      <c r="E873" s="10">
        <f t="shared" si="54"/>
        <v>7897.550975575894</v>
      </c>
      <c r="F873" s="10">
        <f t="shared" si="55"/>
        <v>6934.679005124106</v>
      </c>
    </row>
    <row r="874" spans="1:6" s="10" customFormat="1" x14ac:dyDescent="0.3">
      <c r="A874" s="24">
        <v>42457</v>
      </c>
      <c r="B874" s="10">
        <v>7615.1000979999999</v>
      </c>
      <c r="C874" s="10">
        <f t="shared" si="52"/>
        <v>7445.9349854999991</v>
      </c>
      <c r="D874" s="10">
        <f t="shared" si="53"/>
        <v>225.34532548875325</v>
      </c>
      <c r="E874" s="10">
        <f t="shared" si="54"/>
        <v>7896.6256364775054</v>
      </c>
      <c r="F874" s="10">
        <f t="shared" si="55"/>
        <v>6995.2443345224929</v>
      </c>
    </row>
    <row r="875" spans="1:6" s="10" customFormat="1" x14ac:dyDescent="0.3">
      <c r="A875" s="24">
        <v>42458</v>
      </c>
      <c r="B875" s="10">
        <v>7597</v>
      </c>
      <c r="C875" s="10">
        <f t="shared" si="52"/>
        <v>7477.2549805999997</v>
      </c>
      <c r="D875" s="10">
        <f t="shared" si="53"/>
        <v>197.62915032999746</v>
      </c>
      <c r="E875" s="10">
        <f t="shared" si="54"/>
        <v>7872.513281259995</v>
      </c>
      <c r="F875" s="10">
        <f t="shared" si="55"/>
        <v>7081.9966799400045</v>
      </c>
    </row>
    <row r="876" spans="1:6" s="10" customFormat="1" x14ac:dyDescent="0.3">
      <c r="A876" s="24">
        <v>42459</v>
      </c>
      <c r="B876" s="10">
        <v>7735.2001950000003</v>
      </c>
      <c r="C876" s="10">
        <f t="shared" si="52"/>
        <v>7512.5274903500003</v>
      </c>
      <c r="D876" s="10">
        <f t="shared" si="53"/>
        <v>175.24124232667873</v>
      </c>
      <c r="E876" s="10">
        <f t="shared" si="54"/>
        <v>7863.0099750033578</v>
      </c>
      <c r="F876" s="10">
        <f t="shared" si="55"/>
        <v>7162.0450056966429</v>
      </c>
    </row>
    <row r="877" spans="1:6" s="10" customFormat="1" x14ac:dyDescent="0.3">
      <c r="A877" s="24">
        <v>42460</v>
      </c>
      <c r="B877" s="10">
        <v>7738.3999020000001</v>
      </c>
      <c r="C877" s="10">
        <f t="shared" si="52"/>
        <v>7550.0949951999992</v>
      </c>
      <c r="D877" s="10">
        <f t="shared" si="53"/>
        <v>131.81836932977427</v>
      </c>
      <c r="E877" s="10">
        <f t="shared" si="54"/>
        <v>7813.7317338595476</v>
      </c>
      <c r="F877" s="10">
        <f t="shared" si="55"/>
        <v>7286.4582565404507</v>
      </c>
    </row>
    <row r="878" spans="1:6" s="10" customFormat="1" x14ac:dyDescent="0.3">
      <c r="A878" s="24">
        <v>42461</v>
      </c>
      <c r="B878" s="10">
        <v>7713.0498049999997</v>
      </c>
      <c r="C878" s="10">
        <f t="shared" si="52"/>
        <v>7574.6324951999995</v>
      </c>
      <c r="D878" s="10">
        <f t="shared" si="53"/>
        <v>111.73473581284389</v>
      </c>
      <c r="E878" s="10">
        <f t="shared" si="54"/>
        <v>7798.1019668256877</v>
      </c>
      <c r="F878" s="10">
        <f t="shared" si="55"/>
        <v>7351.1630235743114</v>
      </c>
    </row>
    <row r="879" spans="1:6" s="10" customFormat="1" x14ac:dyDescent="0.3">
      <c r="A879" s="24">
        <v>42464</v>
      </c>
      <c r="B879" s="10">
        <v>7758.7998049999997</v>
      </c>
      <c r="C879" s="10">
        <f t="shared" si="52"/>
        <v>7594.1299805499993</v>
      </c>
      <c r="D879" s="10">
        <f t="shared" si="53"/>
        <v>107.89286519952037</v>
      </c>
      <c r="E879" s="10">
        <f t="shared" si="54"/>
        <v>7809.9157109490397</v>
      </c>
      <c r="F879" s="10">
        <f t="shared" si="55"/>
        <v>7378.3442501509589</v>
      </c>
    </row>
    <row r="880" spans="1:6" s="10" customFormat="1" x14ac:dyDescent="0.3">
      <c r="A880" s="24">
        <v>42465</v>
      </c>
      <c r="B880" s="10">
        <v>7603.2001950000003</v>
      </c>
      <c r="C880" s="10">
        <f t="shared" si="52"/>
        <v>7600.5099854</v>
      </c>
      <c r="D880" s="10">
        <f t="shared" si="53"/>
        <v>104.22530841085205</v>
      </c>
      <c r="E880" s="10">
        <f t="shared" si="54"/>
        <v>7808.960602221704</v>
      </c>
      <c r="F880" s="10">
        <f t="shared" si="55"/>
        <v>7392.059368578296</v>
      </c>
    </row>
    <row r="881" spans="1:6" s="10" customFormat="1" x14ac:dyDescent="0.3">
      <c r="A881" s="24">
        <v>42466</v>
      </c>
      <c r="B881" s="10">
        <v>7614.3500979999999</v>
      </c>
      <c r="C881" s="10">
        <f t="shared" si="52"/>
        <v>7606.9599853999998</v>
      </c>
      <c r="D881" s="10">
        <f t="shared" si="53"/>
        <v>100.6539361544263</v>
      </c>
      <c r="E881" s="10">
        <f t="shared" si="54"/>
        <v>7808.2678577088527</v>
      </c>
      <c r="F881" s="10">
        <f t="shared" si="55"/>
        <v>7405.6521130911469</v>
      </c>
    </row>
    <row r="882" spans="1:6" s="10" customFormat="1" x14ac:dyDescent="0.3">
      <c r="A882" s="24">
        <v>42467</v>
      </c>
      <c r="B882" s="10">
        <v>7546.4501950000003</v>
      </c>
      <c r="C882" s="10">
        <f t="shared" si="52"/>
        <v>7610.0175049000009</v>
      </c>
      <c r="D882" s="10">
        <f t="shared" si="53"/>
        <v>97.647688180692384</v>
      </c>
      <c r="E882" s="10">
        <f t="shared" si="54"/>
        <v>7805.3128812613859</v>
      </c>
      <c r="F882" s="10">
        <f t="shared" si="55"/>
        <v>7414.7221285386158</v>
      </c>
    </row>
    <row r="883" spans="1:6" s="10" customFormat="1" x14ac:dyDescent="0.3">
      <c r="A883" s="24">
        <v>42468</v>
      </c>
      <c r="B883" s="10">
        <v>7555.2001950000003</v>
      </c>
      <c r="C883" s="10">
        <f t="shared" ref="C883:C946" si="56">AVERAGE(B864:B883)</f>
        <v>7611.1875244000012</v>
      </c>
      <c r="D883" s="10">
        <f t="shared" si="53"/>
        <v>96.79764544441187</v>
      </c>
      <c r="E883" s="10">
        <f t="shared" si="54"/>
        <v>7804.7828152888251</v>
      </c>
      <c r="F883" s="10">
        <f t="shared" si="55"/>
        <v>7417.5922335111773</v>
      </c>
    </row>
    <row r="884" spans="1:6" s="10" customFormat="1" x14ac:dyDescent="0.3">
      <c r="A884" s="24">
        <v>42471</v>
      </c>
      <c r="B884" s="10">
        <v>7671.3999020000001</v>
      </c>
      <c r="C884" s="10">
        <f t="shared" si="56"/>
        <v>7620.450024400001</v>
      </c>
      <c r="D884" s="10">
        <f t="shared" si="53"/>
        <v>92.991551507554036</v>
      </c>
      <c r="E884" s="10">
        <f t="shared" si="54"/>
        <v>7806.4331274151091</v>
      </c>
      <c r="F884" s="10">
        <f t="shared" si="55"/>
        <v>7434.4669213848929</v>
      </c>
    </row>
    <row r="885" spans="1:6" s="10" customFormat="1" x14ac:dyDescent="0.3">
      <c r="A885" s="24">
        <v>42472</v>
      </c>
      <c r="B885" s="10">
        <v>7708.9501950000003</v>
      </c>
      <c r="C885" s="10">
        <f t="shared" si="56"/>
        <v>7630.387524400001</v>
      </c>
      <c r="D885" s="10">
        <f t="shared" si="53"/>
        <v>91.191909143750706</v>
      </c>
      <c r="E885" s="10">
        <f t="shared" si="54"/>
        <v>7812.7713426875025</v>
      </c>
      <c r="F885" s="10">
        <f t="shared" si="55"/>
        <v>7448.0037061124995</v>
      </c>
    </row>
    <row r="886" spans="1:6" s="10" customFormat="1" x14ac:dyDescent="0.3">
      <c r="A886" s="24">
        <v>42473</v>
      </c>
      <c r="B886" s="10">
        <v>7850.4501950000003</v>
      </c>
      <c r="C886" s="10">
        <f t="shared" si="56"/>
        <v>7645.9725341499998</v>
      </c>
      <c r="D886" s="10">
        <f t="shared" si="53"/>
        <v>100.83222493138403</v>
      </c>
      <c r="E886" s="10">
        <f t="shared" si="54"/>
        <v>7847.6369840127682</v>
      </c>
      <c r="F886" s="10">
        <f t="shared" si="55"/>
        <v>7444.3080842872314</v>
      </c>
    </row>
    <row r="887" spans="1:6" s="10" customFormat="1" x14ac:dyDescent="0.3">
      <c r="A887" s="24">
        <v>42478</v>
      </c>
      <c r="B887" s="10">
        <v>7914.7001950000003</v>
      </c>
      <c r="C887" s="10">
        <f t="shared" si="56"/>
        <v>7668.6775390000012</v>
      </c>
      <c r="D887" s="10">
        <f t="shared" si="53"/>
        <v>107.78069469373243</v>
      </c>
      <c r="E887" s="10">
        <f t="shared" si="54"/>
        <v>7884.2389283874663</v>
      </c>
      <c r="F887" s="10">
        <f t="shared" si="55"/>
        <v>7453.116149612536</v>
      </c>
    </row>
    <row r="888" spans="1:6" s="10" customFormat="1" x14ac:dyDescent="0.3">
      <c r="A888" s="24">
        <v>42480</v>
      </c>
      <c r="B888" s="10">
        <v>7914.75</v>
      </c>
      <c r="C888" s="10">
        <f t="shared" si="56"/>
        <v>7689.4775390000013</v>
      </c>
      <c r="D888" s="10">
        <f t="shared" si="53"/>
        <v>113.26270635739021</v>
      </c>
      <c r="E888" s="10">
        <f t="shared" si="54"/>
        <v>7916.0029517147814</v>
      </c>
      <c r="F888" s="10">
        <f t="shared" si="55"/>
        <v>7462.9521262852213</v>
      </c>
    </row>
    <row r="889" spans="1:6" s="10" customFormat="1" x14ac:dyDescent="0.3">
      <c r="A889" s="24">
        <v>42481</v>
      </c>
      <c r="B889" s="10">
        <v>7912.0498049999997</v>
      </c>
      <c r="C889" s="10">
        <f t="shared" si="56"/>
        <v>7709.4525389999999</v>
      </c>
      <c r="D889" s="10">
        <f t="shared" si="53"/>
        <v>115.62083003248325</v>
      </c>
      <c r="E889" s="10">
        <f t="shared" si="54"/>
        <v>7940.6941990649666</v>
      </c>
      <c r="F889" s="10">
        <f t="shared" si="55"/>
        <v>7478.2108789350332</v>
      </c>
    </row>
    <row r="890" spans="1:6" s="10" customFormat="1" x14ac:dyDescent="0.3">
      <c r="A890" s="24">
        <v>42482</v>
      </c>
      <c r="B890" s="10">
        <v>7899.2998049999997</v>
      </c>
      <c r="C890" s="10">
        <f t="shared" si="56"/>
        <v>7724.2000243499979</v>
      </c>
      <c r="D890" s="10">
        <f t="shared" si="53"/>
        <v>120.22808263576054</v>
      </c>
      <c r="E890" s="10">
        <f t="shared" si="54"/>
        <v>7964.6561896215189</v>
      </c>
      <c r="F890" s="10">
        <f t="shared" si="55"/>
        <v>7483.7438590784768</v>
      </c>
    </row>
    <row r="891" spans="1:6" s="10" customFormat="1" x14ac:dyDescent="0.3">
      <c r="A891" s="24">
        <v>42485</v>
      </c>
      <c r="B891" s="10">
        <v>7855.0498049999997</v>
      </c>
      <c r="C891" s="10">
        <f t="shared" si="56"/>
        <v>7731.7400145999982</v>
      </c>
      <c r="D891" s="10">
        <f t="shared" si="53"/>
        <v>123.59264111042151</v>
      </c>
      <c r="E891" s="10">
        <f t="shared" si="54"/>
        <v>7978.9252968208411</v>
      </c>
      <c r="F891" s="10">
        <f t="shared" si="55"/>
        <v>7484.5547323791552</v>
      </c>
    </row>
    <row r="892" spans="1:6" s="10" customFormat="1" x14ac:dyDescent="0.3">
      <c r="A892" s="24">
        <v>42486</v>
      </c>
      <c r="B892" s="10">
        <v>7962.6499020000001</v>
      </c>
      <c r="C892" s="10">
        <f t="shared" si="56"/>
        <v>7744.1275145999989</v>
      </c>
      <c r="D892" s="10">
        <f t="shared" si="53"/>
        <v>133.80946024656018</v>
      </c>
      <c r="E892" s="10">
        <f t="shared" si="54"/>
        <v>8011.7464350931195</v>
      </c>
      <c r="F892" s="10">
        <f t="shared" si="55"/>
        <v>7476.5085941068783</v>
      </c>
    </row>
    <row r="893" spans="1:6" s="10" customFormat="1" x14ac:dyDescent="0.3">
      <c r="A893" s="24">
        <v>42487</v>
      </c>
      <c r="B893" s="10">
        <v>7979.8999020000001</v>
      </c>
      <c r="C893" s="10">
        <f t="shared" si="56"/>
        <v>7757.2975096999999</v>
      </c>
      <c r="D893" s="10">
        <f t="shared" si="53"/>
        <v>143.55465217427815</v>
      </c>
      <c r="E893" s="10">
        <f t="shared" si="54"/>
        <v>8044.406814048556</v>
      </c>
      <c r="F893" s="10">
        <f t="shared" si="55"/>
        <v>7470.1882053514437</v>
      </c>
    </row>
    <row r="894" spans="1:6" s="10" customFormat="1" x14ac:dyDescent="0.3">
      <c r="A894" s="24">
        <v>42488</v>
      </c>
      <c r="B894" s="10">
        <v>7847.25</v>
      </c>
      <c r="C894" s="10">
        <f t="shared" si="56"/>
        <v>7768.9050048000008</v>
      </c>
      <c r="D894" s="10">
        <f t="shared" si="53"/>
        <v>140.81108898164598</v>
      </c>
      <c r="E894" s="10">
        <f t="shared" si="54"/>
        <v>8050.5271827632932</v>
      </c>
      <c r="F894" s="10">
        <f t="shared" si="55"/>
        <v>7487.2828268367084</v>
      </c>
    </row>
    <row r="895" spans="1:6" s="10" customFormat="1" x14ac:dyDescent="0.3">
      <c r="A895" s="24">
        <v>42489</v>
      </c>
      <c r="B895" s="10">
        <v>7849.7998049999997</v>
      </c>
      <c r="C895" s="10">
        <f t="shared" si="56"/>
        <v>7781.5449950499997</v>
      </c>
      <c r="D895" s="10">
        <f t="shared" si="53"/>
        <v>135.82588385550457</v>
      </c>
      <c r="E895" s="10">
        <f t="shared" si="54"/>
        <v>8053.1967627610084</v>
      </c>
      <c r="F895" s="10">
        <f t="shared" si="55"/>
        <v>7509.893227338991</v>
      </c>
    </row>
    <row r="896" spans="1:6" s="10" customFormat="1" x14ac:dyDescent="0.3">
      <c r="A896" s="24">
        <v>42492</v>
      </c>
      <c r="B896" s="10">
        <v>7805.8999020000001</v>
      </c>
      <c r="C896" s="10">
        <f t="shared" si="56"/>
        <v>7785.0799803999998</v>
      </c>
      <c r="D896" s="10">
        <f t="shared" si="53"/>
        <v>135.47579747918968</v>
      </c>
      <c r="E896" s="10">
        <f t="shared" si="54"/>
        <v>8056.0315753583791</v>
      </c>
      <c r="F896" s="10">
        <f t="shared" si="55"/>
        <v>7514.1283854416206</v>
      </c>
    </row>
    <row r="897" spans="1:6" s="10" customFormat="1" x14ac:dyDescent="0.3">
      <c r="A897" s="24">
        <v>42493</v>
      </c>
      <c r="B897" s="10">
        <v>7747</v>
      </c>
      <c r="C897" s="10">
        <f t="shared" si="56"/>
        <v>7785.5099852999992</v>
      </c>
      <c r="D897" s="10">
        <f t="shared" si="53"/>
        <v>135.33340884710572</v>
      </c>
      <c r="E897" s="10">
        <f t="shared" si="54"/>
        <v>8056.1768029942104</v>
      </c>
      <c r="F897" s="10">
        <f t="shared" si="55"/>
        <v>7514.843167605788</v>
      </c>
    </row>
    <row r="898" spans="1:6" s="10" customFormat="1" x14ac:dyDescent="0.3">
      <c r="A898" s="24">
        <v>42494</v>
      </c>
      <c r="B898" s="10">
        <v>7706.5498049999997</v>
      </c>
      <c r="C898" s="10">
        <f t="shared" si="56"/>
        <v>7785.1849852999994</v>
      </c>
      <c r="D898" s="10">
        <f t="shared" si="53"/>
        <v>135.52424900466289</v>
      </c>
      <c r="E898" s="10">
        <f t="shared" si="54"/>
        <v>8056.2334833093255</v>
      </c>
      <c r="F898" s="10">
        <f t="shared" si="55"/>
        <v>7514.1364872906734</v>
      </c>
    </row>
    <row r="899" spans="1:6" s="10" customFormat="1" x14ac:dyDescent="0.3">
      <c r="A899" s="24">
        <v>42495</v>
      </c>
      <c r="B899" s="10">
        <v>7735.5</v>
      </c>
      <c r="C899" s="10">
        <f t="shared" si="56"/>
        <v>7784.01999505</v>
      </c>
      <c r="D899" s="10">
        <f t="shared" si="53"/>
        <v>135.86272004769825</v>
      </c>
      <c r="E899" s="10">
        <f t="shared" si="54"/>
        <v>8055.7454351453962</v>
      </c>
      <c r="F899" s="10">
        <f t="shared" si="55"/>
        <v>7512.2945549546039</v>
      </c>
    </row>
    <row r="900" spans="1:6" s="10" customFormat="1" x14ac:dyDescent="0.3">
      <c r="A900" s="24">
        <v>42496</v>
      </c>
      <c r="B900" s="10">
        <v>7733.4501950000003</v>
      </c>
      <c r="C900" s="10">
        <f t="shared" si="56"/>
        <v>7790.5324950500017</v>
      </c>
      <c r="D900" s="10">
        <f t="shared" si="53"/>
        <v>129.72199966373444</v>
      </c>
      <c r="E900" s="10">
        <f t="shared" si="54"/>
        <v>8049.9764943774708</v>
      </c>
      <c r="F900" s="10">
        <f t="shared" si="55"/>
        <v>7531.0884957225326</v>
      </c>
    </row>
    <row r="901" spans="1:6" s="10" customFormat="1" x14ac:dyDescent="0.3">
      <c r="A901" s="24">
        <v>42499</v>
      </c>
      <c r="B901" s="10">
        <v>7866.0498049999997</v>
      </c>
      <c r="C901" s="10">
        <f t="shared" si="56"/>
        <v>7803.1174804000011</v>
      </c>
      <c r="D901" s="10">
        <f t="shared" si="53"/>
        <v>123.80441635796836</v>
      </c>
      <c r="E901" s="10">
        <f t="shared" si="54"/>
        <v>8050.726313115938</v>
      </c>
      <c r="F901" s="10">
        <f t="shared" si="55"/>
        <v>7555.5086476840643</v>
      </c>
    </row>
    <row r="902" spans="1:6" s="10" customFormat="1" x14ac:dyDescent="0.3">
      <c r="A902" s="24">
        <v>42500</v>
      </c>
      <c r="B902" s="10">
        <v>7887.7998049999997</v>
      </c>
      <c r="C902" s="10">
        <f t="shared" si="56"/>
        <v>7820.184960900001</v>
      </c>
      <c r="D902" s="10">
        <f t="shared" si="53"/>
        <v>109.22939636565545</v>
      </c>
      <c r="E902" s="10">
        <f t="shared" si="54"/>
        <v>8038.6437536313115</v>
      </c>
      <c r="F902" s="10">
        <f t="shared" si="55"/>
        <v>7601.7261681686905</v>
      </c>
    </row>
    <row r="903" spans="1:6" s="10" customFormat="1" x14ac:dyDescent="0.3">
      <c r="A903" s="24">
        <v>42501</v>
      </c>
      <c r="B903" s="10">
        <v>7848.8500979999999</v>
      </c>
      <c r="C903" s="10">
        <f t="shared" si="56"/>
        <v>7834.8674560500003</v>
      </c>
      <c r="D903" s="10">
        <f t="shared" si="53"/>
        <v>89.731591053539262</v>
      </c>
      <c r="E903" s="10">
        <f t="shared" si="54"/>
        <v>8014.3306381570792</v>
      </c>
      <c r="F903" s="10">
        <f t="shared" si="55"/>
        <v>7655.4042739429215</v>
      </c>
    </row>
    <row r="904" spans="1:6" s="10" customFormat="1" x14ac:dyDescent="0.3">
      <c r="A904" s="24">
        <v>42502</v>
      </c>
      <c r="B904" s="10">
        <v>7900.3999020000001</v>
      </c>
      <c r="C904" s="10">
        <f t="shared" si="56"/>
        <v>7846.3174560500001</v>
      </c>
      <c r="D904" s="10">
        <f t="shared" si="53"/>
        <v>82.057175340411135</v>
      </c>
      <c r="E904" s="10">
        <f t="shared" si="54"/>
        <v>8010.4318067308222</v>
      </c>
      <c r="F904" s="10">
        <f t="shared" si="55"/>
        <v>7682.203105369178</v>
      </c>
    </row>
    <row r="905" spans="1:6" s="10" customFormat="1" x14ac:dyDescent="0.3">
      <c r="A905" s="24">
        <v>42503</v>
      </c>
      <c r="B905" s="10">
        <v>7814.8999020000001</v>
      </c>
      <c r="C905" s="10">
        <f t="shared" si="56"/>
        <v>7851.6149414000001</v>
      </c>
      <c r="D905" s="10">
        <f t="shared" si="53"/>
        <v>75.912086183374399</v>
      </c>
      <c r="E905" s="10">
        <f t="shared" si="54"/>
        <v>8003.439113766749</v>
      </c>
      <c r="F905" s="10">
        <f t="shared" si="55"/>
        <v>7699.7907690332513</v>
      </c>
    </row>
    <row r="906" spans="1:6" s="10" customFormat="1" x14ac:dyDescent="0.3">
      <c r="A906" s="24">
        <v>42506</v>
      </c>
      <c r="B906" s="10">
        <v>7860.75</v>
      </c>
      <c r="C906" s="10">
        <f t="shared" si="56"/>
        <v>7852.1299316500008</v>
      </c>
      <c r="D906" s="10">
        <f t="shared" si="53"/>
        <v>75.938701078333892</v>
      </c>
      <c r="E906" s="10">
        <f t="shared" si="54"/>
        <v>8004.0073338066686</v>
      </c>
      <c r="F906" s="10">
        <f t="shared" si="55"/>
        <v>7700.252529493333</v>
      </c>
    </row>
    <row r="907" spans="1:6" s="10" customFormat="1" x14ac:dyDescent="0.3">
      <c r="A907" s="24">
        <v>42507</v>
      </c>
      <c r="B907" s="10">
        <v>7890.75</v>
      </c>
      <c r="C907" s="10">
        <f t="shared" si="56"/>
        <v>7850.9324219</v>
      </c>
      <c r="D907" s="10">
        <f t="shared" si="53"/>
        <v>75.084104190416738</v>
      </c>
      <c r="E907" s="10">
        <f t="shared" si="54"/>
        <v>8001.1006302808337</v>
      </c>
      <c r="F907" s="10">
        <f t="shared" si="55"/>
        <v>7700.7642135191663</v>
      </c>
    </row>
    <row r="908" spans="1:6" s="10" customFormat="1" x14ac:dyDescent="0.3">
      <c r="A908" s="24">
        <v>42508</v>
      </c>
      <c r="B908" s="10">
        <v>7870.1499020000001</v>
      </c>
      <c r="C908" s="10">
        <f t="shared" si="56"/>
        <v>7848.7024170000004</v>
      </c>
      <c r="D908" s="10">
        <f t="shared" si="53"/>
        <v>73.739227998054986</v>
      </c>
      <c r="E908" s="10">
        <f t="shared" si="54"/>
        <v>7996.1808729961103</v>
      </c>
      <c r="F908" s="10">
        <f t="shared" si="55"/>
        <v>7701.2239610038905</v>
      </c>
    </row>
    <row r="909" spans="1:6" s="10" customFormat="1" x14ac:dyDescent="0.3">
      <c r="A909" s="24">
        <v>42509</v>
      </c>
      <c r="B909" s="10">
        <v>7783.3999020000001</v>
      </c>
      <c r="C909" s="10">
        <f t="shared" si="56"/>
        <v>7842.2699218500002</v>
      </c>
      <c r="D909" s="10">
        <f t="shared" si="53"/>
        <v>73.533375233377356</v>
      </c>
      <c r="E909" s="10">
        <f t="shared" si="54"/>
        <v>7989.3366723167546</v>
      </c>
      <c r="F909" s="10">
        <f t="shared" si="55"/>
        <v>7695.2031713832457</v>
      </c>
    </row>
    <row r="910" spans="1:6" s="10" customFormat="1" x14ac:dyDescent="0.3">
      <c r="A910" s="24">
        <v>42510</v>
      </c>
      <c r="B910" s="10">
        <v>7749.7001950000003</v>
      </c>
      <c r="C910" s="10">
        <f t="shared" si="56"/>
        <v>7834.7899413500027</v>
      </c>
      <c r="D910" s="10">
        <f t="shared" si="53"/>
        <v>75.020605163344456</v>
      </c>
      <c r="E910" s="10">
        <f t="shared" si="54"/>
        <v>7984.8311516766917</v>
      </c>
      <c r="F910" s="10">
        <f t="shared" si="55"/>
        <v>7684.7487310233137</v>
      </c>
    </row>
    <row r="911" spans="1:6" s="10" customFormat="1" x14ac:dyDescent="0.3">
      <c r="A911" s="24">
        <v>42513</v>
      </c>
      <c r="B911" s="10">
        <v>7731.0498049999997</v>
      </c>
      <c r="C911" s="10">
        <f t="shared" si="56"/>
        <v>7828.589941350001</v>
      </c>
      <c r="D911" s="10">
        <f t="shared" si="53"/>
        <v>78.309939745930564</v>
      </c>
      <c r="E911" s="10">
        <f t="shared" si="54"/>
        <v>7985.209820841862</v>
      </c>
      <c r="F911" s="10">
        <f t="shared" si="55"/>
        <v>7671.9700618581401</v>
      </c>
    </row>
    <row r="912" spans="1:6" s="10" customFormat="1" x14ac:dyDescent="0.3">
      <c r="A912" s="24">
        <v>42514</v>
      </c>
      <c r="B912" s="10">
        <v>7748.8500979999999</v>
      </c>
      <c r="C912" s="10">
        <f t="shared" si="56"/>
        <v>7817.8999511500006</v>
      </c>
      <c r="D912" s="10">
        <f t="shared" si="53"/>
        <v>73.490901103718912</v>
      </c>
      <c r="E912" s="10">
        <f t="shared" si="54"/>
        <v>7964.8817533574384</v>
      </c>
      <c r="F912" s="10">
        <f t="shared" si="55"/>
        <v>7670.9181489425628</v>
      </c>
    </row>
    <row r="913" spans="1:6" s="10" customFormat="1" x14ac:dyDescent="0.3">
      <c r="A913" s="24">
        <v>42515</v>
      </c>
      <c r="B913" s="10">
        <v>7934.8999020000001</v>
      </c>
      <c r="C913" s="10">
        <f t="shared" si="56"/>
        <v>7815.6499511500006</v>
      </c>
      <c r="D913" s="10">
        <f t="shared" si="53"/>
        <v>68.809842005339249</v>
      </c>
      <c r="E913" s="10">
        <f t="shared" si="54"/>
        <v>7953.2696351606792</v>
      </c>
      <c r="F913" s="10">
        <f t="shared" si="55"/>
        <v>7678.0302671393219</v>
      </c>
    </row>
    <row r="914" spans="1:6" s="10" customFormat="1" x14ac:dyDescent="0.3">
      <c r="A914" s="24">
        <v>42516</v>
      </c>
      <c r="B914" s="10">
        <v>8069.6499020000001</v>
      </c>
      <c r="C914" s="10">
        <f t="shared" si="56"/>
        <v>7826.7699462500004</v>
      </c>
      <c r="D914" s="10">
        <f t="shared" si="53"/>
        <v>89.149613720329384</v>
      </c>
      <c r="E914" s="10">
        <f t="shared" si="54"/>
        <v>8005.0691736906592</v>
      </c>
      <c r="F914" s="10">
        <f t="shared" si="55"/>
        <v>7648.4707188093416</v>
      </c>
    </row>
    <row r="915" spans="1:6" s="10" customFormat="1" x14ac:dyDescent="0.3">
      <c r="A915" s="24">
        <v>42517</v>
      </c>
      <c r="B915" s="10">
        <v>8156.6499020000001</v>
      </c>
      <c r="C915" s="10">
        <f t="shared" si="56"/>
        <v>7842.1124511000016</v>
      </c>
      <c r="D915" s="10">
        <f t="shared" si="53"/>
        <v>115.75563658285239</v>
      </c>
      <c r="E915" s="10">
        <f t="shared" si="54"/>
        <v>8073.6237242657062</v>
      </c>
      <c r="F915" s="10">
        <f t="shared" si="55"/>
        <v>7610.6011779342971</v>
      </c>
    </row>
    <row r="916" spans="1:6" s="10" customFormat="1" x14ac:dyDescent="0.3">
      <c r="A916" s="24">
        <v>42520</v>
      </c>
      <c r="B916" s="10">
        <v>8178.5</v>
      </c>
      <c r="C916" s="10">
        <f t="shared" si="56"/>
        <v>7860.7424560000018</v>
      </c>
      <c r="D916" s="10">
        <f t="shared" si="53"/>
        <v>137.55222420755729</v>
      </c>
      <c r="E916" s="10">
        <f t="shared" si="54"/>
        <v>8135.8469044151161</v>
      </c>
      <c r="F916" s="10">
        <f t="shared" si="55"/>
        <v>7585.6380075848874</v>
      </c>
    </row>
    <row r="917" spans="1:6" s="10" customFormat="1" x14ac:dyDescent="0.3">
      <c r="A917" s="24">
        <v>42521</v>
      </c>
      <c r="B917" s="10">
        <v>8160.1000979999999</v>
      </c>
      <c r="C917" s="10">
        <f t="shared" si="56"/>
        <v>7881.3974608999997</v>
      </c>
      <c r="D917" s="10">
        <f t="shared" ref="D917:D980" si="57">_xlfn.STDEV.S(B898:B917)</f>
        <v>150.0239876053131</v>
      </c>
      <c r="E917" s="10">
        <f t="shared" si="54"/>
        <v>8181.4454361106255</v>
      </c>
      <c r="F917" s="10">
        <f t="shared" si="55"/>
        <v>7581.349485689374</v>
      </c>
    </row>
    <row r="918" spans="1:6" s="10" customFormat="1" x14ac:dyDescent="0.3">
      <c r="A918" s="24">
        <v>42522</v>
      </c>
      <c r="B918" s="10">
        <v>8179.9501950000003</v>
      </c>
      <c r="C918" s="10">
        <f t="shared" si="56"/>
        <v>7905.0674804000009</v>
      </c>
      <c r="D918" s="10">
        <f t="shared" si="57"/>
        <v>158.11278054890818</v>
      </c>
      <c r="E918" s="10">
        <f t="shared" ref="E918:E981" si="58">C918+2*D918</f>
        <v>8221.2930414978182</v>
      </c>
      <c r="F918" s="10">
        <f t="shared" ref="F918:F981" si="59">C918-2*D918</f>
        <v>7588.8419193021846</v>
      </c>
    </row>
    <row r="919" spans="1:6" s="10" customFormat="1" x14ac:dyDescent="0.3">
      <c r="A919" s="24">
        <v>42523</v>
      </c>
      <c r="B919" s="10">
        <v>8218.9501949999994</v>
      </c>
      <c r="C919" s="10">
        <f t="shared" si="56"/>
        <v>7929.2399901500012</v>
      </c>
      <c r="D919" s="10">
        <f t="shared" si="57"/>
        <v>167.50120182576225</v>
      </c>
      <c r="E919" s="10">
        <f t="shared" si="58"/>
        <v>8264.2423938015254</v>
      </c>
      <c r="F919" s="10">
        <f t="shared" si="59"/>
        <v>7594.237586498477</v>
      </c>
    </row>
    <row r="920" spans="1:6" s="10" customFormat="1" x14ac:dyDescent="0.3">
      <c r="A920" s="24">
        <v>42524</v>
      </c>
      <c r="B920" s="10">
        <v>8220.7998050000006</v>
      </c>
      <c r="C920" s="10">
        <f t="shared" si="56"/>
        <v>7953.6074706500021</v>
      </c>
      <c r="D920" s="10">
        <f t="shared" si="57"/>
        <v>172.88182749474768</v>
      </c>
      <c r="E920" s="10">
        <f t="shared" si="58"/>
        <v>8299.3711256394981</v>
      </c>
      <c r="F920" s="10">
        <f t="shared" si="59"/>
        <v>7607.8438156605071</v>
      </c>
    </row>
    <row r="921" spans="1:6" s="10" customFormat="1" x14ac:dyDescent="0.3">
      <c r="A921" s="24">
        <v>42527</v>
      </c>
      <c r="B921" s="10">
        <v>8201.0498050000006</v>
      </c>
      <c r="C921" s="10">
        <f t="shared" si="56"/>
        <v>7970.3574706500003</v>
      </c>
      <c r="D921" s="10">
        <f t="shared" si="57"/>
        <v>180.03282058895033</v>
      </c>
      <c r="E921" s="10">
        <f t="shared" si="58"/>
        <v>8330.4231118279004</v>
      </c>
      <c r="F921" s="10">
        <f t="shared" si="59"/>
        <v>7610.2918294720994</v>
      </c>
    </row>
    <row r="922" spans="1:6" s="10" customFormat="1" x14ac:dyDescent="0.3">
      <c r="A922" s="24">
        <v>42528</v>
      </c>
      <c r="B922" s="10">
        <v>8266.4501949999994</v>
      </c>
      <c r="C922" s="10">
        <f t="shared" si="56"/>
        <v>7989.2899901500004</v>
      </c>
      <c r="D922" s="10">
        <f t="shared" si="57"/>
        <v>190.4994599602955</v>
      </c>
      <c r="E922" s="10">
        <f t="shared" si="58"/>
        <v>8370.2889100705906</v>
      </c>
      <c r="F922" s="10">
        <f t="shared" si="59"/>
        <v>7608.2910702294093</v>
      </c>
    </row>
    <row r="923" spans="1:6" s="10" customFormat="1" x14ac:dyDescent="0.3">
      <c r="A923" s="24">
        <v>42529</v>
      </c>
      <c r="B923" s="10">
        <v>8273.0498050000006</v>
      </c>
      <c r="C923" s="10">
        <f t="shared" si="56"/>
        <v>8010.4999754999999</v>
      </c>
      <c r="D923" s="10">
        <f t="shared" si="57"/>
        <v>197.52546009162825</v>
      </c>
      <c r="E923" s="10">
        <f t="shared" si="58"/>
        <v>8405.5508956832564</v>
      </c>
      <c r="F923" s="10">
        <f t="shared" si="59"/>
        <v>7615.4490553167434</v>
      </c>
    </row>
    <row r="924" spans="1:6" s="10" customFormat="1" x14ac:dyDescent="0.3">
      <c r="A924" s="24">
        <v>42530</v>
      </c>
      <c r="B924" s="10">
        <v>8203.5996090000008</v>
      </c>
      <c r="C924" s="10">
        <f t="shared" si="56"/>
        <v>8025.6599608499992</v>
      </c>
      <c r="D924" s="10">
        <f t="shared" si="57"/>
        <v>200.2470552330511</v>
      </c>
      <c r="E924" s="10">
        <f t="shared" si="58"/>
        <v>8426.1540713161012</v>
      </c>
      <c r="F924" s="10">
        <f t="shared" si="59"/>
        <v>7625.1658503838971</v>
      </c>
    </row>
    <row r="925" spans="1:6" s="10" customFormat="1" x14ac:dyDescent="0.3">
      <c r="A925" s="24">
        <v>42531</v>
      </c>
      <c r="B925" s="10">
        <v>8170.0498049999997</v>
      </c>
      <c r="C925" s="10">
        <f t="shared" si="56"/>
        <v>8043.4174559999983</v>
      </c>
      <c r="D925" s="10">
        <f t="shared" si="57"/>
        <v>196.28132756566049</v>
      </c>
      <c r="E925" s="10">
        <f t="shared" si="58"/>
        <v>8435.9801111313191</v>
      </c>
      <c r="F925" s="10">
        <f t="shared" si="59"/>
        <v>7650.8548008686776</v>
      </c>
    </row>
    <row r="926" spans="1:6" s="10" customFormat="1" x14ac:dyDescent="0.3">
      <c r="A926" s="24">
        <v>42534</v>
      </c>
      <c r="B926" s="10">
        <v>8110.6000979999999</v>
      </c>
      <c r="C926" s="10">
        <f t="shared" si="56"/>
        <v>8055.9099608999986</v>
      </c>
      <c r="D926" s="10">
        <f t="shared" si="57"/>
        <v>191.94649553276446</v>
      </c>
      <c r="E926" s="10">
        <f t="shared" si="58"/>
        <v>8439.8029519655283</v>
      </c>
      <c r="F926" s="10">
        <f t="shared" si="59"/>
        <v>7672.0169698344698</v>
      </c>
    </row>
    <row r="927" spans="1:6" s="10" customFormat="1" x14ac:dyDescent="0.3">
      <c r="A927" s="24">
        <v>42535</v>
      </c>
      <c r="B927" s="10">
        <v>8108.8500979999999</v>
      </c>
      <c r="C927" s="10">
        <f t="shared" si="56"/>
        <v>8066.8149657999984</v>
      </c>
      <c r="D927" s="10">
        <f t="shared" si="57"/>
        <v>188.22888482868802</v>
      </c>
      <c r="E927" s="10">
        <f t="shared" si="58"/>
        <v>8443.2727354573744</v>
      </c>
      <c r="F927" s="10">
        <f t="shared" si="59"/>
        <v>7690.3571961426223</v>
      </c>
    </row>
    <row r="928" spans="1:6" s="10" customFormat="1" x14ac:dyDescent="0.3">
      <c r="A928" s="24">
        <v>42536</v>
      </c>
      <c r="B928" s="10">
        <v>8206.5996090000008</v>
      </c>
      <c r="C928" s="10">
        <f t="shared" si="56"/>
        <v>8083.6374511499989</v>
      </c>
      <c r="D928" s="10">
        <f t="shared" si="57"/>
        <v>184.72950744281738</v>
      </c>
      <c r="E928" s="10">
        <f t="shared" si="58"/>
        <v>8453.0964660356331</v>
      </c>
      <c r="F928" s="10">
        <f t="shared" si="59"/>
        <v>7714.1784362643639</v>
      </c>
    </row>
    <row r="929" spans="1:6" s="10" customFormat="1" x14ac:dyDescent="0.3">
      <c r="A929" s="24">
        <v>42537</v>
      </c>
      <c r="B929" s="10">
        <v>8140.75</v>
      </c>
      <c r="C929" s="10">
        <f t="shared" si="56"/>
        <v>8101.5049560500001</v>
      </c>
      <c r="D929" s="10">
        <f t="shared" si="57"/>
        <v>170.92767478962483</v>
      </c>
      <c r="E929" s="10">
        <f t="shared" si="58"/>
        <v>8443.3603056292504</v>
      </c>
      <c r="F929" s="10">
        <f t="shared" si="59"/>
        <v>7759.6496064707508</v>
      </c>
    </row>
    <row r="930" spans="1:6" s="10" customFormat="1" x14ac:dyDescent="0.3">
      <c r="A930" s="24">
        <v>42538</v>
      </c>
      <c r="B930" s="10">
        <v>8170.2001950000003</v>
      </c>
      <c r="C930" s="10">
        <f t="shared" si="56"/>
        <v>8122.5299560500007</v>
      </c>
      <c r="D930" s="10">
        <f t="shared" si="57"/>
        <v>149.95096806126807</v>
      </c>
      <c r="E930" s="10">
        <f t="shared" si="58"/>
        <v>8422.4318921725371</v>
      </c>
      <c r="F930" s="10">
        <f t="shared" si="59"/>
        <v>7822.6280199274643</v>
      </c>
    </row>
    <row r="931" spans="1:6" s="10" customFormat="1" x14ac:dyDescent="0.3">
      <c r="A931" s="24">
        <v>42541</v>
      </c>
      <c r="B931" s="10">
        <v>8238.5</v>
      </c>
      <c r="C931" s="10">
        <f t="shared" si="56"/>
        <v>8147.9024658000008</v>
      </c>
      <c r="D931" s="10">
        <f t="shared" si="57"/>
        <v>120.20544278663182</v>
      </c>
      <c r="E931" s="10">
        <f t="shared" si="58"/>
        <v>8388.3133513732646</v>
      </c>
      <c r="F931" s="10">
        <f t="shared" si="59"/>
        <v>7907.4915802267369</v>
      </c>
    </row>
    <row r="932" spans="1:6" s="10" customFormat="1" x14ac:dyDescent="0.3">
      <c r="A932" s="24">
        <v>42542</v>
      </c>
      <c r="B932" s="10">
        <v>8219.9003909999992</v>
      </c>
      <c r="C932" s="10">
        <f t="shared" si="56"/>
        <v>8171.4549804500002</v>
      </c>
      <c r="D932" s="10">
        <f t="shared" si="57"/>
        <v>75.875282395944737</v>
      </c>
      <c r="E932" s="10">
        <f t="shared" si="58"/>
        <v>8323.2055452418899</v>
      </c>
      <c r="F932" s="10">
        <f t="shared" si="59"/>
        <v>8019.7044156581105</v>
      </c>
    </row>
    <row r="933" spans="1:6" s="10" customFormat="1" x14ac:dyDescent="0.3">
      <c r="A933" s="24">
        <v>42543</v>
      </c>
      <c r="B933" s="10">
        <v>8203.7001949999994</v>
      </c>
      <c r="C933" s="10">
        <f t="shared" si="56"/>
        <v>8184.8949951000004</v>
      </c>
      <c r="D933" s="10">
        <f t="shared" si="57"/>
        <v>51.734585774370579</v>
      </c>
      <c r="E933" s="10">
        <f t="shared" si="58"/>
        <v>8288.364166648742</v>
      </c>
      <c r="F933" s="10">
        <f t="shared" si="59"/>
        <v>8081.4258235512589</v>
      </c>
    </row>
    <row r="934" spans="1:6" s="10" customFormat="1" x14ac:dyDescent="0.3">
      <c r="A934" s="24">
        <v>42544</v>
      </c>
      <c r="B934" s="10">
        <v>8270.4501949999994</v>
      </c>
      <c r="C934" s="10">
        <f t="shared" si="56"/>
        <v>8194.935009750001</v>
      </c>
      <c r="D934" s="10">
        <f t="shared" si="57"/>
        <v>47.503519427802928</v>
      </c>
      <c r="E934" s="10">
        <f t="shared" si="58"/>
        <v>8289.942048605606</v>
      </c>
      <c r="F934" s="10">
        <f t="shared" si="59"/>
        <v>8099.927970894395</v>
      </c>
    </row>
    <row r="935" spans="1:6" s="10" customFormat="1" x14ac:dyDescent="0.3">
      <c r="A935" s="24">
        <v>42545</v>
      </c>
      <c r="B935" s="10">
        <v>8088.6000979999999</v>
      </c>
      <c r="C935" s="10">
        <f t="shared" si="56"/>
        <v>8191.53251955</v>
      </c>
      <c r="D935" s="10">
        <f t="shared" si="57"/>
        <v>52.558202320832976</v>
      </c>
      <c r="E935" s="10">
        <f t="shared" si="58"/>
        <v>8296.6489241916661</v>
      </c>
      <c r="F935" s="10">
        <f t="shared" si="59"/>
        <v>8086.4161149083338</v>
      </c>
    </row>
    <row r="936" spans="1:6" s="10" customFormat="1" x14ac:dyDescent="0.3">
      <c r="A936" s="24">
        <v>42548</v>
      </c>
      <c r="B936" s="10">
        <v>8094.7001950000003</v>
      </c>
      <c r="C936" s="10">
        <f t="shared" si="56"/>
        <v>8187.3425293000009</v>
      </c>
      <c r="D936" s="10">
        <f t="shared" si="57"/>
        <v>56.819409275902629</v>
      </c>
      <c r="E936" s="10">
        <f t="shared" si="58"/>
        <v>8300.9813478518063</v>
      </c>
      <c r="F936" s="10">
        <f t="shared" si="59"/>
        <v>8073.7037107481956</v>
      </c>
    </row>
    <row r="937" spans="1:6" s="10" customFormat="1" x14ac:dyDescent="0.3">
      <c r="A937" s="24">
        <v>42549</v>
      </c>
      <c r="B937" s="10">
        <v>8127.8500979999999</v>
      </c>
      <c r="C937" s="10">
        <f t="shared" si="56"/>
        <v>8185.7300293000008</v>
      </c>
      <c r="D937" s="10">
        <f t="shared" si="57"/>
        <v>58.076925544188057</v>
      </c>
      <c r="E937" s="10">
        <f t="shared" si="58"/>
        <v>8301.8838803883773</v>
      </c>
      <c r="F937" s="10">
        <f t="shared" si="59"/>
        <v>8069.5761782116242</v>
      </c>
    </row>
    <row r="938" spans="1:6" s="10" customFormat="1" x14ac:dyDescent="0.3">
      <c r="A938" s="24">
        <v>42550</v>
      </c>
      <c r="B938" s="10">
        <v>8204</v>
      </c>
      <c r="C938" s="10">
        <f t="shared" si="56"/>
        <v>8186.9325195500005</v>
      </c>
      <c r="D938" s="10">
        <f t="shared" si="57"/>
        <v>58.199801962700953</v>
      </c>
      <c r="E938" s="10">
        <f t="shared" si="58"/>
        <v>8303.3321234754021</v>
      </c>
      <c r="F938" s="10">
        <f t="shared" si="59"/>
        <v>8070.5329156245989</v>
      </c>
    </row>
    <row r="939" spans="1:6" s="10" customFormat="1" x14ac:dyDescent="0.3">
      <c r="A939" s="24">
        <v>42551</v>
      </c>
      <c r="B939" s="10">
        <v>8287.75</v>
      </c>
      <c r="C939" s="10">
        <f t="shared" si="56"/>
        <v>8190.3725098000014</v>
      </c>
      <c r="D939" s="10">
        <f t="shared" si="57"/>
        <v>62.094785011183689</v>
      </c>
      <c r="E939" s="10">
        <f t="shared" si="58"/>
        <v>8314.5620798223681</v>
      </c>
      <c r="F939" s="10">
        <f t="shared" si="59"/>
        <v>8066.1829397776337</v>
      </c>
    </row>
    <row r="940" spans="1:6" s="10" customFormat="1" x14ac:dyDescent="0.3">
      <c r="A940" s="24">
        <v>42552</v>
      </c>
      <c r="B940" s="10">
        <v>8328.3496090000008</v>
      </c>
      <c r="C940" s="10">
        <f t="shared" si="56"/>
        <v>8195.75</v>
      </c>
      <c r="D940" s="10">
        <f t="shared" si="57"/>
        <v>69.127264702429088</v>
      </c>
      <c r="E940" s="10">
        <f t="shared" si="58"/>
        <v>8334.0045294048577</v>
      </c>
      <c r="F940" s="10">
        <f t="shared" si="59"/>
        <v>8057.4954705951423</v>
      </c>
    </row>
    <row r="941" spans="1:6" s="10" customFormat="1" x14ac:dyDescent="0.3">
      <c r="A941" s="24">
        <v>42555</v>
      </c>
      <c r="B941" s="10">
        <v>8370.7001949999994</v>
      </c>
      <c r="C941" s="10">
        <f t="shared" si="56"/>
        <v>8204.2325194999994</v>
      </c>
      <c r="D941" s="10">
        <f t="shared" si="57"/>
        <v>79.449890144568641</v>
      </c>
      <c r="E941" s="10">
        <f t="shared" si="58"/>
        <v>8363.1322997891366</v>
      </c>
      <c r="F941" s="10">
        <f t="shared" si="59"/>
        <v>8045.3327392108622</v>
      </c>
    </row>
    <row r="942" spans="1:6" s="10" customFormat="1" x14ac:dyDescent="0.3">
      <c r="A942" s="24">
        <v>42556</v>
      </c>
      <c r="B942" s="10">
        <v>8335.9501949999994</v>
      </c>
      <c r="C942" s="10">
        <f t="shared" si="56"/>
        <v>8207.7075194999998</v>
      </c>
      <c r="D942" s="10">
        <f t="shared" si="57"/>
        <v>83.719585280172168</v>
      </c>
      <c r="E942" s="10">
        <f t="shared" si="58"/>
        <v>8375.1466900603446</v>
      </c>
      <c r="F942" s="10">
        <f t="shared" si="59"/>
        <v>8040.268348939655</v>
      </c>
    </row>
    <row r="943" spans="1:6" s="10" customFormat="1" x14ac:dyDescent="0.3">
      <c r="A943" s="24">
        <v>42558</v>
      </c>
      <c r="B943" s="10">
        <v>8337.9003909999992</v>
      </c>
      <c r="C943" s="10">
        <f t="shared" si="56"/>
        <v>8210.9500488000012</v>
      </c>
      <c r="D943" s="10">
        <f t="shared" si="57"/>
        <v>87.551698958543454</v>
      </c>
      <c r="E943" s="10">
        <f t="shared" si="58"/>
        <v>8386.0534467170874</v>
      </c>
      <c r="F943" s="10">
        <f t="shared" si="59"/>
        <v>8035.8466508829142</v>
      </c>
    </row>
    <row r="944" spans="1:6" s="10" customFormat="1" x14ac:dyDescent="0.3">
      <c r="A944" s="24">
        <v>42559</v>
      </c>
      <c r="B944" s="10">
        <v>8323.2001949999994</v>
      </c>
      <c r="C944" s="10">
        <f t="shared" si="56"/>
        <v>8216.930078100002</v>
      </c>
      <c r="D944" s="10">
        <f t="shared" si="57"/>
        <v>91.038323673434562</v>
      </c>
      <c r="E944" s="10">
        <f t="shared" si="58"/>
        <v>8399.0067254468704</v>
      </c>
      <c r="F944" s="10">
        <f t="shared" si="59"/>
        <v>8034.8534307531327</v>
      </c>
    </row>
    <row r="945" spans="1:6" s="10" customFormat="1" x14ac:dyDescent="0.3">
      <c r="A945" s="24">
        <v>42562</v>
      </c>
      <c r="B945" s="10">
        <v>8467.9003909999992</v>
      </c>
      <c r="C945" s="10">
        <f t="shared" si="56"/>
        <v>8231.8226074000013</v>
      </c>
      <c r="D945" s="10">
        <f t="shared" si="57"/>
        <v>106.08441041783101</v>
      </c>
      <c r="E945" s="10">
        <f t="shared" si="58"/>
        <v>8443.991428235664</v>
      </c>
      <c r="F945" s="10">
        <f t="shared" si="59"/>
        <v>8019.6537865643395</v>
      </c>
    </row>
    <row r="946" spans="1:6" s="10" customFormat="1" x14ac:dyDescent="0.3">
      <c r="A946" s="24">
        <v>42563</v>
      </c>
      <c r="B946" s="10">
        <v>8521.0498050000006</v>
      </c>
      <c r="C946" s="10">
        <f t="shared" si="56"/>
        <v>8252.3450927499998</v>
      </c>
      <c r="D946" s="10">
        <f t="shared" si="57"/>
        <v>120.16614977600038</v>
      </c>
      <c r="E946" s="10">
        <f t="shared" si="58"/>
        <v>8492.677392302001</v>
      </c>
      <c r="F946" s="10">
        <f t="shared" si="59"/>
        <v>8012.0127931979987</v>
      </c>
    </row>
    <row r="947" spans="1:6" s="10" customFormat="1" x14ac:dyDescent="0.3">
      <c r="A947" s="24">
        <v>42564</v>
      </c>
      <c r="B947" s="10">
        <v>8519.5</v>
      </c>
      <c r="C947" s="10">
        <f t="shared" ref="C947:C1010" si="60">AVERAGE(B928:B947)</f>
        <v>8272.8775878499982</v>
      </c>
      <c r="D947" s="10">
        <f t="shared" si="57"/>
        <v>129.10775412658384</v>
      </c>
      <c r="E947" s="10">
        <f t="shared" si="58"/>
        <v>8531.0930961031663</v>
      </c>
      <c r="F947" s="10">
        <f t="shared" si="59"/>
        <v>8014.6620795968302</v>
      </c>
    </row>
    <row r="948" spans="1:6" s="10" customFormat="1" x14ac:dyDescent="0.3">
      <c r="A948" s="24">
        <v>42565</v>
      </c>
      <c r="B948" s="10">
        <v>8565</v>
      </c>
      <c r="C948" s="10">
        <f t="shared" si="60"/>
        <v>8290.7976073999998</v>
      </c>
      <c r="D948" s="10">
        <f t="shared" si="57"/>
        <v>143.49539191630106</v>
      </c>
      <c r="E948" s="10">
        <f t="shared" si="58"/>
        <v>8577.7883912326015</v>
      </c>
      <c r="F948" s="10">
        <f t="shared" si="59"/>
        <v>8003.8068235673982</v>
      </c>
    </row>
    <row r="949" spans="1:6" s="10" customFormat="1" x14ac:dyDescent="0.3">
      <c r="A949" s="24">
        <v>42566</v>
      </c>
      <c r="B949" s="10">
        <v>8541.4003909999992</v>
      </c>
      <c r="C949" s="10">
        <f t="shared" si="60"/>
        <v>8310.8301269499989</v>
      </c>
      <c r="D949" s="10">
        <f t="shared" si="57"/>
        <v>149.29466736946506</v>
      </c>
      <c r="E949" s="10">
        <f t="shared" si="58"/>
        <v>8609.419461688929</v>
      </c>
      <c r="F949" s="10">
        <f t="shared" si="59"/>
        <v>8012.2407922110688</v>
      </c>
    </row>
    <row r="950" spans="1:6" s="10" customFormat="1" x14ac:dyDescent="0.3">
      <c r="A950" s="24">
        <v>42569</v>
      </c>
      <c r="B950" s="10">
        <v>8508.7001949999994</v>
      </c>
      <c r="C950" s="10">
        <f t="shared" si="60"/>
        <v>8327.75512695</v>
      </c>
      <c r="D950" s="10">
        <f t="shared" si="57"/>
        <v>151.68105907567943</v>
      </c>
      <c r="E950" s="10">
        <f t="shared" si="58"/>
        <v>8631.117245101359</v>
      </c>
      <c r="F950" s="10">
        <f t="shared" si="59"/>
        <v>8024.3930087986409</v>
      </c>
    </row>
    <row r="951" spans="1:6" s="10" customFormat="1" x14ac:dyDescent="0.3">
      <c r="A951" s="24">
        <v>42570</v>
      </c>
      <c r="B951" s="10">
        <v>8528.5498050000006</v>
      </c>
      <c r="C951" s="10">
        <f t="shared" si="60"/>
        <v>8342.2576172000008</v>
      </c>
      <c r="D951" s="10">
        <f t="shared" si="57"/>
        <v>156.48798685041058</v>
      </c>
      <c r="E951" s="10">
        <f t="shared" si="58"/>
        <v>8655.2335909008216</v>
      </c>
      <c r="F951" s="10">
        <f t="shared" si="59"/>
        <v>8029.2816434991801</v>
      </c>
    </row>
    <row r="952" spans="1:6" s="10" customFormat="1" x14ac:dyDescent="0.3">
      <c r="A952" s="24">
        <v>42571</v>
      </c>
      <c r="B952" s="10">
        <v>8565.8496090000008</v>
      </c>
      <c r="C952" s="10">
        <f t="shared" si="60"/>
        <v>8359.5550781000002</v>
      </c>
      <c r="D952" s="10">
        <f t="shared" si="57"/>
        <v>161.29726650592494</v>
      </c>
      <c r="E952" s="10">
        <f t="shared" si="58"/>
        <v>8682.1496111118504</v>
      </c>
      <c r="F952" s="10">
        <f t="shared" si="59"/>
        <v>8036.96054508815</v>
      </c>
    </row>
    <row r="953" spans="1:6" s="10" customFormat="1" x14ac:dyDescent="0.3">
      <c r="A953" s="24">
        <v>42572</v>
      </c>
      <c r="B953" s="10">
        <v>8510.0996090000008</v>
      </c>
      <c r="C953" s="10">
        <f t="shared" si="60"/>
        <v>8374.8750487999987</v>
      </c>
      <c r="D953" s="10">
        <f t="shared" si="57"/>
        <v>160.26265228256321</v>
      </c>
      <c r="E953" s="10">
        <f t="shared" si="58"/>
        <v>8695.4003533651248</v>
      </c>
      <c r="F953" s="10">
        <f t="shared" si="59"/>
        <v>8054.3497442348726</v>
      </c>
    </row>
    <row r="954" spans="1:6" s="10" customFormat="1" x14ac:dyDescent="0.3">
      <c r="A954" s="24">
        <v>42573</v>
      </c>
      <c r="B954" s="10">
        <v>8541.2001949999994</v>
      </c>
      <c r="C954" s="10">
        <f t="shared" si="60"/>
        <v>8388.4125488000009</v>
      </c>
      <c r="D954" s="10">
        <f t="shared" si="57"/>
        <v>162.39854527778795</v>
      </c>
      <c r="E954" s="10">
        <f t="shared" si="58"/>
        <v>8713.2096393555767</v>
      </c>
      <c r="F954" s="10">
        <f t="shared" si="59"/>
        <v>8063.6154582444251</v>
      </c>
    </row>
    <row r="955" spans="1:6" s="10" customFormat="1" x14ac:dyDescent="0.3">
      <c r="A955" s="24">
        <v>42576</v>
      </c>
      <c r="B955" s="10">
        <v>8635.6503909999992</v>
      </c>
      <c r="C955" s="10">
        <f t="shared" si="60"/>
        <v>8415.7650634500005</v>
      </c>
      <c r="D955" s="10">
        <f t="shared" si="57"/>
        <v>155.15159080649468</v>
      </c>
      <c r="E955" s="10">
        <f t="shared" si="58"/>
        <v>8726.0682450629902</v>
      </c>
      <c r="F955" s="10">
        <f t="shared" si="59"/>
        <v>8105.4618818370109</v>
      </c>
    </row>
    <row r="956" spans="1:6" s="10" customFormat="1" x14ac:dyDescent="0.3">
      <c r="A956" s="24">
        <v>42577</v>
      </c>
      <c r="B956" s="10">
        <v>8590.6503909999992</v>
      </c>
      <c r="C956" s="10">
        <f t="shared" si="60"/>
        <v>8440.5625732500012</v>
      </c>
      <c r="D956" s="10">
        <f t="shared" si="57"/>
        <v>140.03236555577288</v>
      </c>
      <c r="E956" s="10">
        <f t="shared" si="58"/>
        <v>8720.6273043615474</v>
      </c>
      <c r="F956" s="10">
        <f t="shared" si="59"/>
        <v>8160.4978421384558</v>
      </c>
    </row>
    <row r="957" spans="1:6" s="10" customFormat="1" x14ac:dyDescent="0.3">
      <c r="A957" s="24">
        <v>42578</v>
      </c>
      <c r="B957" s="10">
        <v>8615.7998050000006</v>
      </c>
      <c r="C957" s="10">
        <f t="shared" si="60"/>
        <v>8464.9600585999997</v>
      </c>
      <c r="D957" s="10">
        <f t="shared" si="57"/>
        <v>124.30574658480698</v>
      </c>
      <c r="E957" s="10">
        <f t="shared" si="58"/>
        <v>8713.5715517696135</v>
      </c>
      <c r="F957" s="10">
        <f t="shared" si="59"/>
        <v>8216.3485654303859</v>
      </c>
    </row>
    <row r="958" spans="1:6" s="10" customFormat="1" x14ac:dyDescent="0.3">
      <c r="A958" s="24">
        <v>42579</v>
      </c>
      <c r="B958" s="10">
        <v>8666.2998050000006</v>
      </c>
      <c r="C958" s="10">
        <f t="shared" si="60"/>
        <v>8488.0750488499998</v>
      </c>
      <c r="D958" s="10">
        <f t="shared" si="57"/>
        <v>115.92600631366183</v>
      </c>
      <c r="E958" s="10">
        <f t="shared" si="58"/>
        <v>8719.9270614773232</v>
      </c>
      <c r="F958" s="10">
        <f t="shared" si="59"/>
        <v>8256.2230362226765</v>
      </c>
    </row>
    <row r="959" spans="1:6" s="10" customFormat="1" x14ac:dyDescent="0.3">
      <c r="A959" s="24">
        <v>42580</v>
      </c>
      <c r="B959" s="10">
        <v>8638.5</v>
      </c>
      <c r="C959" s="10">
        <f t="shared" si="60"/>
        <v>8505.6125488499983</v>
      </c>
      <c r="D959" s="10">
        <f t="shared" si="57"/>
        <v>110.42601773504597</v>
      </c>
      <c r="E959" s="10">
        <f t="shared" si="58"/>
        <v>8726.4645843200906</v>
      </c>
      <c r="F959" s="10">
        <f t="shared" si="59"/>
        <v>8284.7605133799061</v>
      </c>
    </row>
    <row r="960" spans="1:6" s="10" customFormat="1" x14ac:dyDescent="0.3">
      <c r="A960" s="24">
        <v>42583</v>
      </c>
      <c r="B960" s="10">
        <v>8636.5498050000006</v>
      </c>
      <c r="C960" s="10">
        <f t="shared" si="60"/>
        <v>8521.0225586499982</v>
      </c>
      <c r="D960" s="10">
        <f t="shared" si="57"/>
        <v>105.79455006028324</v>
      </c>
      <c r="E960" s="10">
        <f t="shared" si="58"/>
        <v>8732.6116587705656</v>
      </c>
      <c r="F960" s="10">
        <f t="shared" si="59"/>
        <v>8309.4334585294309</v>
      </c>
    </row>
    <row r="961" spans="1:6" s="10" customFormat="1" x14ac:dyDescent="0.3">
      <c r="A961" s="24">
        <v>42584</v>
      </c>
      <c r="B961" s="10">
        <v>8622.9003909999992</v>
      </c>
      <c r="C961" s="10">
        <f t="shared" si="60"/>
        <v>8533.6325684499989</v>
      </c>
      <c r="D961" s="10">
        <f t="shared" si="57"/>
        <v>101.89243099687027</v>
      </c>
      <c r="E961" s="10">
        <f t="shared" si="58"/>
        <v>8737.4174304437402</v>
      </c>
      <c r="F961" s="10">
        <f t="shared" si="59"/>
        <v>8329.8477064562576</v>
      </c>
    </row>
    <row r="962" spans="1:6" s="10" customFormat="1" x14ac:dyDescent="0.3">
      <c r="A962" s="24">
        <v>42585</v>
      </c>
      <c r="B962" s="10">
        <v>8544.8496090000008</v>
      </c>
      <c r="C962" s="10">
        <f t="shared" si="60"/>
        <v>8544.0775391499992</v>
      </c>
      <c r="D962" s="10">
        <f t="shared" si="57"/>
        <v>90.648202398057606</v>
      </c>
      <c r="E962" s="10">
        <f t="shared" si="58"/>
        <v>8725.3739439461151</v>
      </c>
      <c r="F962" s="10">
        <f t="shared" si="59"/>
        <v>8362.7811343538833</v>
      </c>
    </row>
    <row r="963" spans="1:6" s="10" customFormat="1" x14ac:dyDescent="0.3">
      <c r="A963" s="24">
        <v>42586</v>
      </c>
      <c r="B963" s="10">
        <v>8551.0996090000008</v>
      </c>
      <c r="C963" s="10">
        <f t="shared" si="60"/>
        <v>8554.7375000499997</v>
      </c>
      <c r="D963" s="10">
        <f t="shared" si="57"/>
        <v>76.568659618570422</v>
      </c>
      <c r="E963" s="10">
        <f t="shared" si="58"/>
        <v>8707.8748192871408</v>
      </c>
      <c r="F963" s="10">
        <f t="shared" si="59"/>
        <v>8401.6001808128585</v>
      </c>
    </row>
    <row r="964" spans="1:6" s="10" customFormat="1" x14ac:dyDescent="0.3">
      <c r="A964" s="24">
        <v>42587</v>
      </c>
      <c r="B964" s="10">
        <v>8683.1503909999992</v>
      </c>
      <c r="C964" s="10">
        <f t="shared" si="60"/>
        <v>8572.7350098499992</v>
      </c>
      <c r="D964" s="10">
        <f t="shared" si="57"/>
        <v>59.733871565646957</v>
      </c>
      <c r="E964" s="10">
        <f t="shared" si="58"/>
        <v>8692.2027529812931</v>
      </c>
      <c r="F964" s="10">
        <f t="shared" si="59"/>
        <v>8453.2672667187053</v>
      </c>
    </row>
    <row r="965" spans="1:6" s="10" customFormat="1" x14ac:dyDescent="0.3">
      <c r="A965" s="24">
        <v>42590</v>
      </c>
      <c r="B965" s="10">
        <v>8711.3496090000008</v>
      </c>
      <c r="C965" s="10">
        <f t="shared" si="60"/>
        <v>8584.9074707500004</v>
      </c>
      <c r="D965" s="10">
        <f t="shared" si="57"/>
        <v>62.008024324977384</v>
      </c>
      <c r="E965" s="10">
        <f t="shared" si="58"/>
        <v>8708.9235193999557</v>
      </c>
      <c r="F965" s="10">
        <f t="shared" si="59"/>
        <v>8460.891422100045</v>
      </c>
    </row>
    <row r="966" spans="1:6" s="10" customFormat="1" x14ac:dyDescent="0.3">
      <c r="A966" s="24">
        <v>42591</v>
      </c>
      <c r="B966" s="10">
        <v>8678.25</v>
      </c>
      <c r="C966" s="10">
        <f t="shared" si="60"/>
        <v>8592.7674805000006</v>
      </c>
      <c r="D966" s="10">
        <f t="shared" si="57"/>
        <v>63.434316530192035</v>
      </c>
      <c r="E966" s="10">
        <f t="shared" si="58"/>
        <v>8719.6361135603838</v>
      </c>
      <c r="F966" s="10">
        <f t="shared" si="59"/>
        <v>8465.8988474396174</v>
      </c>
    </row>
    <row r="967" spans="1:6" s="10" customFormat="1" x14ac:dyDescent="0.3">
      <c r="A967" s="24">
        <v>42592</v>
      </c>
      <c r="B967" s="10">
        <v>8575.2998050000006</v>
      </c>
      <c r="C967" s="10">
        <f t="shared" si="60"/>
        <v>8595.55747075</v>
      </c>
      <c r="D967" s="10">
        <f t="shared" si="57"/>
        <v>61.231077780062328</v>
      </c>
      <c r="E967" s="10">
        <f t="shared" si="58"/>
        <v>8718.0196263101243</v>
      </c>
      <c r="F967" s="10">
        <f t="shared" si="59"/>
        <v>8473.0953151898757</v>
      </c>
    </row>
    <row r="968" spans="1:6" s="10" customFormat="1" x14ac:dyDescent="0.3">
      <c r="A968" s="24">
        <v>42593</v>
      </c>
      <c r="B968" s="10">
        <v>8592.1503909999992</v>
      </c>
      <c r="C968" s="10">
        <f t="shared" si="60"/>
        <v>8596.9149902999998</v>
      </c>
      <c r="D968" s="10">
        <f t="shared" si="57"/>
        <v>60.817520338894859</v>
      </c>
      <c r="E968" s="10">
        <f t="shared" si="58"/>
        <v>8718.550030977789</v>
      </c>
      <c r="F968" s="10">
        <f t="shared" si="59"/>
        <v>8475.2799496222106</v>
      </c>
    </row>
    <row r="969" spans="1:6" s="10" customFormat="1" x14ac:dyDescent="0.3">
      <c r="A969" s="24">
        <v>42598</v>
      </c>
      <c r="B969" s="10">
        <v>8642.5498050000006</v>
      </c>
      <c r="C969" s="10">
        <f t="shared" si="60"/>
        <v>8601.9724609999994</v>
      </c>
      <c r="D969" s="10">
        <f t="shared" si="57"/>
        <v>60.160202880966708</v>
      </c>
      <c r="E969" s="10">
        <f t="shared" si="58"/>
        <v>8722.2928667619326</v>
      </c>
      <c r="F969" s="10">
        <f t="shared" si="59"/>
        <v>8481.6520552380662</v>
      </c>
    </row>
    <row r="970" spans="1:6" s="10" customFormat="1" x14ac:dyDescent="0.3">
      <c r="A970" s="24">
        <v>42599</v>
      </c>
      <c r="B970" s="10">
        <v>8624.0498050000006</v>
      </c>
      <c r="C970" s="10">
        <f t="shared" si="60"/>
        <v>8607.7399415</v>
      </c>
      <c r="D970" s="10">
        <f t="shared" si="57"/>
        <v>56.142753710549187</v>
      </c>
      <c r="E970" s="10">
        <f t="shared" si="58"/>
        <v>8720.0254489210984</v>
      </c>
      <c r="F970" s="10">
        <f t="shared" si="59"/>
        <v>8495.4544340789016</v>
      </c>
    </row>
    <row r="971" spans="1:6" s="10" customFormat="1" x14ac:dyDescent="0.3">
      <c r="A971" s="24">
        <v>42600</v>
      </c>
      <c r="B971" s="10">
        <v>8673.25</v>
      </c>
      <c r="C971" s="10">
        <f t="shared" si="60"/>
        <v>8614.9749512499984</v>
      </c>
      <c r="D971" s="10">
        <f t="shared" si="57"/>
        <v>54.705791964113885</v>
      </c>
      <c r="E971" s="10">
        <f t="shared" si="58"/>
        <v>8724.386535178226</v>
      </c>
      <c r="F971" s="10">
        <f t="shared" si="59"/>
        <v>8505.5633673217708</v>
      </c>
    </row>
    <row r="972" spans="1:6" s="10" customFormat="1" x14ac:dyDescent="0.3">
      <c r="A972" s="24">
        <v>42601</v>
      </c>
      <c r="B972" s="10">
        <v>8666.9003909999992</v>
      </c>
      <c r="C972" s="10">
        <f t="shared" si="60"/>
        <v>8620.0274903499994</v>
      </c>
      <c r="D972" s="10">
        <f t="shared" si="57"/>
        <v>54.596191706838752</v>
      </c>
      <c r="E972" s="10">
        <f t="shared" si="58"/>
        <v>8729.2198737636772</v>
      </c>
      <c r="F972" s="10">
        <f t="shared" si="59"/>
        <v>8510.8351069363216</v>
      </c>
    </row>
    <row r="973" spans="1:6" s="10" customFormat="1" x14ac:dyDescent="0.3">
      <c r="A973" s="24">
        <v>42604</v>
      </c>
      <c r="B973" s="10">
        <v>8629.1503909999992</v>
      </c>
      <c r="C973" s="10">
        <f t="shared" si="60"/>
        <v>8625.9800294499983</v>
      </c>
      <c r="D973" s="10">
        <f t="shared" si="57"/>
        <v>48.081385287610644</v>
      </c>
      <c r="E973" s="10">
        <f t="shared" si="58"/>
        <v>8722.1428000252199</v>
      </c>
      <c r="F973" s="10">
        <f t="shared" si="59"/>
        <v>8529.8172588747766</v>
      </c>
    </row>
    <row r="974" spans="1:6" s="10" customFormat="1" x14ac:dyDescent="0.3">
      <c r="A974" s="24">
        <v>42605</v>
      </c>
      <c r="B974" s="10">
        <v>8632.5996090000008</v>
      </c>
      <c r="C974" s="10">
        <f t="shared" si="60"/>
        <v>8630.5500001500004</v>
      </c>
      <c r="D974" s="10">
        <f t="shared" si="57"/>
        <v>43.747528334638325</v>
      </c>
      <c r="E974" s="10">
        <f t="shared" si="58"/>
        <v>8718.0450568192773</v>
      </c>
      <c r="F974" s="10">
        <f t="shared" si="59"/>
        <v>8543.0549434807235</v>
      </c>
    </row>
    <row r="975" spans="1:6" s="10" customFormat="1" x14ac:dyDescent="0.3">
      <c r="A975" s="24">
        <v>42606</v>
      </c>
      <c r="B975" s="10">
        <v>8650.2998050000006</v>
      </c>
      <c r="C975" s="10">
        <f t="shared" si="60"/>
        <v>8631.2824708500011</v>
      </c>
      <c r="D975" s="10">
        <f t="shared" si="57"/>
        <v>43.95954420689003</v>
      </c>
      <c r="E975" s="10">
        <f t="shared" si="58"/>
        <v>8719.2015592637817</v>
      </c>
      <c r="F975" s="10">
        <f t="shared" si="59"/>
        <v>8543.3633824362205</v>
      </c>
    </row>
    <row r="976" spans="1:6" s="10" customFormat="1" x14ac:dyDescent="0.3">
      <c r="A976" s="24">
        <v>42607</v>
      </c>
      <c r="B976" s="10">
        <v>8592.2001949999994</v>
      </c>
      <c r="C976" s="10">
        <f t="shared" si="60"/>
        <v>8631.3599610499987</v>
      </c>
      <c r="D976" s="10">
        <f t="shared" si="57"/>
        <v>43.885453343862096</v>
      </c>
      <c r="E976" s="10">
        <f t="shared" si="58"/>
        <v>8719.1308677377237</v>
      </c>
      <c r="F976" s="10">
        <f t="shared" si="59"/>
        <v>8543.5890543622736</v>
      </c>
    </row>
    <row r="977" spans="1:6" s="10" customFormat="1" x14ac:dyDescent="0.3">
      <c r="A977" s="24">
        <v>42608</v>
      </c>
      <c r="B977" s="10">
        <v>8572.5498050000006</v>
      </c>
      <c r="C977" s="10">
        <f t="shared" si="60"/>
        <v>8629.1974610500001</v>
      </c>
      <c r="D977" s="10">
        <f t="shared" si="57"/>
        <v>45.719807501813406</v>
      </c>
      <c r="E977" s="10">
        <f t="shared" si="58"/>
        <v>8720.6370760536265</v>
      </c>
      <c r="F977" s="10">
        <f t="shared" si="59"/>
        <v>8537.7578460463737</v>
      </c>
    </row>
    <row r="978" spans="1:6" s="10" customFormat="1" x14ac:dyDescent="0.3">
      <c r="A978" s="24">
        <v>42611</v>
      </c>
      <c r="B978" s="10">
        <v>8607.4501949999994</v>
      </c>
      <c r="C978" s="10">
        <f t="shared" si="60"/>
        <v>8626.2549805500003</v>
      </c>
      <c r="D978" s="10">
        <f t="shared" si="57"/>
        <v>45.095752505239439</v>
      </c>
      <c r="E978" s="10">
        <f t="shared" si="58"/>
        <v>8716.4464855604783</v>
      </c>
      <c r="F978" s="10">
        <f t="shared" si="59"/>
        <v>8536.0634755395222</v>
      </c>
    </row>
    <row r="979" spans="1:6" s="10" customFormat="1" x14ac:dyDescent="0.3">
      <c r="A979" s="24">
        <v>42612</v>
      </c>
      <c r="B979" s="10">
        <v>8744.3496090000008</v>
      </c>
      <c r="C979" s="10">
        <f t="shared" si="60"/>
        <v>8631.5474610000001</v>
      </c>
      <c r="D979" s="10">
        <f t="shared" si="57"/>
        <v>52.251972900250912</v>
      </c>
      <c r="E979" s="10">
        <f t="shared" si="58"/>
        <v>8736.0514068005014</v>
      </c>
      <c r="F979" s="10">
        <f t="shared" si="59"/>
        <v>8527.0435151994989</v>
      </c>
    </row>
    <row r="980" spans="1:6" s="10" customFormat="1" x14ac:dyDescent="0.3">
      <c r="A980" s="24">
        <v>42613</v>
      </c>
      <c r="B980" s="10">
        <v>8786.2001949999994</v>
      </c>
      <c r="C980" s="10">
        <f t="shared" si="60"/>
        <v>8639.0299805000013</v>
      </c>
      <c r="D980" s="10">
        <f t="shared" si="57"/>
        <v>62.680387050086829</v>
      </c>
      <c r="E980" s="10">
        <f t="shared" si="58"/>
        <v>8764.3907546001756</v>
      </c>
      <c r="F980" s="10">
        <f t="shared" si="59"/>
        <v>8513.6692063998271</v>
      </c>
    </row>
    <row r="981" spans="1:6" s="10" customFormat="1" x14ac:dyDescent="0.3">
      <c r="A981" s="24">
        <v>42614</v>
      </c>
      <c r="B981" s="10">
        <v>8774.6503909999992</v>
      </c>
      <c r="C981" s="10">
        <f t="shared" si="60"/>
        <v>8646.617480500001</v>
      </c>
      <c r="D981" s="10">
        <f t="shared" ref="D981:D1044" si="61">_xlfn.STDEV.S(B962:B981)</f>
        <v>69.444834772863118</v>
      </c>
      <c r="E981" s="10">
        <f t="shared" si="58"/>
        <v>8785.507150045727</v>
      </c>
      <c r="F981" s="10">
        <f t="shared" si="59"/>
        <v>8507.7278109542749</v>
      </c>
    </row>
    <row r="982" spans="1:6" s="10" customFormat="1" x14ac:dyDescent="0.3">
      <c r="A982" s="24">
        <v>42615</v>
      </c>
      <c r="B982" s="10">
        <v>8809.6503909999992</v>
      </c>
      <c r="C982" s="10">
        <f t="shared" si="60"/>
        <v>8659.857519600002</v>
      </c>
      <c r="D982" s="10">
        <f t="shared" si="61"/>
        <v>74.107380833151311</v>
      </c>
      <c r="E982" s="10">
        <f t="shared" ref="E982:E1045" si="62">C982+2*D982</f>
        <v>8808.0722812663043</v>
      </c>
      <c r="F982" s="10">
        <f t="shared" ref="F982:F1045" si="63">C982-2*D982</f>
        <v>8511.6427579336996</v>
      </c>
    </row>
    <row r="983" spans="1:6" s="10" customFormat="1" x14ac:dyDescent="0.3">
      <c r="A983" s="24">
        <v>42619</v>
      </c>
      <c r="B983" s="10">
        <v>8943</v>
      </c>
      <c r="C983" s="10">
        <f t="shared" si="60"/>
        <v>8679.4525391500028</v>
      </c>
      <c r="D983" s="10">
        <f t="shared" si="61"/>
        <v>93.191443940540211</v>
      </c>
      <c r="E983" s="10">
        <f t="shared" si="62"/>
        <v>8865.8354270310829</v>
      </c>
      <c r="F983" s="10">
        <f t="shared" si="63"/>
        <v>8493.0696512689228</v>
      </c>
    </row>
    <row r="984" spans="1:6" s="10" customFormat="1" x14ac:dyDescent="0.3">
      <c r="A984" s="24">
        <v>42620</v>
      </c>
      <c r="B984" s="10">
        <v>8917.9501949999994</v>
      </c>
      <c r="C984" s="10">
        <f t="shared" si="60"/>
        <v>8691.1925293500008</v>
      </c>
      <c r="D984" s="10">
        <f t="shared" si="61"/>
        <v>107.38988720164348</v>
      </c>
      <c r="E984" s="10">
        <f t="shared" si="62"/>
        <v>8905.9723037532876</v>
      </c>
      <c r="F984" s="10">
        <f t="shared" si="63"/>
        <v>8476.4127549467139</v>
      </c>
    </row>
    <row r="985" spans="1:6" s="10" customFormat="1" x14ac:dyDescent="0.3">
      <c r="A985" s="24">
        <v>42621</v>
      </c>
      <c r="B985" s="10">
        <v>8952.5</v>
      </c>
      <c r="C985" s="10">
        <f t="shared" si="60"/>
        <v>8703.2500488999995</v>
      </c>
      <c r="D985" s="10">
        <f t="shared" si="61"/>
        <v>122.27810846675963</v>
      </c>
      <c r="E985" s="10">
        <f t="shared" si="62"/>
        <v>8947.8062658335184</v>
      </c>
      <c r="F985" s="10">
        <f t="shared" si="63"/>
        <v>8458.6938319664805</v>
      </c>
    </row>
    <row r="986" spans="1:6" s="10" customFormat="1" x14ac:dyDescent="0.3">
      <c r="A986" s="24">
        <v>42622</v>
      </c>
      <c r="B986" s="10">
        <v>8866.7001949999994</v>
      </c>
      <c r="C986" s="10">
        <f t="shared" si="60"/>
        <v>8712.6725586499997</v>
      </c>
      <c r="D986" s="10">
        <f t="shared" si="61"/>
        <v>127.40363838671747</v>
      </c>
      <c r="E986" s="10">
        <f t="shared" si="62"/>
        <v>8967.4798354234354</v>
      </c>
      <c r="F986" s="10">
        <f t="shared" si="63"/>
        <v>8457.865281876564</v>
      </c>
    </row>
    <row r="987" spans="1:6" s="10" customFormat="1" x14ac:dyDescent="0.3">
      <c r="A987" s="24">
        <v>42625</v>
      </c>
      <c r="B987" s="10">
        <v>8715.5996090000008</v>
      </c>
      <c r="C987" s="10">
        <f t="shared" si="60"/>
        <v>8719.6875488500009</v>
      </c>
      <c r="D987" s="10">
        <f t="shared" si="61"/>
        <v>123.23600525597047</v>
      </c>
      <c r="E987" s="10">
        <f t="shared" si="62"/>
        <v>8966.1595593619422</v>
      </c>
      <c r="F987" s="10">
        <f t="shared" si="63"/>
        <v>8473.2155383380596</v>
      </c>
    </row>
    <row r="988" spans="1:6" s="10" customFormat="1" x14ac:dyDescent="0.3">
      <c r="A988" s="24">
        <v>42627</v>
      </c>
      <c r="B988" s="10">
        <v>8726.5996090000008</v>
      </c>
      <c r="C988" s="10">
        <f t="shared" si="60"/>
        <v>8726.4100097500013</v>
      </c>
      <c r="D988" s="10">
        <f t="shared" si="61"/>
        <v>119.52391682477142</v>
      </c>
      <c r="E988" s="10">
        <f t="shared" si="62"/>
        <v>8965.4578433995448</v>
      </c>
      <c r="F988" s="10">
        <f t="shared" si="63"/>
        <v>8487.3621761004579</v>
      </c>
    </row>
    <row r="989" spans="1:6" s="10" customFormat="1" x14ac:dyDescent="0.3">
      <c r="A989" s="24">
        <v>42628</v>
      </c>
      <c r="B989" s="10">
        <v>8742.5498050000006</v>
      </c>
      <c r="C989" s="10">
        <f t="shared" si="60"/>
        <v>8731.4100097499995</v>
      </c>
      <c r="D989" s="10">
        <f t="shared" si="61"/>
        <v>117.91194891005094</v>
      </c>
      <c r="E989" s="10">
        <f t="shared" si="62"/>
        <v>8967.233907570102</v>
      </c>
      <c r="F989" s="10">
        <f t="shared" si="63"/>
        <v>8495.586111929897</v>
      </c>
    </row>
    <row r="990" spans="1:6" s="10" customFormat="1" x14ac:dyDescent="0.3">
      <c r="A990" s="24">
        <v>42629</v>
      </c>
      <c r="B990" s="10">
        <v>8779.8496090000008</v>
      </c>
      <c r="C990" s="10">
        <f t="shared" si="60"/>
        <v>8739.1999999500003</v>
      </c>
      <c r="D990" s="10">
        <f t="shared" si="61"/>
        <v>115.56903347869157</v>
      </c>
      <c r="E990" s="10">
        <f t="shared" si="62"/>
        <v>8970.3380669073831</v>
      </c>
      <c r="F990" s="10">
        <f t="shared" si="63"/>
        <v>8508.0619329926176</v>
      </c>
    </row>
    <row r="991" spans="1:6" s="10" customFormat="1" x14ac:dyDescent="0.3">
      <c r="A991" s="24">
        <v>42632</v>
      </c>
      <c r="B991" s="10">
        <v>8808.4003909999992</v>
      </c>
      <c r="C991" s="10">
        <f t="shared" si="60"/>
        <v>8745.9575194999998</v>
      </c>
      <c r="D991" s="10">
        <f t="shared" si="61"/>
        <v>115.46105260478073</v>
      </c>
      <c r="E991" s="10">
        <f t="shared" si="62"/>
        <v>8976.8796247095615</v>
      </c>
      <c r="F991" s="10">
        <f t="shared" si="63"/>
        <v>8515.035414290438</v>
      </c>
    </row>
    <row r="992" spans="1:6" s="10" customFormat="1" x14ac:dyDescent="0.3">
      <c r="A992" s="24">
        <v>42633</v>
      </c>
      <c r="B992" s="10">
        <v>8775.9003909999992</v>
      </c>
      <c r="C992" s="10">
        <f t="shared" si="60"/>
        <v>8751.4075195000005</v>
      </c>
      <c r="D992" s="10">
        <f t="shared" si="61"/>
        <v>114.09745019764436</v>
      </c>
      <c r="E992" s="10">
        <f t="shared" si="62"/>
        <v>8979.6024198952891</v>
      </c>
      <c r="F992" s="10">
        <f t="shared" si="63"/>
        <v>8523.2126191047118</v>
      </c>
    </row>
    <row r="993" spans="1:6" s="10" customFormat="1" x14ac:dyDescent="0.3">
      <c r="A993" s="24">
        <v>42634</v>
      </c>
      <c r="B993" s="10">
        <v>8777.1503909999992</v>
      </c>
      <c r="C993" s="10">
        <f t="shared" si="60"/>
        <v>8758.8075195000001</v>
      </c>
      <c r="D993" s="10">
        <f t="shared" si="61"/>
        <v>110.49339695786411</v>
      </c>
      <c r="E993" s="10">
        <f t="shared" si="62"/>
        <v>8979.7943134157285</v>
      </c>
      <c r="F993" s="10">
        <f t="shared" si="63"/>
        <v>8537.8207255842717</v>
      </c>
    </row>
    <row r="994" spans="1:6" s="10" customFormat="1" x14ac:dyDescent="0.3">
      <c r="A994" s="24">
        <v>42635</v>
      </c>
      <c r="B994" s="10">
        <v>8867.4501949999994</v>
      </c>
      <c r="C994" s="10">
        <f t="shared" si="60"/>
        <v>8770.5500487999998</v>
      </c>
      <c r="D994" s="10">
        <f t="shared" si="61"/>
        <v>108.84176806487427</v>
      </c>
      <c r="E994" s="10">
        <f t="shared" si="62"/>
        <v>8988.2335849297488</v>
      </c>
      <c r="F994" s="10">
        <f t="shared" si="63"/>
        <v>8552.8665126702508</v>
      </c>
    </row>
    <row r="995" spans="1:6" s="10" customFormat="1" x14ac:dyDescent="0.3">
      <c r="A995" s="24">
        <v>42636</v>
      </c>
      <c r="B995" s="10">
        <v>8831.5498050000006</v>
      </c>
      <c r="C995" s="10">
        <f t="shared" si="60"/>
        <v>8779.6125487999998</v>
      </c>
      <c r="D995" s="10">
        <f t="shared" si="61"/>
        <v>105.80576793345388</v>
      </c>
      <c r="E995" s="10">
        <f t="shared" si="62"/>
        <v>8991.2240846669083</v>
      </c>
      <c r="F995" s="10">
        <f t="shared" si="63"/>
        <v>8568.0010129330913</v>
      </c>
    </row>
    <row r="996" spans="1:6" s="10" customFormat="1" x14ac:dyDescent="0.3">
      <c r="A996" s="24">
        <v>42639</v>
      </c>
      <c r="B996" s="10">
        <v>8723.0498050000006</v>
      </c>
      <c r="C996" s="10">
        <f t="shared" si="60"/>
        <v>8786.1550293</v>
      </c>
      <c r="D996" s="10">
        <f t="shared" si="61"/>
        <v>97.311821816381439</v>
      </c>
      <c r="E996" s="10">
        <f t="shared" si="62"/>
        <v>8980.7786729327636</v>
      </c>
      <c r="F996" s="10">
        <f t="shared" si="63"/>
        <v>8591.5313856672365</v>
      </c>
    </row>
    <row r="997" spans="1:6" s="10" customFormat="1" x14ac:dyDescent="0.3">
      <c r="A997" s="24">
        <v>42640</v>
      </c>
      <c r="B997" s="10">
        <v>8706.4003909999992</v>
      </c>
      <c r="C997" s="10">
        <f t="shared" si="60"/>
        <v>8792.8475585999986</v>
      </c>
      <c r="D997" s="10">
        <f t="shared" si="61"/>
        <v>85.765909726394199</v>
      </c>
      <c r="E997" s="10">
        <f t="shared" si="62"/>
        <v>8964.3793780527867</v>
      </c>
      <c r="F997" s="10">
        <f t="shared" si="63"/>
        <v>8621.3157391472105</v>
      </c>
    </row>
    <row r="998" spans="1:6" s="10" customFormat="1" x14ac:dyDescent="0.3">
      <c r="A998" s="24">
        <v>42641</v>
      </c>
      <c r="B998" s="10">
        <v>8745.1503909999992</v>
      </c>
      <c r="C998" s="10">
        <f t="shared" si="60"/>
        <v>8799.7325683999989</v>
      </c>
      <c r="D998" s="10">
        <f t="shared" si="61"/>
        <v>74.943769911017057</v>
      </c>
      <c r="E998" s="10">
        <f t="shared" si="62"/>
        <v>8949.6201082220323</v>
      </c>
      <c r="F998" s="10">
        <f t="shared" si="63"/>
        <v>8649.8450285779654</v>
      </c>
    </row>
    <row r="999" spans="1:6" s="10" customFormat="1" x14ac:dyDescent="0.3">
      <c r="A999" s="24">
        <v>42642</v>
      </c>
      <c r="B999" s="10">
        <v>8591.25</v>
      </c>
      <c r="C999" s="10">
        <f t="shared" si="60"/>
        <v>8792.0775879499997</v>
      </c>
      <c r="D999" s="10">
        <f t="shared" si="61"/>
        <v>87.641776550610274</v>
      </c>
      <c r="E999" s="10">
        <f t="shared" si="62"/>
        <v>8967.3611410512203</v>
      </c>
      <c r="F999" s="10">
        <f t="shared" si="63"/>
        <v>8616.7940348487791</v>
      </c>
    </row>
    <row r="1000" spans="1:6" s="10" customFormat="1" x14ac:dyDescent="0.3">
      <c r="A1000" s="24">
        <v>42643</v>
      </c>
      <c r="B1000" s="10">
        <v>8611.1503909999992</v>
      </c>
      <c r="C1000" s="10">
        <f t="shared" si="60"/>
        <v>8783.3250977499993</v>
      </c>
      <c r="D1000" s="10">
        <f t="shared" si="61"/>
        <v>96.54792213312858</v>
      </c>
      <c r="E1000" s="10">
        <f t="shared" si="62"/>
        <v>8976.420942016257</v>
      </c>
      <c r="F1000" s="10">
        <f t="shared" si="63"/>
        <v>8590.2292534837416</v>
      </c>
    </row>
    <row r="1001" spans="1:6" s="10" customFormat="1" x14ac:dyDescent="0.3">
      <c r="A1001" s="24">
        <v>42646</v>
      </c>
      <c r="B1001" s="10">
        <v>8738.0996090000008</v>
      </c>
      <c r="C1001" s="10">
        <f t="shared" si="60"/>
        <v>8781.4975586500004</v>
      </c>
      <c r="D1001" s="10">
        <f t="shared" si="61"/>
        <v>97.065311818086727</v>
      </c>
      <c r="E1001" s="10">
        <f t="shared" si="62"/>
        <v>8975.6281822861747</v>
      </c>
      <c r="F1001" s="10">
        <f t="shared" si="63"/>
        <v>8587.3669350138262</v>
      </c>
    </row>
    <row r="1002" spans="1:6" s="10" customFormat="1" x14ac:dyDescent="0.3">
      <c r="A1002" s="24">
        <v>42647</v>
      </c>
      <c r="B1002" s="10">
        <v>8769.1503909999992</v>
      </c>
      <c r="C1002" s="10">
        <f t="shared" si="60"/>
        <v>8779.4725586500008</v>
      </c>
      <c r="D1002" s="10">
        <f t="shared" si="61"/>
        <v>96.86933100238852</v>
      </c>
      <c r="E1002" s="10">
        <f t="shared" si="62"/>
        <v>8973.2112206547772</v>
      </c>
      <c r="F1002" s="10">
        <f t="shared" si="63"/>
        <v>8585.7338966452244</v>
      </c>
    </row>
    <row r="1003" spans="1:6" s="10" customFormat="1" x14ac:dyDescent="0.3">
      <c r="A1003" s="24">
        <v>42648</v>
      </c>
      <c r="B1003" s="10">
        <v>8743.9501949999994</v>
      </c>
      <c r="C1003" s="10">
        <f t="shared" si="60"/>
        <v>8769.520068400001</v>
      </c>
      <c r="D1003" s="10">
        <f t="shared" si="61"/>
        <v>89.097596248937236</v>
      </c>
      <c r="E1003" s="10">
        <f t="shared" si="62"/>
        <v>8947.7152608978759</v>
      </c>
      <c r="F1003" s="10">
        <f t="shared" si="63"/>
        <v>8591.3248759021262</v>
      </c>
    </row>
    <row r="1004" spans="1:6" s="10" customFormat="1" x14ac:dyDescent="0.3">
      <c r="A1004" s="24">
        <v>42649</v>
      </c>
      <c r="B1004" s="10">
        <v>8709.5498050000006</v>
      </c>
      <c r="C1004" s="10">
        <f t="shared" si="60"/>
        <v>8759.1000489000016</v>
      </c>
      <c r="D1004" s="10">
        <f t="shared" si="61"/>
        <v>82.787821813419626</v>
      </c>
      <c r="E1004" s="10">
        <f t="shared" si="62"/>
        <v>8924.6756925268401</v>
      </c>
      <c r="F1004" s="10">
        <f t="shared" si="63"/>
        <v>8593.5244052731632</v>
      </c>
    </row>
    <row r="1005" spans="1:6" s="10" customFormat="1" x14ac:dyDescent="0.3">
      <c r="A1005" s="24">
        <v>42650</v>
      </c>
      <c r="B1005" s="10">
        <v>8697.5996090000008</v>
      </c>
      <c r="C1005" s="10">
        <f t="shared" si="60"/>
        <v>8746.3550293500011</v>
      </c>
      <c r="D1005" s="10">
        <f t="shared" si="61"/>
        <v>70.094934844940724</v>
      </c>
      <c r="E1005" s="10">
        <f t="shared" si="62"/>
        <v>8886.5448990398818</v>
      </c>
      <c r="F1005" s="10">
        <f t="shared" si="63"/>
        <v>8606.1651596601205</v>
      </c>
    </row>
    <row r="1006" spans="1:6" s="10" customFormat="1" x14ac:dyDescent="0.3">
      <c r="A1006" s="24">
        <v>42653</v>
      </c>
      <c r="B1006" s="10">
        <v>8708.7998050000006</v>
      </c>
      <c r="C1006" s="10">
        <f t="shared" si="60"/>
        <v>8738.4600098500014</v>
      </c>
      <c r="D1006" s="10">
        <f t="shared" si="61"/>
        <v>64.495412831561978</v>
      </c>
      <c r="E1006" s="10">
        <f t="shared" si="62"/>
        <v>8867.4508355131256</v>
      </c>
      <c r="F1006" s="10">
        <f t="shared" si="63"/>
        <v>8609.4691841868771</v>
      </c>
    </row>
    <row r="1007" spans="1:6" s="10" customFormat="1" x14ac:dyDescent="0.3">
      <c r="A1007" s="24">
        <v>42656</v>
      </c>
      <c r="B1007" s="10">
        <v>8573.3496090000008</v>
      </c>
      <c r="C1007" s="10">
        <f t="shared" si="60"/>
        <v>8731.3475098500003</v>
      </c>
      <c r="D1007" s="10">
        <f t="shared" si="61"/>
        <v>74.254399361704799</v>
      </c>
      <c r="E1007" s="10">
        <f t="shared" si="62"/>
        <v>8879.8563085734095</v>
      </c>
      <c r="F1007" s="10">
        <f t="shared" si="63"/>
        <v>8582.8387111265911</v>
      </c>
    </row>
    <row r="1008" spans="1:6" s="10" customFormat="1" x14ac:dyDescent="0.3">
      <c r="A1008" s="24">
        <v>42657</v>
      </c>
      <c r="B1008" s="10">
        <v>8583.4003909999992</v>
      </c>
      <c r="C1008" s="10">
        <f t="shared" si="60"/>
        <v>8724.187548949998</v>
      </c>
      <c r="D1008" s="10">
        <f t="shared" si="61"/>
        <v>81.305501619550427</v>
      </c>
      <c r="E1008" s="10">
        <f t="shared" si="62"/>
        <v>8886.7985521890987</v>
      </c>
      <c r="F1008" s="10">
        <f t="shared" si="63"/>
        <v>8561.5765457108973</v>
      </c>
    </row>
    <row r="1009" spans="1:6" s="10" customFormat="1" x14ac:dyDescent="0.3">
      <c r="A1009" s="24">
        <v>42660</v>
      </c>
      <c r="B1009" s="10">
        <v>8520.4003909999992</v>
      </c>
      <c r="C1009" s="10">
        <f t="shared" si="60"/>
        <v>8713.0800782499991</v>
      </c>
      <c r="D1009" s="10">
        <f t="shared" si="61"/>
        <v>92.998478332088041</v>
      </c>
      <c r="E1009" s="10">
        <f t="shared" si="62"/>
        <v>8899.0770349141749</v>
      </c>
      <c r="F1009" s="10">
        <f t="shared" si="63"/>
        <v>8527.0831215858234</v>
      </c>
    </row>
    <row r="1010" spans="1:6" s="10" customFormat="1" x14ac:dyDescent="0.3">
      <c r="A1010" s="24">
        <v>42661</v>
      </c>
      <c r="B1010" s="10">
        <v>8677.9003909999992</v>
      </c>
      <c r="C1010" s="10">
        <f t="shared" si="60"/>
        <v>8707.9826173500005</v>
      </c>
      <c r="D1010" s="10">
        <f t="shared" si="61"/>
        <v>91.934009649795485</v>
      </c>
      <c r="E1010" s="10">
        <f t="shared" si="62"/>
        <v>8891.8506366495913</v>
      </c>
      <c r="F1010" s="10">
        <f t="shared" si="63"/>
        <v>8524.1145980504098</v>
      </c>
    </row>
    <row r="1011" spans="1:6" s="10" customFormat="1" x14ac:dyDescent="0.3">
      <c r="A1011" s="24">
        <v>42662</v>
      </c>
      <c r="B1011" s="10">
        <v>8659.0996090000008</v>
      </c>
      <c r="C1011" s="10">
        <f t="shared" ref="C1011:C1074" si="64">AVERAGE(B992:B1011)</f>
        <v>8700.517578250001</v>
      </c>
      <c r="D1011" s="10">
        <f t="shared" si="61"/>
        <v>89.376985010188605</v>
      </c>
      <c r="E1011" s="10">
        <f t="shared" si="62"/>
        <v>8879.2715482703788</v>
      </c>
      <c r="F1011" s="10">
        <f t="shared" si="63"/>
        <v>8521.7636082296231</v>
      </c>
    </row>
    <row r="1012" spans="1:6" s="10" customFormat="1" x14ac:dyDescent="0.3">
      <c r="A1012" s="24">
        <v>42663</v>
      </c>
      <c r="B1012" s="10">
        <v>8699.4003909999992</v>
      </c>
      <c r="C1012" s="10">
        <f t="shared" si="64"/>
        <v>8696.6925782500002</v>
      </c>
      <c r="D1012" s="10">
        <f t="shared" si="61"/>
        <v>87.600387733451029</v>
      </c>
      <c r="E1012" s="10">
        <f t="shared" si="62"/>
        <v>8871.8933537169014</v>
      </c>
      <c r="F1012" s="10">
        <f t="shared" si="63"/>
        <v>8521.491802783099</v>
      </c>
    </row>
    <row r="1013" spans="1:6" s="10" customFormat="1" x14ac:dyDescent="0.3">
      <c r="A1013" s="24">
        <v>42664</v>
      </c>
      <c r="B1013" s="10">
        <v>8693.0498050000006</v>
      </c>
      <c r="C1013" s="10">
        <f t="shared" si="64"/>
        <v>8692.4875489500009</v>
      </c>
      <c r="D1013" s="10">
        <f t="shared" si="61"/>
        <v>85.528971830764974</v>
      </c>
      <c r="E1013" s="10">
        <f t="shared" si="62"/>
        <v>8863.5454926115308</v>
      </c>
      <c r="F1013" s="10">
        <f t="shared" si="63"/>
        <v>8521.4296052884711</v>
      </c>
    </row>
    <row r="1014" spans="1:6" s="10" customFormat="1" x14ac:dyDescent="0.3">
      <c r="A1014" s="24">
        <v>42667</v>
      </c>
      <c r="B1014" s="10">
        <v>8708.9501949999994</v>
      </c>
      <c r="C1014" s="10">
        <f t="shared" si="64"/>
        <v>8684.5625489499998</v>
      </c>
      <c r="D1014" s="10">
        <f t="shared" si="61"/>
        <v>75.181140597149238</v>
      </c>
      <c r="E1014" s="10">
        <f t="shared" si="62"/>
        <v>8834.9248301442985</v>
      </c>
      <c r="F1014" s="10">
        <f t="shared" si="63"/>
        <v>8534.2002677557011</v>
      </c>
    </row>
    <row r="1015" spans="1:6" s="10" customFormat="1" x14ac:dyDescent="0.3">
      <c r="A1015" s="24">
        <v>42668</v>
      </c>
      <c r="B1015" s="10">
        <v>8691.2998050000006</v>
      </c>
      <c r="C1015" s="10">
        <f t="shared" si="64"/>
        <v>8677.5500489500009</v>
      </c>
      <c r="D1015" s="10">
        <f t="shared" si="61"/>
        <v>66.825975166158642</v>
      </c>
      <c r="E1015" s="10">
        <f t="shared" si="62"/>
        <v>8811.2019992823189</v>
      </c>
      <c r="F1015" s="10">
        <f t="shared" si="63"/>
        <v>8543.898098617683</v>
      </c>
    </row>
    <row r="1016" spans="1:6" s="10" customFormat="1" x14ac:dyDescent="0.3">
      <c r="A1016" s="24">
        <v>42669</v>
      </c>
      <c r="B1016" s="10">
        <v>8615.25</v>
      </c>
      <c r="C1016" s="10">
        <f t="shared" si="64"/>
        <v>8672.1600586999994</v>
      </c>
      <c r="D1016" s="10">
        <f t="shared" si="61"/>
        <v>67.308612329960724</v>
      </c>
      <c r="E1016" s="10">
        <f t="shared" si="62"/>
        <v>8806.7772833599211</v>
      </c>
      <c r="F1016" s="10">
        <f t="shared" si="63"/>
        <v>8537.5428340400777</v>
      </c>
    </row>
    <row r="1017" spans="1:6" s="10" customFormat="1" x14ac:dyDescent="0.3">
      <c r="A1017" s="24">
        <v>42670</v>
      </c>
      <c r="B1017" s="10">
        <v>8615.25</v>
      </c>
      <c r="C1017" s="10">
        <f t="shared" si="64"/>
        <v>8667.6025391500007</v>
      </c>
      <c r="D1017" s="10">
        <f t="shared" si="61"/>
        <v>67.95101614908242</v>
      </c>
      <c r="E1017" s="10">
        <f t="shared" si="62"/>
        <v>8803.5045714481657</v>
      </c>
      <c r="F1017" s="10">
        <f t="shared" si="63"/>
        <v>8531.7005068518356</v>
      </c>
    </row>
    <row r="1018" spans="1:6" s="10" customFormat="1" x14ac:dyDescent="0.3">
      <c r="A1018" s="24">
        <v>42671</v>
      </c>
      <c r="B1018" s="10">
        <v>8638</v>
      </c>
      <c r="C1018" s="10">
        <f t="shared" si="64"/>
        <v>8662.2450196000009</v>
      </c>
      <c r="D1018" s="10">
        <f t="shared" si="61"/>
        <v>65.701899356174778</v>
      </c>
      <c r="E1018" s="10">
        <f t="shared" si="62"/>
        <v>8793.6488183123511</v>
      </c>
      <c r="F1018" s="10">
        <f t="shared" si="63"/>
        <v>8530.8412208876507</v>
      </c>
    </row>
    <row r="1019" spans="1:6" s="10" customFormat="1" x14ac:dyDescent="0.3">
      <c r="A1019" s="24">
        <v>42675</v>
      </c>
      <c r="B1019" s="10">
        <v>8626.25</v>
      </c>
      <c r="C1019" s="10">
        <f t="shared" si="64"/>
        <v>8663.9950196000009</v>
      </c>
      <c r="D1019" s="10">
        <f t="shared" si="61"/>
        <v>64.159402899985011</v>
      </c>
      <c r="E1019" s="10">
        <f t="shared" si="62"/>
        <v>8792.3138253999714</v>
      </c>
      <c r="F1019" s="10">
        <f t="shared" si="63"/>
        <v>8535.6762138000304</v>
      </c>
    </row>
    <row r="1020" spans="1:6" s="10" customFormat="1" x14ac:dyDescent="0.3">
      <c r="A1020" s="24">
        <v>42676</v>
      </c>
      <c r="B1020" s="10">
        <v>8514</v>
      </c>
      <c r="C1020" s="10">
        <f t="shared" si="64"/>
        <v>8659.1375000500011</v>
      </c>
      <c r="D1020" s="10">
        <f t="shared" si="61"/>
        <v>71.615270291118492</v>
      </c>
      <c r="E1020" s="10">
        <f t="shared" si="62"/>
        <v>8802.3680406322383</v>
      </c>
      <c r="F1020" s="10">
        <f t="shared" si="63"/>
        <v>8515.906959467764</v>
      </c>
    </row>
    <row r="1021" spans="1:6" s="10" customFormat="1" x14ac:dyDescent="0.3">
      <c r="A1021" s="24">
        <v>42677</v>
      </c>
      <c r="B1021" s="10">
        <v>8484.9501949999994</v>
      </c>
      <c r="C1021" s="10">
        <f t="shared" si="64"/>
        <v>8646.4800293500011</v>
      </c>
      <c r="D1021" s="10">
        <f t="shared" si="61"/>
        <v>78.923068183633958</v>
      </c>
      <c r="E1021" s="10">
        <f t="shared" si="62"/>
        <v>8804.3261657172698</v>
      </c>
      <c r="F1021" s="10">
        <f t="shared" si="63"/>
        <v>8488.6338929827325</v>
      </c>
    </row>
    <row r="1022" spans="1:6" s="10" customFormat="1" x14ac:dyDescent="0.3">
      <c r="A1022" s="24">
        <v>42678</v>
      </c>
      <c r="B1022" s="10">
        <v>8433.75</v>
      </c>
      <c r="C1022" s="10">
        <f t="shared" si="64"/>
        <v>8629.710009800001</v>
      </c>
      <c r="D1022" s="10">
        <f t="shared" si="61"/>
        <v>86.732965803580072</v>
      </c>
      <c r="E1022" s="10">
        <f t="shared" si="62"/>
        <v>8803.1759414071603</v>
      </c>
      <c r="F1022" s="10">
        <f t="shared" si="63"/>
        <v>8456.2440781928417</v>
      </c>
    </row>
    <row r="1023" spans="1:6" s="10" customFormat="1" x14ac:dyDescent="0.3">
      <c r="A1023" s="24">
        <v>42681</v>
      </c>
      <c r="B1023" s="10">
        <v>8497.0498050000006</v>
      </c>
      <c r="C1023" s="10">
        <f t="shared" si="64"/>
        <v>8617.3649903000005</v>
      </c>
      <c r="D1023" s="10">
        <f t="shared" si="61"/>
        <v>87.186871198579126</v>
      </c>
      <c r="E1023" s="10">
        <f t="shared" si="62"/>
        <v>8791.7387326971584</v>
      </c>
      <c r="F1023" s="10">
        <f t="shared" si="63"/>
        <v>8442.9912479028426</v>
      </c>
    </row>
    <row r="1024" spans="1:6" s="10" customFormat="1" x14ac:dyDescent="0.3">
      <c r="A1024" s="24">
        <v>42682</v>
      </c>
      <c r="B1024" s="10">
        <v>8543.5498050000006</v>
      </c>
      <c r="C1024" s="10">
        <f t="shared" si="64"/>
        <v>8609.0649902999994</v>
      </c>
      <c r="D1024" s="10">
        <f t="shared" si="61"/>
        <v>85.84021300255452</v>
      </c>
      <c r="E1024" s="10">
        <f t="shared" si="62"/>
        <v>8780.7454163051079</v>
      </c>
      <c r="F1024" s="10">
        <f t="shared" si="63"/>
        <v>8437.3845642948909</v>
      </c>
    </row>
    <row r="1025" spans="1:6" s="10" customFormat="1" x14ac:dyDescent="0.3">
      <c r="A1025" s="24">
        <v>42683</v>
      </c>
      <c r="B1025" s="10">
        <v>8432</v>
      </c>
      <c r="C1025" s="10">
        <f t="shared" si="64"/>
        <v>8595.7850098499985</v>
      </c>
      <c r="D1025" s="10">
        <f t="shared" si="61"/>
        <v>91.763074692868869</v>
      </c>
      <c r="E1025" s="10">
        <f t="shared" si="62"/>
        <v>8779.3111592357363</v>
      </c>
      <c r="F1025" s="10">
        <f t="shared" si="63"/>
        <v>8412.2588604642606</v>
      </c>
    </row>
    <row r="1026" spans="1:6" s="10" customFormat="1" x14ac:dyDescent="0.3">
      <c r="A1026" s="24">
        <v>42684</v>
      </c>
      <c r="B1026" s="10">
        <v>8525.75</v>
      </c>
      <c r="C1026" s="10">
        <f t="shared" si="64"/>
        <v>8586.6325195999998</v>
      </c>
      <c r="D1026" s="10">
        <f t="shared" si="61"/>
        <v>88.98431937294454</v>
      </c>
      <c r="E1026" s="10">
        <f t="shared" si="62"/>
        <v>8764.6011583458894</v>
      </c>
      <c r="F1026" s="10">
        <f t="shared" si="63"/>
        <v>8408.6638808541102</v>
      </c>
    </row>
    <row r="1027" spans="1:6" s="10" customFormat="1" x14ac:dyDescent="0.3">
      <c r="A1027" s="24">
        <v>42685</v>
      </c>
      <c r="B1027" s="10">
        <v>8296.2998050000006</v>
      </c>
      <c r="C1027" s="10">
        <f t="shared" si="64"/>
        <v>8572.780029399999</v>
      </c>
      <c r="D1027" s="10">
        <f t="shared" si="61"/>
        <v>110.19714213249884</v>
      </c>
      <c r="E1027" s="10">
        <f t="shared" si="62"/>
        <v>8793.1743136649966</v>
      </c>
      <c r="F1027" s="10">
        <f t="shared" si="63"/>
        <v>8352.3857451350013</v>
      </c>
    </row>
    <row r="1028" spans="1:6" s="10" customFormat="1" x14ac:dyDescent="0.3">
      <c r="A1028" s="24">
        <v>42689</v>
      </c>
      <c r="B1028" s="10">
        <v>8108.4501950000003</v>
      </c>
      <c r="C1028" s="10">
        <f t="shared" si="64"/>
        <v>8549.0325195999994</v>
      </c>
      <c r="D1028" s="10">
        <f t="shared" si="61"/>
        <v>151.29881746304969</v>
      </c>
      <c r="E1028" s="10">
        <f t="shared" si="62"/>
        <v>8851.6301545260994</v>
      </c>
      <c r="F1028" s="10">
        <f t="shared" si="63"/>
        <v>8246.4348846738994</v>
      </c>
    </row>
    <row r="1029" spans="1:6" s="10" customFormat="1" x14ac:dyDescent="0.3">
      <c r="A1029" s="24">
        <v>42690</v>
      </c>
      <c r="B1029" s="10">
        <v>8111.6000979999999</v>
      </c>
      <c r="C1029" s="10">
        <f t="shared" si="64"/>
        <v>8528.5925049500001</v>
      </c>
      <c r="D1029" s="10">
        <f t="shared" si="61"/>
        <v>180.22015072937532</v>
      </c>
      <c r="E1029" s="10">
        <f t="shared" si="62"/>
        <v>8889.0328064087516</v>
      </c>
      <c r="F1029" s="10">
        <f t="shared" si="63"/>
        <v>8168.1522034912496</v>
      </c>
    </row>
    <row r="1030" spans="1:6" s="10" customFormat="1" x14ac:dyDescent="0.3">
      <c r="A1030" s="24">
        <v>42691</v>
      </c>
      <c r="B1030" s="10">
        <v>8079.9501950000003</v>
      </c>
      <c r="C1030" s="10">
        <f t="shared" si="64"/>
        <v>8498.694995150001</v>
      </c>
      <c r="D1030" s="10">
        <f t="shared" si="61"/>
        <v>202.38272854397567</v>
      </c>
      <c r="E1030" s="10">
        <f t="shared" si="62"/>
        <v>8903.4604522379523</v>
      </c>
      <c r="F1030" s="10">
        <f t="shared" si="63"/>
        <v>8093.9295380620497</v>
      </c>
    </row>
    <row r="1031" spans="1:6" s="10" customFormat="1" x14ac:dyDescent="0.3">
      <c r="A1031" s="24">
        <v>42692</v>
      </c>
      <c r="B1031" s="10">
        <v>8074.1000979999999</v>
      </c>
      <c r="C1031" s="10">
        <f t="shared" si="64"/>
        <v>8469.4450195999998</v>
      </c>
      <c r="D1031" s="10">
        <f t="shared" si="61"/>
        <v>219.52779138212068</v>
      </c>
      <c r="E1031" s="10">
        <f t="shared" si="62"/>
        <v>8908.5006023642418</v>
      </c>
      <c r="F1031" s="10">
        <f t="shared" si="63"/>
        <v>8030.3894368357587</v>
      </c>
    </row>
    <row r="1032" spans="1:6" s="10" customFormat="1" x14ac:dyDescent="0.3">
      <c r="A1032" s="24">
        <v>42695</v>
      </c>
      <c r="B1032" s="10">
        <v>7929.1000979999999</v>
      </c>
      <c r="C1032" s="10">
        <f t="shared" si="64"/>
        <v>8430.9300049499998</v>
      </c>
      <c r="D1032" s="10">
        <f t="shared" si="61"/>
        <v>243.34095713698449</v>
      </c>
      <c r="E1032" s="10">
        <f t="shared" si="62"/>
        <v>8917.6119192239694</v>
      </c>
      <c r="F1032" s="10">
        <f t="shared" si="63"/>
        <v>7944.2480906760311</v>
      </c>
    </row>
    <row r="1033" spans="1:6" s="10" customFormat="1" x14ac:dyDescent="0.3">
      <c r="A1033" s="24">
        <v>42696</v>
      </c>
      <c r="B1033" s="10">
        <v>8002.2998049999997</v>
      </c>
      <c r="C1033" s="10">
        <f t="shared" si="64"/>
        <v>8396.3925049499994</v>
      </c>
      <c r="D1033" s="10">
        <f t="shared" si="61"/>
        <v>253.00737326394014</v>
      </c>
      <c r="E1033" s="10">
        <f t="shared" si="62"/>
        <v>8902.40725147788</v>
      </c>
      <c r="F1033" s="10">
        <f t="shared" si="63"/>
        <v>7890.3777584221189</v>
      </c>
    </row>
    <row r="1034" spans="1:6" s="10" customFormat="1" x14ac:dyDescent="0.3">
      <c r="A1034" s="24">
        <v>42697</v>
      </c>
      <c r="B1034" s="10">
        <v>8033.2998049999997</v>
      </c>
      <c r="C1034" s="10">
        <f t="shared" si="64"/>
        <v>8362.6099854499989</v>
      </c>
      <c r="D1034" s="10">
        <f t="shared" si="61"/>
        <v>254.18194004592436</v>
      </c>
      <c r="E1034" s="10">
        <f t="shared" si="62"/>
        <v>8870.9738655418478</v>
      </c>
      <c r="F1034" s="10">
        <f t="shared" si="63"/>
        <v>7854.2461053581501</v>
      </c>
    </row>
    <row r="1035" spans="1:6" s="10" customFormat="1" x14ac:dyDescent="0.3">
      <c r="A1035" s="24">
        <v>42698</v>
      </c>
      <c r="B1035" s="10">
        <v>7965.5</v>
      </c>
      <c r="C1035" s="10">
        <f t="shared" si="64"/>
        <v>8326.3199951999977</v>
      </c>
      <c r="D1035" s="10">
        <f t="shared" si="61"/>
        <v>256.58493920256268</v>
      </c>
      <c r="E1035" s="10">
        <f t="shared" si="62"/>
        <v>8839.4898736051236</v>
      </c>
      <c r="F1035" s="10">
        <f t="shared" si="63"/>
        <v>7813.1501167948727</v>
      </c>
    </row>
    <row r="1036" spans="1:6" s="10" customFormat="1" x14ac:dyDescent="0.3">
      <c r="A1036" s="24">
        <v>42699</v>
      </c>
      <c r="B1036" s="10">
        <v>8114.2998049999997</v>
      </c>
      <c r="C1036" s="10">
        <f t="shared" si="64"/>
        <v>8301.2724854499975</v>
      </c>
      <c r="D1036" s="10">
        <f t="shared" si="61"/>
        <v>251.29195098543536</v>
      </c>
      <c r="E1036" s="10">
        <f t="shared" si="62"/>
        <v>8803.8563874208685</v>
      </c>
      <c r="F1036" s="10">
        <f t="shared" si="63"/>
        <v>7798.6885834791265</v>
      </c>
    </row>
    <row r="1037" spans="1:6" s="10" customFormat="1" x14ac:dyDescent="0.3">
      <c r="A1037" s="24">
        <v>42702</v>
      </c>
      <c r="B1037" s="10">
        <v>8126.8999020000001</v>
      </c>
      <c r="C1037" s="10">
        <f t="shared" si="64"/>
        <v>8276.854980549997</v>
      </c>
      <c r="D1037" s="10">
        <f t="shared" si="61"/>
        <v>242.75880116046568</v>
      </c>
      <c r="E1037" s="10">
        <f t="shared" si="62"/>
        <v>8762.3725828709285</v>
      </c>
      <c r="F1037" s="10">
        <f t="shared" si="63"/>
        <v>7791.3373782290655</v>
      </c>
    </row>
    <row r="1038" spans="1:6" s="10" customFormat="1" x14ac:dyDescent="0.3">
      <c r="A1038" s="24">
        <v>42703</v>
      </c>
      <c r="B1038" s="10">
        <v>8142.1499020000001</v>
      </c>
      <c r="C1038" s="10">
        <f t="shared" si="64"/>
        <v>8252.0624756500001</v>
      </c>
      <c r="D1038" s="10">
        <f t="shared" si="61"/>
        <v>228.85656763062593</v>
      </c>
      <c r="E1038" s="10">
        <f t="shared" si="62"/>
        <v>8709.7756109112524</v>
      </c>
      <c r="F1038" s="10">
        <f t="shared" si="63"/>
        <v>7794.3493403887478</v>
      </c>
    </row>
    <row r="1039" spans="1:6" s="10" customFormat="1" x14ac:dyDescent="0.3">
      <c r="A1039" s="24">
        <v>42704</v>
      </c>
      <c r="B1039" s="10">
        <v>8224.5</v>
      </c>
      <c r="C1039" s="10">
        <f t="shared" si="64"/>
        <v>8231.9749756499987</v>
      </c>
      <c r="D1039" s="10">
        <f t="shared" si="61"/>
        <v>211.23751610145405</v>
      </c>
      <c r="E1039" s="10">
        <f t="shared" si="62"/>
        <v>8654.4500078529072</v>
      </c>
      <c r="F1039" s="10">
        <f t="shared" si="63"/>
        <v>7809.4999434470901</v>
      </c>
    </row>
    <row r="1040" spans="1:6" s="10" customFormat="1" x14ac:dyDescent="0.3">
      <c r="A1040" s="24">
        <v>42705</v>
      </c>
      <c r="B1040" s="10">
        <v>8192.9003909999992</v>
      </c>
      <c r="C1040" s="10">
        <f t="shared" si="64"/>
        <v>8215.9199951999999</v>
      </c>
      <c r="D1040" s="10">
        <f t="shared" si="61"/>
        <v>200.60932664817943</v>
      </c>
      <c r="E1040" s="10">
        <f t="shared" si="62"/>
        <v>8617.1386484963587</v>
      </c>
      <c r="F1040" s="10">
        <f t="shared" si="63"/>
        <v>7814.7013419036412</v>
      </c>
    </row>
    <row r="1041" spans="1:6" s="10" customFormat="1" x14ac:dyDescent="0.3">
      <c r="A1041" s="24">
        <v>42706</v>
      </c>
      <c r="B1041" s="10">
        <v>8086.7998049999997</v>
      </c>
      <c r="C1041" s="10">
        <f t="shared" si="64"/>
        <v>8196.0124756999994</v>
      </c>
      <c r="D1041" s="10">
        <f t="shared" si="61"/>
        <v>192.08092117187468</v>
      </c>
      <c r="E1041" s="10">
        <f t="shared" si="62"/>
        <v>8580.1743180437479</v>
      </c>
      <c r="F1041" s="10">
        <f t="shared" si="63"/>
        <v>7811.85063335625</v>
      </c>
    </row>
    <row r="1042" spans="1:6" s="10" customFormat="1" x14ac:dyDescent="0.3">
      <c r="A1042" s="24">
        <v>42709</v>
      </c>
      <c r="B1042" s="10">
        <v>8128.75</v>
      </c>
      <c r="C1042" s="10">
        <f t="shared" si="64"/>
        <v>8180.7624757000012</v>
      </c>
      <c r="D1042" s="10">
        <f t="shared" si="61"/>
        <v>184.15673894288534</v>
      </c>
      <c r="E1042" s="10">
        <f t="shared" si="62"/>
        <v>8549.0759535857724</v>
      </c>
      <c r="F1042" s="10">
        <f t="shared" si="63"/>
        <v>7812.4489978142301</v>
      </c>
    </row>
    <row r="1043" spans="1:6" s="10" customFormat="1" x14ac:dyDescent="0.3">
      <c r="A1043" s="24">
        <v>42710</v>
      </c>
      <c r="B1043" s="10">
        <v>8143.1499020000001</v>
      </c>
      <c r="C1043" s="10">
        <f t="shared" si="64"/>
        <v>8163.0674805500003</v>
      </c>
      <c r="D1043" s="10">
        <f t="shared" si="61"/>
        <v>168.50349979512728</v>
      </c>
      <c r="E1043" s="10">
        <f t="shared" si="62"/>
        <v>8500.0744801402543</v>
      </c>
      <c r="F1043" s="10">
        <f t="shared" si="63"/>
        <v>7826.0604809597453</v>
      </c>
    </row>
    <row r="1044" spans="1:6" s="10" customFormat="1" x14ac:dyDescent="0.3">
      <c r="A1044" s="24">
        <v>42711</v>
      </c>
      <c r="B1044" s="10">
        <v>8102.0498049999997</v>
      </c>
      <c r="C1044" s="10">
        <f t="shared" si="64"/>
        <v>8140.9924805500004</v>
      </c>
      <c r="D1044" s="10">
        <f t="shared" si="61"/>
        <v>143.02841168463746</v>
      </c>
      <c r="E1044" s="10">
        <f t="shared" si="62"/>
        <v>8427.0493039192752</v>
      </c>
      <c r="F1044" s="10">
        <f t="shared" si="63"/>
        <v>7854.9356571807257</v>
      </c>
    </row>
    <row r="1045" spans="1:6" s="10" customFormat="1" x14ac:dyDescent="0.3">
      <c r="A1045" s="24">
        <v>42712</v>
      </c>
      <c r="B1045" s="10">
        <v>8246.8496090000008</v>
      </c>
      <c r="C1045" s="10">
        <f t="shared" si="64"/>
        <v>8131.7349610000001</v>
      </c>
      <c r="D1045" s="10">
        <f t="shared" ref="D1045:D1091" si="65">_xlfn.STDEV.S(B1026:B1045)</f>
        <v>128.45063076496658</v>
      </c>
      <c r="E1045" s="10">
        <f t="shared" si="62"/>
        <v>8388.6362225299326</v>
      </c>
      <c r="F1045" s="10">
        <f t="shared" si="63"/>
        <v>7874.8336994700667</v>
      </c>
    </row>
    <row r="1046" spans="1:6" s="10" customFormat="1" x14ac:dyDescent="0.3">
      <c r="A1046" s="24">
        <v>42713</v>
      </c>
      <c r="B1046" s="10">
        <v>8261.75</v>
      </c>
      <c r="C1046" s="10">
        <f t="shared" si="64"/>
        <v>8118.5349610000003</v>
      </c>
      <c r="D1046" s="10">
        <f t="shared" si="65"/>
        <v>95.052059348780475</v>
      </c>
      <c r="E1046" s="10">
        <f t="shared" ref="E1046:E1091" si="66">C1046+2*D1046</f>
        <v>8308.6390796975611</v>
      </c>
      <c r="F1046" s="10">
        <f t="shared" ref="F1046:F1091" si="67">C1046-2*D1046</f>
        <v>7928.4308423024395</v>
      </c>
    </row>
    <row r="1047" spans="1:6" s="10" customFormat="1" x14ac:dyDescent="0.3">
      <c r="A1047" s="24">
        <v>42716</v>
      </c>
      <c r="B1047" s="10">
        <v>8170.7998049999997</v>
      </c>
      <c r="C1047" s="10">
        <f t="shared" si="64"/>
        <v>8112.2599610000007</v>
      </c>
      <c r="D1047" s="10">
        <f t="shared" si="65"/>
        <v>86.45252649147892</v>
      </c>
      <c r="E1047" s="10">
        <f t="shared" si="66"/>
        <v>8285.165013982958</v>
      </c>
      <c r="F1047" s="10">
        <f t="shared" si="67"/>
        <v>7939.3549080170433</v>
      </c>
    </row>
    <row r="1048" spans="1:6" s="10" customFormat="1" x14ac:dyDescent="0.3">
      <c r="A1048" s="24">
        <v>42717</v>
      </c>
      <c r="B1048" s="10">
        <v>8221.7998050000006</v>
      </c>
      <c r="C1048" s="10">
        <f t="shared" si="64"/>
        <v>8117.9274415000009</v>
      </c>
      <c r="D1048" s="10">
        <f t="shared" si="65"/>
        <v>89.838686954554248</v>
      </c>
      <c r="E1048" s="10">
        <f t="shared" si="66"/>
        <v>8297.6048154091095</v>
      </c>
      <c r="F1048" s="10">
        <f t="shared" si="67"/>
        <v>7938.2500675908923</v>
      </c>
    </row>
    <row r="1049" spans="1:6" s="10" customFormat="1" x14ac:dyDescent="0.3">
      <c r="A1049" s="24">
        <v>42718</v>
      </c>
      <c r="B1049" s="10">
        <v>8182.4501950000003</v>
      </c>
      <c r="C1049" s="10">
        <f t="shared" si="64"/>
        <v>8121.4699463500001</v>
      </c>
      <c r="D1049" s="10">
        <f t="shared" si="65"/>
        <v>90.965860406921436</v>
      </c>
      <c r="E1049" s="10">
        <f t="shared" si="66"/>
        <v>8303.4016671638437</v>
      </c>
      <c r="F1049" s="10">
        <f t="shared" si="67"/>
        <v>7939.5382255361574</v>
      </c>
    </row>
    <row r="1050" spans="1:6" s="10" customFormat="1" x14ac:dyDescent="0.3">
      <c r="A1050" s="24">
        <v>42719</v>
      </c>
      <c r="B1050" s="10">
        <v>8153.6000979999999</v>
      </c>
      <c r="C1050" s="10">
        <f t="shared" si="64"/>
        <v>8125.1524414999994</v>
      </c>
      <c r="D1050" s="10">
        <f t="shared" si="65"/>
        <v>90.686913381366409</v>
      </c>
      <c r="E1050" s="10">
        <f t="shared" si="66"/>
        <v>8306.5262682627326</v>
      </c>
      <c r="F1050" s="10">
        <f t="shared" si="67"/>
        <v>7943.7786147372663</v>
      </c>
    </row>
    <row r="1051" spans="1:6" s="10" customFormat="1" x14ac:dyDescent="0.3">
      <c r="A1051" s="24">
        <v>42720</v>
      </c>
      <c r="B1051" s="10">
        <v>8139.4501950000003</v>
      </c>
      <c r="C1051" s="10">
        <f t="shared" si="64"/>
        <v>8128.4199463500017</v>
      </c>
      <c r="D1051" s="10">
        <f t="shared" si="65"/>
        <v>89.92475250059114</v>
      </c>
      <c r="E1051" s="10">
        <f t="shared" si="66"/>
        <v>8308.2694513511833</v>
      </c>
      <c r="F1051" s="10">
        <f t="shared" si="67"/>
        <v>7948.5704413488193</v>
      </c>
    </row>
    <row r="1052" spans="1:6" s="10" customFormat="1" x14ac:dyDescent="0.3">
      <c r="A1052" s="24">
        <v>42723</v>
      </c>
      <c r="B1052" s="10">
        <v>8104.3500979999999</v>
      </c>
      <c r="C1052" s="10">
        <f t="shared" si="64"/>
        <v>8137.1824463499997</v>
      </c>
      <c r="D1052" s="10">
        <f t="shared" si="65"/>
        <v>77.104880268059446</v>
      </c>
      <c r="E1052" s="10">
        <f t="shared" si="66"/>
        <v>8291.3922068861193</v>
      </c>
      <c r="F1052" s="10">
        <f t="shared" si="67"/>
        <v>7982.9726858138811</v>
      </c>
    </row>
    <row r="1053" spans="1:6" s="10" customFormat="1" x14ac:dyDescent="0.3">
      <c r="A1053" s="24">
        <v>42724</v>
      </c>
      <c r="B1053" s="10">
        <v>8082.3999020000001</v>
      </c>
      <c r="C1053" s="10">
        <f t="shared" si="64"/>
        <v>8141.1874512000013</v>
      </c>
      <c r="D1053" s="10">
        <f t="shared" si="65"/>
        <v>71.614864530538512</v>
      </c>
      <c r="E1053" s="10">
        <f t="shared" si="66"/>
        <v>8284.4171802610781</v>
      </c>
      <c r="F1053" s="10">
        <f t="shared" si="67"/>
        <v>7997.9577221389245</v>
      </c>
    </row>
    <row r="1054" spans="1:6" s="10" customFormat="1" x14ac:dyDescent="0.3">
      <c r="A1054" s="24">
        <v>42725</v>
      </c>
      <c r="B1054" s="10">
        <v>8061.2998049999997</v>
      </c>
      <c r="C1054" s="10">
        <f t="shared" si="64"/>
        <v>8142.5874511999991</v>
      </c>
      <c r="D1054" s="10">
        <f t="shared" si="65"/>
        <v>69.641253437138843</v>
      </c>
      <c r="E1054" s="10">
        <f t="shared" si="66"/>
        <v>8281.8699580742759</v>
      </c>
      <c r="F1054" s="10">
        <f t="shared" si="67"/>
        <v>8003.3049443257214</v>
      </c>
    </row>
    <row r="1055" spans="1:6" s="10" customFormat="1" x14ac:dyDescent="0.3">
      <c r="A1055" s="24">
        <v>42726</v>
      </c>
      <c r="B1055" s="10">
        <v>7979.1000979999999</v>
      </c>
      <c r="C1055" s="10">
        <f t="shared" si="64"/>
        <v>8143.2674560999994</v>
      </c>
      <c r="D1055" s="10">
        <f t="shared" si="65"/>
        <v>67.864834927953439</v>
      </c>
      <c r="E1055" s="10">
        <f t="shared" si="66"/>
        <v>8278.9971259559061</v>
      </c>
      <c r="F1055" s="10">
        <f t="shared" si="67"/>
        <v>8007.5377862440928</v>
      </c>
    </row>
    <row r="1056" spans="1:6" s="10" customFormat="1" x14ac:dyDescent="0.3">
      <c r="A1056" s="24">
        <v>42727</v>
      </c>
      <c r="B1056" s="10">
        <v>7985.75</v>
      </c>
      <c r="C1056" s="10">
        <f t="shared" si="64"/>
        <v>8136.8399658499984</v>
      </c>
      <c r="D1056" s="10">
        <f t="shared" si="65"/>
        <v>76.314257522795756</v>
      </c>
      <c r="E1056" s="10">
        <f t="shared" si="66"/>
        <v>8289.4684808955899</v>
      </c>
      <c r="F1056" s="10">
        <f t="shared" si="67"/>
        <v>7984.2114508044069</v>
      </c>
    </row>
    <row r="1057" spans="1:6" s="10" customFormat="1" x14ac:dyDescent="0.3">
      <c r="A1057" s="24">
        <v>42730</v>
      </c>
      <c r="B1057" s="10">
        <v>7908.25</v>
      </c>
      <c r="C1057" s="10">
        <f t="shared" si="64"/>
        <v>8125.9074707499994</v>
      </c>
      <c r="D1057" s="10">
        <f t="shared" si="65"/>
        <v>91.885979332393489</v>
      </c>
      <c r="E1057" s="10">
        <f t="shared" si="66"/>
        <v>8309.6794294147858</v>
      </c>
      <c r="F1057" s="10">
        <f t="shared" si="67"/>
        <v>7942.1355120852122</v>
      </c>
    </row>
    <row r="1058" spans="1:6" s="10" customFormat="1" x14ac:dyDescent="0.3">
      <c r="A1058" s="24">
        <v>42731</v>
      </c>
      <c r="B1058" s="10">
        <v>8032.8500979999999</v>
      </c>
      <c r="C1058" s="10">
        <f t="shared" si="64"/>
        <v>8120.4424805499993</v>
      </c>
      <c r="D1058" s="10">
        <f t="shared" si="65"/>
        <v>94.092945776220134</v>
      </c>
      <c r="E1058" s="10">
        <f t="shared" si="66"/>
        <v>8308.6283721024392</v>
      </c>
      <c r="F1058" s="10">
        <f t="shared" si="67"/>
        <v>7932.2565889975594</v>
      </c>
    </row>
    <row r="1059" spans="1:6" s="10" customFormat="1" x14ac:dyDescent="0.3">
      <c r="A1059" s="24">
        <v>42732</v>
      </c>
      <c r="B1059" s="10">
        <v>8034.8500979999999</v>
      </c>
      <c r="C1059" s="10">
        <f t="shared" si="64"/>
        <v>8110.9599854499993</v>
      </c>
      <c r="D1059" s="10">
        <f t="shared" si="65"/>
        <v>92.598710000721098</v>
      </c>
      <c r="E1059" s="10">
        <f t="shared" si="66"/>
        <v>8296.1574054514422</v>
      </c>
      <c r="F1059" s="10">
        <f t="shared" si="67"/>
        <v>7925.7625654485573</v>
      </c>
    </row>
    <row r="1060" spans="1:6" s="10" customFormat="1" x14ac:dyDescent="0.3">
      <c r="A1060" s="24">
        <v>42733</v>
      </c>
      <c r="B1060" s="10">
        <v>8103.6000979999999</v>
      </c>
      <c r="C1060" s="10">
        <f t="shared" si="64"/>
        <v>8106.4949707999986</v>
      </c>
      <c r="D1060" s="10">
        <f t="shared" si="65"/>
        <v>90.570447006224555</v>
      </c>
      <c r="E1060" s="10">
        <f t="shared" si="66"/>
        <v>8287.6358648124478</v>
      </c>
      <c r="F1060" s="10">
        <f t="shared" si="67"/>
        <v>7925.3540767875493</v>
      </c>
    </row>
    <row r="1061" spans="1:6" s="10" customFormat="1" x14ac:dyDescent="0.3">
      <c r="A1061" s="24">
        <v>42734</v>
      </c>
      <c r="B1061" s="10">
        <v>8185.7998049999997</v>
      </c>
      <c r="C1061" s="10">
        <f t="shared" si="64"/>
        <v>8111.4449707999984</v>
      </c>
      <c r="D1061" s="10">
        <f t="shared" si="65"/>
        <v>92.129319499917358</v>
      </c>
      <c r="E1061" s="10">
        <f t="shared" si="66"/>
        <v>8295.7036097998334</v>
      </c>
      <c r="F1061" s="10">
        <f t="shared" si="67"/>
        <v>7927.1863318001633</v>
      </c>
    </row>
    <row r="1062" spans="1:6" s="10" customFormat="1" x14ac:dyDescent="0.3">
      <c r="A1062" s="24">
        <v>42737</v>
      </c>
      <c r="B1062" s="10">
        <v>8179.5</v>
      </c>
      <c r="C1062" s="10">
        <f t="shared" si="64"/>
        <v>8113.9824707999987</v>
      </c>
      <c r="D1062" s="10">
        <f t="shared" si="65"/>
        <v>93.322210240040263</v>
      </c>
      <c r="E1062" s="10">
        <f t="shared" si="66"/>
        <v>8300.6268912800788</v>
      </c>
      <c r="F1062" s="10">
        <f t="shared" si="67"/>
        <v>7927.3380503199178</v>
      </c>
    </row>
    <row r="1063" spans="1:6" s="10" customFormat="1" x14ac:dyDescent="0.3">
      <c r="A1063" s="24">
        <v>42738</v>
      </c>
      <c r="B1063" s="10">
        <v>8192.25</v>
      </c>
      <c r="C1063" s="10">
        <f t="shared" si="64"/>
        <v>8116.4374756999996</v>
      </c>
      <c r="D1063" s="10">
        <f t="shared" si="65"/>
        <v>94.764580786373443</v>
      </c>
      <c r="E1063" s="10">
        <f t="shared" si="66"/>
        <v>8305.9666372727461</v>
      </c>
      <c r="F1063" s="10">
        <f t="shared" si="67"/>
        <v>7926.9083141272531</v>
      </c>
    </row>
    <row r="1064" spans="1:6" s="10" customFormat="1" x14ac:dyDescent="0.3">
      <c r="A1064" s="24">
        <v>42739</v>
      </c>
      <c r="B1064" s="10">
        <v>8190.5</v>
      </c>
      <c r="C1064" s="10">
        <f t="shared" si="64"/>
        <v>8120.8599854499989</v>
      </c>
      <c r="D1064" s="10">
        <f t="shared" si="65"/>
        <v>96.112124830287996</v>
      </c>
      <c r="E1064" s="10">
        <f t="shared" si="66"/>
        <v>8313.0842351105748</v>
      </c>
      <c r="F1064" s="10">
        <f t="shared" si="67"/>
        <v>7928.6357357894231</v>
      </c>
    </row>
    <row r="1065" spans="1:6" s="10" customFormat="1" x14ac:dyDescent="0.3">
      <c r="A1065" s="24">
        <v>42740</v>
      </c>
      <c r="B1065" s="10">
        <v>8273.7998050000006</v>
      </c>
      <c r="C1065" s="10">
        <f t="shared" si="64"/>
        <v>8122.2074952499988</v>
      </c>
      <c r="D1065" s="10">
        <f t="shared" si="65"/>
        <v>98.139041471233782</v>
      </c>
      <c r="E1065" s="10">
        <f t="shared" si="66"/>
        <v>8318.4855781924671</v>
      </c>
      <c r="F1065" s="10">
        <f t="shared" si="67"/>
        <v>7925.9294123075315</v>
      </c>
    </row>
    <row r="1066" spans="1:6" s="10" customFormat="1" x14ac:dyDescent="0.3">
      <c r="A1066" s="24">
        <v>42741</v>
      </c>
      <c r="B1066" s="10">
        <v>8243.7998050000006</v>
      </c>
      <c r="C1066" s="10">
        <f t="shared" si="64"/>
        <v>8121.3099854999982</v>
      </c>
      <c r="D1066" s="10">
        <f t="shared" si="65"/>
        <v>96.869588525357045</v>
      </c>
      <c r="E1066" s="10">
        <f t="shared" si="66"/>
        <v>8315.0491625507129</v>
      </c>
      <c r="F1066" s="10">
        <f t="shared" si="67"/>
        <v>7927.5708084492844</v>
      </c>
    </row>
    <row r="1067" spans="1:6" s="10" customFormat="1" x14ac:dyDescent="0.3">
      <c r="A1067" s="24">
        <v>42744</v>
      </c>
      <c r="B1067" s="10">
        <v>8236.0498050000006</v>
      </c>
      <c r="C1067" s="10">
        <f t="shared" si="64"/>
        <v>8124.572485499998</v>
      </c>
      <c r="D1067" s="10">
        <f t="shared" si="65"/>
        <v>99.682055678124584</v>
      </c>
      <c r="E1067" s="10">
        <f t="shared" si="66"/>
        <v>8323.936596856247</v>
      </c>
      <c r="F1067" s="10">
        <f t="shared" si="67"/>
        <v>7925.2083741437491</v>
      </c>
    </row>
    <row r="1068" spans="1:6" s="10" customFormat="1" x14ac:dyDescent="0.3">
      <c r="A1068" s="24">
        <v>42745</v>
      </c>
      <c r="B1068" s="10">
        <v>8288.5996090000008</v>
      </c>
      <c r="C1068" s="10">
        <f t="shared" si="64"/>
        <v>8127.9124756999981</v>
      </c>
      <c r="D1068" s="10">
        <f t="shared" si="65"/>
        <v>104.13108316871963</v>
      </c>
      <c r="E1068" s="10">
        <f t="shared" si="66"/>
        <v>8336.1746420374366</v>
      </c>
      <c r="F1068" s="10">
        <f t="shared" si="67"/>
        <v>7919.6503093625588</v>
      </c>
    </row>
    <row r="1069" spans="1:6" s="10" customFormat="1" x14ac:dyDescent="0.3">
      <c r="A1069" s="24">
        <v>42746</v>
      </c>
      <c r="B1069" s="10">
        <v>8380.6503909999992</v>
      </c>
      <c r="C1069" s="10">
        <f t="shared" si="64"/>
        <v>8137.8224854999989</v>
      </c>
      <c r="D1069" s="10">
        <f t="shared" si="65"/>
        <v>118.09012888800952</v>
      </c>
      <c r="E1069" s="10">
        <f t="shared" si="66"/>
        <v>8374.002743276018</v>
      </c>
      <c r="F1069" s="10">
        <f t="shared" si="67"/>
        <v>7901.6422277239799</v>
      </c>
    </row>
    <row r="1070" spans="1:6" s="10" customFormat="1" x14ac:dyDescent="0.3">
      <c r="A1070" s="24">
        <v>42747</v>
      </c>
      <c r="B1070" s="10">
        <v>8407.2001949999994</v>
      </c>
      <c r="C1070" s="10">
        <f t="shared" si="64"/>
        <v>8150.5024903499998</v>
      </c>
      <c r="D1070" s="10">
        <f t="shared" si="65"/>
        <v>132.59754287123536</v>
      </c>
      <c r="E1070" s="10">
        <f t="shared" si="66"/>
        <v>8415.6975760924706</v>
      </c>
      <c r="F1070" s="10">
        <f t="shared" si="67"/>
        <v>7885.307404607529</v>
      </c>
    </row>
    <row r="1071" spans="1:6" s="10" customFormat="1" x14ac:dyDescent="0.3">
      <c r="A1071" s="24">
        <v>42748</v>
      </c>
      <c r="B1071" s="10">
        <v>8400.3496090000008</v>
      </c>
      <c r="C1071" s="10">
        <f t="shared" si="64"/>
        <v>8163.5474610500005</v>
      </c>
      <c r="D1071" s="10">
        <f t="shared" si="65"/>
        <v>143.81238936969956</v>
      </c>
      <c r="E1071" s="10">
        <f t="shared" si="66"/>
        <v>8451.1722397893991</v>
      </c>
      <c r="F1071" s="10">
        <f t="shared" si="67"/>
        <v>7875.922682310601</v>
      </c>
    </row>
    <row r="1072" spans="1:6" s="10" customFormat="1" x14ac:dyDescent="0.3">
      <c r="A1072" s="24">
        <v>42751</v>
      </c>
      <c r="B1072" s="10">
        <v>8412.7998050000006</v>
      </c>
      <c r="C1072" s="10">
        <f t="shared" si="64"/>
        <v>8178.9699464000005</v>
      </c>
      <c r="D1072" s="10">
        <f t="shared" si="65"/>
        <v>153.35260461009389</v>
      </c>
      <c r="E1072" s="10">
        <f t="shared" si="66"/>
        <v>8485.6751556201889</v>
      </c>
      <c r="F1072" s="10">
        <f t="shared" si="67"/>
        <v>7872.264737179813</v>
      </c>
    </row>
    <row r="1073" spans="1:6" s="10" customFormat="1" x14ac:dyDescent="0.3">
      <c r="A1073" s="24">
        <v>42752</v>
      </c>
      <c r="B1073" s="10">
        <v>8398</v>
      </c>
      <c r="C1073" s="10">
        <f t="shared" si="64"/>
        <v>8194.7499513000002</v>
      </c>
      <c r="D1073" s="10">
        <f t="shared" si="65"/>
        <v>159.02525871614768</v>
      </c>
      <c r="E1073" s="10">
        <f t="shared" si="66"/>
        <v>8512.8004687322955</v>
      </c>
      <c r="F1073" s="10">
        <f t="shared" si="67"/>
        <v>7876.699433867705</v>
      </c>
    </row>
    <row r="1074" spans="1:6" s="10" customFormat="1" x14ac:dyDescent="0.3">
      <c r="A1074" s="24">
        <v>42753</v>
      </c>
      <c r="B1074" s="10">
        <v>8417</v>
      </c>
      <c r="C1074" s="10">
        <f t="shared" si="64"/>
        <v>8212.5349610499998</v>
      </c>
      <c r="D1074" s="10">
        <f t="shared" si="65"/>
        <v>163.15179184275402</v>
      </c>
      <c r="E1074" s="10">
        <f t="shared" si="66"/>
        <v>8538.8385447355085</v>
      </c>
      <c r="F1074" s="10">
        <f t="shared" si="67"/>
        <v>7886.2313773644919</v>
      </c>
    </row>
    <row r="1075" spans="1:6" s="10" customFormat="1" x14ac:dyDescent="0.3">
      <c r="A1075" s="24">
        <v>42754</v>
      </c>
      <c r="B1075" s="10">
        <v>8435.0996090000008</v>
      </c>
      <c r="C1075" s="10">
        <f t="shared" ref="C1075:C1091" si="68">AVERAGE(B1056:B1075)</f>
        <v>8235.3349366000002</v>
      </c>
      <c r="D1075" s="10">
        <f t="shared" si="65"/>
        <v>160.65622761805943</v>
      </c>
      <c r="E1075" s="10">
        <f t="shared" si="66"/>
        <v>8556.6473918361189</v>
      </c>
      <c r="F1075" s="10">
        <f t="shared" si="67"/>
        <v>7914.0224813638815</v>
      </c>
    </row>
    <row r="1076" spans="1:6" s="10" customFormat="1" x14ac:dyDescent="0.3">
      <c r="A1076" s="24">
        <v>42755</v>
      </c>
      <c r="B1076" s="10">
        <v>8349.3496090000008</v>
      </c>
      <c r="C1076" s="10">
        <f t="shared" si="68"/>
        <v>8253.514917049999</v>
      </c>
      <c r="D1076" s="10">
        <f t="shared" si="65"/>
        <v>151.22212960070127</v>
      </c>
      <c r="E1076" s="10">
        <f t="shared" si="66"/>
        <v>8555.959176251401</v>
      </c>
      <c r="F1076" s="10">
        <f t="shared" si="67"/>
        <v>7951.0706578485961</v>
      </c>
    </row>
    <row r="1077" spans="1:6" s="10" customFormat="1" x14ac:dyDescent="0.3">
      <c r="A1077" s="24">
        <v>42758</v>
      </c>
      <c r="B1077" s="10">
        <v>8391.5</v>
      </c>
      <c r="C1077" s="10">
        <f t="shared" si="68"/>
        <v>8277.6774170499993</v>
      </c>
      <c r="D1077" s="10">
        <f t="shared" si="65"/>
        <v>130.31338929968004</v>
      </c>
      <c r="E1077" s="10">
        <f t="shared" si="66"/>
        <v>8538.3041956493598</v>
      </c>
      <c r="F1077" s="10">
        <f t="shared" si="67"/>
        <v>8017.0506384506389</v>
      </c>
    </row>
    <row r="1078" spans="1:6" s="10" customFormat="1" x14ac:dyDescent="0.3">
      <c r="A1078" s="24">
        <v>42759</v>
      </c>
      <c r="B1078" s="10">
        <v>8475.7998050000006</v>
      </c>
      <c r="C1078" s="10">
        <f t="shared" si="68"/>
        <v>8299.8249023999997</v>
      </c>
      <c r="D1078" s="10">
        <f t="shared" si="65"/>
        <v>124.00166626466628</v>
      </c>
      <c r="E1078" s="10">
        <f t="shared" si="66"/>
        <v>8547.8282349293331</v>
      </c>
      <c r="F1078" s="10">
        <f t="shared" si="67"/>
        <v>8051.8215698706672</v>
      </c>
    </row>
    <row r="1079" spans="1:6" s="10" customFormat="1" x14ac:dyDescent="0.3">
      <c r="A1079" s="24">
        <v>42760</v>
      </c>
      <c r="B1079" s="10">
        <v>8602.75</v>
      </c>
      <c r="C1079" s="10">
        <f t="shared" si="68"/>
        <v>8328.2198974999992</v>
      </c>
      <c r="D1079" s="10">
        <f t="shared" si="65"/>
        <v>125.14797648477251</v>
      </c>
      <c r="E1079" s="10">
        <f t="shared" si="66"/>
        <v>8578.5158504695446</v>
      </c>
      <c r="F1079" s="10">
        <f t="shared" si="67"/>
        <v>8077.9239445304538</v>
      </c>
    </row>
    <row r="1080" spans="1:6" s="10" customFormat="1" x14ac:dyDescent="0.3">
      <c r="A1080" s="24">
        <v>42762</v>
      </c>
      <c r="B1080" s="10">
        <v>8641.25</v>
      </c>
      <c r="C1080" s="10">
        <f t="shared" si="68"/>
        <v>8355.1023925999998</v>
      </c>
      <c r="D1080" s="10">
        <f t="shared" si="65"/>
        <v>131.92077451700035</v>
      </c>
      <c r="E1080" s="10">
        <f t="shared" si="66"/>
        <v>8618.943941634001</v>
      </c>
      <c r="F1080" s="10">
        <f t="shared" si="67"/>
        <v>8091.2608435659995</v>
      </c>
    </row>
    <row r="1081" spans="1:6" s="10" customFormat="1" x14ac:dyDescent="0.3">
      <c r="A1081" s="24">
        <v>42765</v>
      </c>
      <c r="B1081" s="10">
        <v>8632.75</v>
      </c>
      <c r="C1081" s="10">
        <f t="shared" si="68"/>
        <v>8377.4499023499993</v>
      </c>
      <c r="D1081" s="10">
        <f t="shared" si="65"/>
        <v>139.37743684355451</v>
      </c>
      <c r="E1081" s="10">
        <f t="shared" si="66"/>
        <v>8656.2047760371079</v>
      </c>
      <c r="F1081" s="10">
        <f t="shared" si="67"/>
        <v>8098.6950286628908</v>
      </c>
    </row>
    <row r="1082" spans="1:6" s="10" customFormat="1" x14ac:dyDescent="0.3">
      <c r="A1082" s="24">
        <v>42766</v>
      </c>
      <c r="B1082" s="10">
        <v>8561.2998050000006</v>
      </c>
      <c r="C1082" s="10">
        <f t="shared" si="68"/>
        <v>8396.5398925999998</v>
      </c>
      <c r="D1082" s="10">
        <f t="shared" si="65"/>
        <v>136.96395922970308</v>
      </c>
      <c r="E1082" s="10">
        <f t="shared" si="66"/>
        <v>8670.4678110594068</v>
      </c>
      <c r="F1082" s="10">
        <f t="shared" si="67"/>
        <v>8122.6119741405937</v>
      </c>
    </row>
    <row r="1083" spans="1:6" s="10" customFormat="1" x14ac:dyDescent="0.3">
      <c r="A1083" s="24">
        <v>42767</v>
      </c>
      <c r="B1083" s="10">
        <v>8716.4003909999992</v>
      </c>
      <c r="C1083" s="10">
        <f t="shared" si="68"/>
        <v>8422.7474121499999</v>
      </c>
      <c r="D1083" s="10">
        <f t="shared" si="65"/>
        <v>145.68587205797181</v>
      </c>
      <c r="E1083" s="10">
        <f t="shared" si="66"/>
        <v>8714.1191562659442</v>
      </c>
      <c r="F1083" s="10">
        <f t="shared" si="67"/>
        <v>8131.3756680340566</v>
      </c>
    </row>
    <row r="1084" spans="1:6" s="10" customFormat="1" x14ac:dyDescent="0.3">
      <c r="A1084" s="24">
        <v>42768</v>
      </c>
      <c r="B1084" s="10">
        <v>8734.25</v>
      </c>
      <c r="C1084" s="10">
        <f t="shared" si="68"/>
        <v>8449.9349121499999</v>
      </c>
      <c r="D1084" s="10">
        <f t="shared" si="65"/>
        <v>150.71319777546424</v>
      </c>
      <c r="E1084" s="10">
        <f t="shared" si="66"/>
        <v>8751.3613077009286</v>
      </c>
      <c r="F1084" s="10">
        <f t="shared" si="67"/>
        <v>8148.5085165990713</v>
      </c>
    </row>
    <row r="1085" spans="1:6" s="10" customFormat="1" x14ac:dyDescent="0.3">
      <c r="A1085" s="24">
        <v>42769</v>
      </c>
      <c r="B1085" s="10">
        <v>8740.9501949999994</v>
      </c>
      <c r="C1085" s="10">
        <f t="shared" si="68"/>
        <v>8473.2924316500012</v>
      </c>
      <c r="D1085" s="10">
        <f t="shared" si="65"/>
        <v>158.00228782955267</v>
      </c>
      <c r="E1085" s="10">
        <f t="shared" si="66"/>
        <v>8789.2970073091074</v>
      </c>
      <c r="F1085" s="10">
        <f t="shared" si="67"/>
        <v>8157.2878559908959</v>
      </c>
    </row>
    <row r="1086" spans="1:6" s="10" customFormat="1" x14ac:dyDescent="0.3">
      <c r="A1086" s="24">
        <v>42772</v>
      </c>
      <c r="B1086" s="10">
        <v>8801.0498050000006</v>
      </c>
      <c r="C1086" s="10">
        <f t="shared" si="68"/>
        <v>8501.1549316499986</v>
      </c>
      <c r="D1086" s="10">
        <f t="shared" si="65"/>
        <v>164.40665055725614</v>
      </c>
      <c r="E1086" s="10">
        <f t="shared" si="66"/>
        <v>8829.9682327645114</v>
      </c>
      <c r="F1086" s="10">
        <f t="shared" si="67"/>
        <v>8172.3416305354867</v>
      </c>
    </row>
    <row r="1087" spans="1:6" s="10" customFormat="1" x14ac:dyDescent="0.3">
      <c r="A1087" s="24">
        <v>42773</v>
      </c>
      <c r="B1087" s="10">
        <v>8768.2998050000006</v>
      </c>
      <c r="C1087" s="10">
        <f t="shared" si="68"/>
        <v>8527.7674316499997</v>
      </c>
      <c r="D1087" s="10">
        <f t="shared" si="65"/>
        <v>162.29968062000134</v>
      </c>
      <c r="E1087" s="10">
        <f t="shared" si="66"/>
        <v>8852.3667928900031</v>
      </c>
      <c r="F1087" s="10">
        <f t="shared" si="67"/>
        <v>8203.1680704099963</v>
      </c>
    </row>
    <row r="1088" spans="1:6" s="10" customFormat="1" x14ac:dyDescent="0.3">
      <c r="A1088" s="24">
        <v>42774</v>
      </c>
      <c r="B1088" s="10">
        <v>8769.0498050000006</v>
      </c>
      <c r="C1088" s="10">
        <f t="shared" si="68"/>
        <v>8551.7899414499989</v>
      </c>
      <c r="D1088" s="10">
        <f t="shared" si="65"/>
        <v>160.58394378251614</v>
      </c>
      <c r="E1088" s="10">
        <f t="shared" si="66"/>
        <v>8872.9578290150312</v>
      </c>
      <c r="F1088" s="10">
        <f t="shared" si="67"/>
        <v>8230.6220538849666</v>
      </c>
    </row>
    <row r="1089" spans="1:6" s="10" customFormat="1" x14ac:dyDescent="0.3">
      <c r="A1089" s="24">
        <v>42775</v>
      </c>
      <c r="B1089" s="10">
        <v>8778.4003909999992</v>
      </c>
      <c r="C1089" s="10">
        <f t="shared" si="68"/>
        <v>8571.6774414499996</v>
      </c>
      <c r="D1089" s="10">
        <f t="shared" si="65"/>
        <v>162.88681152489781</v>
      </c>
      <c r="E1089" s="10">
        <f t="shared" si="66"/>
        <v>8897.4510644997954</v>
      </c>
      <c r="F1089" s="10">
        <f t="shared" si="67"/>
        <v>8245.9038184002038</v>
      </c>
    </row>
    <row r="1090" spans="1:6" s="10" customFormat="1" x14ac:dyDescent="0.3">
      <c r="A1090" s="24">
        <v>42776</v>
      </c>
      <c r="B1090" s="10">
        <v>8793.5498050000006</v>
      </c>
      <c r="C1090" s="10">
        <f t="shared" si="68"/>
        <v>8590.9949219499977</v>
      </c>
      <c r="D1090" s="10">
        <f t="shared" si="65"/>
        <v>165.24645613786379</v>
      </c>
      <c r="E1090" s="10">
        <f t="shared" si="66"/>
        <v>8921.4878342257252</v>
      </c>
      <c r="F1090" s="10">
        <f t="shared" si="67"/>
        <v>8260.5020096742701</v>
      </c>
    </row>
    <row r="1091" spans="1:6" s="10" customFormat="1" x14ac:dyDescent="0.3">
      <c r="A1091" s="24">
        <v>42779</v>
      </c>
      <c r="B1091" s="10">
        <v>8805.0498050000006</v>
      </c>
      <c r="C1091" s="10">
        <f t="shared" si="68"/>
        <v>8611.2299317499983</v>
      </c>
      <c r="D1091" s="10">
        <f t="shared" si="65"/>
        <v>165.4509275684517</v>
      </c>
      <c r="E1091" s="10">
        <f t="shared" si="66"/>
        <v>8942.131786886901</v>
      </c>
      <c r="F1091" s="10">
        <f t="shared" si="67"/>
        <v>8280.3280766130956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Portfolio weights </vt:lpstr>
      <vt:lpstr>Monte Carlo and VaR</vt:lpstr>
      <vt:lpstr>BollingerBand_Nifty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Chamundeswari1_Koppisetti@swissre.com</dc:creator>
  <cp:lastModifiedBy>Chamundeswari Koppisetti</cp:lastModifiedBy>
  <dcterms:created xsi:type="dcterms:W3CDTF">2017-02-13T13:14:05Z</dcterms:created>
  <dcterms:modified xsi:type="dcterms:W3CDTF">2019-07-09T06:58:47Z</dcterms:modified>
</cp:coreProperties>
</file>